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 activeTab="4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S162" i="3"/>
  <c r="T162" i="3"/>
  <c r="E162" i="3"/>
  <c r="A163" i="3"/>
  <c r="A164" i="3" s="1"/>
  <c r="A165" i="3" s="1"/>
  <c r="H162" i="3"/>
  <c r="F162" i="3"/>
  <c r="A426" i="1"/>
  <c r="B426" i="1" s="1"/>
  <c r="D165" i="3" l="1"/>
  <c r="T165" i="3"/>
  <c r="J165" i="3"/>
  <c r="Q165" i="3"/>
  <c r="E165" i="3"/>
  <c r="B165" i="3"/>
  <c r="H165" i="3"/>
  <c r="O165" i="3"/>
  <c r="C165" i="3"/>
  <c r="F165" i="3"/>
  <c r="G165" i="3"/>
  <c r="I165" i="3"/>
  <c r="K165" i="3"/>
  <c r="P165" i="3"/>
  <c r="S165" i="3"/>
  <c r="D164" i="3"/>
  <c r="I164" i="3"/>
  <c r="F164" i="3"/>
  <c r="Q164" i="3"/>
  <c r="K164" i="3"/>
  <c r="P164" i="3"/>
  <c r="G164" i="3"/>
  <c r="J164" i="3"/>
  <c r="O164" i="3"/>
  <c r="A443" i="6"/>
  <c r="B442" i="6"/>
  <c r="E164" i="3"/>
  <c r="T164" i="3"/>
  <c r="S164" i="3"/>
  <c r="H164" i="3"/>
  <c r="S163" i="3"/>
  <c r="T163" i="3"/>
  <c r="E163" i="3"/>
  <c r="H163" i="3"/>
  <c r="F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A437" i="1" s="1"/>
  <c r="A438" i="1" s="1"/>
  <c r="B435" i="1"/>
  <c r="A452" i="6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<sst xmlns="http://schemas.openxmlformats.org/spreadsheetml/2006/main" count="51" uniqueCount="25">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</sst>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/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/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/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/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/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/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/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/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/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/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/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/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/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/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/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/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/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/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/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/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/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/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/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/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/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/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/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/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/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/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/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/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/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/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/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/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/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/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/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/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/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/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/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/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/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/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/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/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/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/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/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/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/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/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/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/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/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/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/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/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/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/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>
            <v>1447.18070072</v>
          </cell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>
            <v>2.3565880300000002</v>
          </cell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>
            <v>1.0054575299999999</v>
          </cell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>
            <v>1.03634497</v>
          </cell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>
            <v>1592.02612417</v>
          </cell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>
            <v>0.7248464</v>
          </cell>
          <cell r="H137"/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>
            <v>0.52641916</v>
          </cell>
          <cell r="H138"/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>
            <v>0.75923313000000003</v>
          </cell>
          <cell r="H139"/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>
            <v>0.79655374000000001</v>
          </cell>
          <cell r="H140"/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>
            <v>0.77356179000000003</v>
          </cell>
          <cell r="H141"/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>
            <v>1.0557977000000001</v>
          </cell>
          <cell r="H142"/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>
            <v>1.03261969</v>
          </cell>
          <cell r="H143"/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>
            <v>1.04042173</v>
          </cell>
          <cell r="H144"/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>
            <v>1.0379155</v>
          </cell>
          <cell r="H145"/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>
            <v>1.0128592000000001</v>
          </cell>
          <cell r="H146"/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>
            <v>1.0207893299999999</v>
          </cell>
          <cell r="H147"/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>
            <v>1.04565635</v>
          </cell>
          <cell r="H148"/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>
            <v>1.0467120999999999</v>
          </cell>
          <cell r="H149"/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>
            <v>1.0266301200000001</v>
          </cell>
          <cell r="H150"/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>
            <v>1.0454507500000001</v>
          </cell>
          <cell r="H151"/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>
            <v>1.0434868399999999</v>
          </cell>
          <cell r="H152"/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>
            <v>1.03615656</v>
          </cell>
          <cell r="H153"/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>
            <v>1.0298</v>
          </cell>
          <cell r="H154"/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>
            <v>1.06227867</v>
          </cell>
          <cell r="H155"/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>
            <v>1.0586518199999999</v>
          </cell>
          <cell r="H156"/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>
            <v>1.04466057</v>
          </cell>
          <cell r="H157"/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>
            <v>1.04391839</v>
          </cell>
          <cell r="H158"/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>
            <v>1.0225680399999999</v>
          </cell>
          <cell r="H159"/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>
            <v>1.0179630500000001</v>
          </cell>
          <cell r="H160"/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>
            <v>1.0317423999999999</v>
          </cell>
          <cell r="H161"/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>
            <v>1.028038</v>
          </cell>
          <cell r="H162"/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>
            <v>1.0019171899999999</v>
          </cell>
          <cell r="H163"/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>
            <v>1.0468617099999999</v>
          </cell>
          <cell r="H164"/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>
            <v>1.0249362200000001</v>
          </cell>
          <cell r="H165"/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>
            <v>1.0415809899999999</v>
          </cell>
          <cell r="H166"/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>
            <v>1.0257151200000001</v>
          </cell>
          <cell r="H167"/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>
            <v>1.0504493399999999</v>
          </cell>
          <cell r="H168"/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>
            <v>1.03330031</v>
          </cell>
          <cell r="H169"/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>
            <v>1.0386238800000001</v>
          </cell>
          <cell r="H170"/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>
            <v>1.0148490699999999</v>
          </cell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>
            <v>1.0470983199999999</v>
          </cell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>
            <v>2126.46305231</v>
          </cell>
          <cell r="H179"/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>
            <v>2154.7996356600001</v>
          </cell>
          <cell r="H180"/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>
            <v>730.44239306999998</v>
          </cell>
          <cell r="H181"/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>
            <v>0.99599216000000002</v>
          </cell>
          <cell r="H185"/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>
            <v>0.97254032000000001</v>
          </cell>
          <cell r="H186"/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>
            <v>0.98491786999999997</v>
          </cell>
          <cell r="H187"/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>
            <v>1.0250005099999999</v>
          </cell>
          <cell r="H188"/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/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/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/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/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/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/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/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/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/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/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/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/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/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/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/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/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/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/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/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/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/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/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/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/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/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/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/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/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/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/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/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/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/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/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/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/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/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>
            <v>1584</v>
          </cell>
          <cell r="H229"/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>
            <v>1589.22083576</v>
          </cell>
          <cell r="H230"/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>
            <v>1573.7681581500001</v>
          </cell>
          <cell r="H231"/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>
            <v>1542.2097403</v>
          </cell>
          <cell r="H232"/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>
            <v>1578.37015967</v>
          </cell>
          <cell r="H233"/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>
            <v>1577.85656604</v>
          </cell>
          <cell r="H234"/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>
            <v>1603.5864684999999</v>
          </cell>
          <cell r="H235"/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>
            <v>1614.3513699299999</v>
          </cell>
          <cell r="H236"/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>
            <v>1539.6795708899999</v>
          </cell>
          <cell r="H237"/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>
            <v>1586.35763221</v>
          </cell>
          <cell r="H238"/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>
            <v>1560.3906701799999</v>
          </cell>
          <cell r="H239"/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>
            <v>1572.1317157999999</v>
          </cell>
          <cell r="H240"/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>
            <v>1586.47960599</v>
          </cell>
          <cell r="H241"/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>
            <v>1610.7136072599999</v>
          </cell>
          <cell r="H242"/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>
            <v>1579.0201237700001</v>
          </cell>
          <cell r="H243"/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>
            <v>1627.35966218</v>
          </cell>
          <cell r="H244"/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>
            <v>1599.9198070800001</v>
          </cell>
          <cell r="H245"/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>
            <v>1578.2348240199999</v>
          </cell>
          <cell r="H246"/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>
            <v>1567.1127671500001</v>
          </cell>
          <cell r="H247"/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>
            <v>1608.07188754</v>
          </cell>
          <cell r="H248"/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>
            <v>1601.76627558</v>
          </cell>
          <cell r="H249"/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>
            <v>1645.5207027599999</v>
          </cell>
          <cell r="H250"/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>
            <v>1627.5636362</v>
          </cell>
          <cell r="H251"/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>
            <v>1593.27791045</v>
          </cell>
          <cell r="H252"/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>
            <v>1661.0454462499999</v>
          </cell>
          <cell r="H253"/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>
            <v>1547.3314157899999</v>
          </cell>
          <cell r="H254"/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>
            <v>1651.5934307800001</v>
          </cell>
          <cell r="H255"/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>
            <v>1642.6808191800001</v>
          </cell>
          <cell r="H256"/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>
            <v>1569.8069778900001</v>
          </cell>
          <cell r="H257"/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>
            <v>1530.7596029599999</v>
          </cell>
          <cell r="H258"/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>
            <v>1562.41397029</v>
          </cell>
          <cell r="H259"/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>
            <v>1555.23696806</v>
          </cell>
          <cell r="H260"/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>
            <v>9.9999999999999995E-8</v>
          </cell>
          <cell r="H261"/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>
            <v>0.4316412</v>
          </cell>
          <cell r="H265"/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>
            <v>1.0859948100000001</v>
          </cell>
          <cell r="H266"/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>
            <v>0.77646219999999999</v>
          </cell>
          <cell r="H267"/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>
            <v>0.9611904</v>
          </cell>
          <cell r="H268"/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>
            <v>1.09494593</v>
          </cell>
          <cell r="H269"/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>
            <v>1.0209309</v>
          </cell>
          <cell r="H270"/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>
            <v>1.1286233699999999</v>
          </cell>
          <cell r="H271"/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>
            <v>1.0833087699999999</v>
          </cell>
          <cell r="H272"/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>
            <v>1.08810611740631</v>
          </cell>
          <cell r="H273"/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>
            <v>1.1024478143607399</v>
          </cell>
          <cell r="H274"/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>
            <v>1.1216116899999999</v>
          </cell>
          <cell r="H275"/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>
            <v>1.0940000000000001</v>
          </cell>
          <cell r="H276"/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>
            <v>1.09873727</v>
          </cell>
          <cell r="H277"/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>
            <v>1.0511492644901499</v>
          </cell>
          <cell r="H278"/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>
            <v>1.0622910299999999</v>
          </cell>
          <cell r="H279"/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>
            <v>1.05513911</v>
          </cell>
          <cell r="H280"/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>
            <v>1.1045507800000001</v>
          </cell>
          <cell r="H281"/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>
            <v>1.1130073300000001</v>
          </cell>
          <cell r="H282"/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>
            <v>1.0870091500000001</v>
          </cell>
          <cell r="H283"/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>
            <v>1.03184912</v>
          </cell>
          <cell r="H284"/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>
            <v>0.55075048999999998</v>
          </cell>
          <cell r="H285"/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>
            <v>1.12049486</v>
          </cell>
          <cell r="H286"/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>
            <v>1.11464301</v>
          </cell>
          <cell r="H287"/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>
            <v>0.53432318999999995</v>
          </cell>
          <cell r="H288"/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>
            <v>681.93756589999998</v>
          </cell>
          <cell r="H292"/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>
            <v>1651.88548975</v>
          </cell>
          <cell r="H293"/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>
            <v>1178.6820378899999</v>
          </cell>
          <cell r="H294"/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>
            <v>1477.8306483700001</v>
          </cell>
          <cell r="H295"/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>
            <v>1642.3455753200001</v>
          </cell>
          <cell r="H296"/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>
            <v>1548.03847309</v>
          </cell>
          <cell r="H297"/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>
            <v>1710.37908634</v>
          </cell>
          <cell r="H298"/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>
            <v>1655.0791069899999</v>
          </cell>
          <cell r="H299"/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>
            <v>1675</v>
          </cell>
          <cell r="H300"/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>
            <v>1695.7869122300001</v>
          </cell>
          <cell r="H301"/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>
            <v>1734.52952559</v>
          </cell>
          <cell r="H302"/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>
            <v>1702.63112514</v>
          </cell>
          <cell r="H303"/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>
            <v>1702.55140972</v>
          </cell>
          <cell r="H304"/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>
            <v>1628.1365433999999</v>
          </cell>
          <cell r="H305"/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>
            <v>1647.3492497699999</v>
          </cell>
          <cell r="H306"/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>
            <v>1637.5289484499999</v>
          </cell>
          <cell r="H307"/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>
            <v>1700.18411896</v>
          </cell>
          <cell r="H308"/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>
            <v>1715.69996436</v>
          </cell>
          <cell r="H309"/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>
            <v>1674.07171294</v>
          </cell>
          <cell r="H310"/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>
            <v>1596.1889217299999</v>
          </cell>
          <cell r="H311"/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>
            <v>835.04713602000004</v>
          </cell>
          <cell r="H312"/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>
            <v>1721.6350084200001</v>
          </cell>
          <cell r="H313"/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>
            <v>1707.7538793900001</v>
          </cell>
          <cell r="H314"/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>
            <v>820.71224224000002</v>
          </cell>
          <cell r="H315"/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>
            <v>522.87686119</v>
          </cell>
          <cell r="H319"/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>
            <v>1562.81540167</v>
          </cell>
          <cell r="H320"/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>
            <v>1545.9597967100001</v>
          </cell>
          <cell r="H321"/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>
            <v>507.59137991</v>
          </cell>
          <cell r="H322"/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>
            <v>1520.7735996399999</v>
          </cell>
          <cell r="H323"/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>
            <v>1524.70251304</v>
          </cell>
          <cell r="H324"/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>
            <v>1512.3057636399999</v>
          </cell>
          <cell r="H325"/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>
            <v>1519.04982812</v>
          </cell>
          <cell r="H326"/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>
            <v>1492.72089289</v>
          </cell>
          <cell r="H327"/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>
            <v>1491.4248024599999</v>
          </cell>
          <cell r="H328"/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>
            <v>1457.94019996</v>
          </cell>
          <cell r="H329"/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>
            <v>1443.708742</v>
          </cell>
          <cell r="H330"/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>
            <v>457.00398000000001</v>
          </cell>
          <cell r="H331"/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>
            <v>9.9999999999999995E-8</v>
          </cell>
          <cell r="H332"/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>
            <v>0.18375765999999999</v>
          </cell>
          <cell r="H336"/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>
            <v>0.20025925999999999</v>
          </cell>
          <cell r="H337"/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>
            <v>0.82763434999999996</v>
          </cell>
          <cell r="H338"/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>
            <v>1.00953973</v>
          </cell>
          <cell r="H339"/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>
            <v>1.87002E-2</v>
          </cell>
          <cell r="H340"/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>
            <v>0.19152807999999999</v>
          </cell>
          <cell r="H341"/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>
            <v>9.7287280000000004E-2</v>
          </cell>
          <cell r="H342"/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>
            <v>2.6838219999999999E-2</v>
          </cell>
          <cell r="H343"/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>
            <v>5.9561589999999998E-2</v>
          </cell>
          <cell r="H344"/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>
            <v>1.5972700000000003E-2</v>
          </cell>
          <cell r="H345"/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>
            <v>7.9194829999999994E-2</v>
          </cell>
          <cell r="H346"/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>
            <v>2.4198979999999998E-2</v>
          </cell>
          <cell r="H347"/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>
            <v>4.0059135000000003E-2</v>
          </cell>
          <cell r="H348"/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>
            <v>2.550871E-2</v>
          </cell>
          <cell r="H349"/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>
            <v>0.18170379</v>
          </cell>
          <cell r="H350"/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>
            <v>0.11956522999999999</v>
          </cell>
          <cell r="H351"/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>
            <v>0.20654782999999999</v>
          </cell>
          <cell r="H352"/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>
            <v>0.16110131</v>
          </cell>
          <cell r="H353"/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>
            <v>0.26657177999999998</v>
          </cell>
          <cell r="H354"/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>
            <v>0.41081056999999999</v>
          </cell>
          <cell r="H355"/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>
            <v>0.23529636000000001</v>
          </cell>
          <cell r="H356"/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>
            <v>0.36593144</v>
          </cell>
          <cell r="H357"/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>
            <v>0.35288603000000002</v>
          </cell>
          <cell r="H358"/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>
            <v>0.40675031</v>
          </cell>
          <cell r="H359"/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>
            <v>0.36743710000000002</v>
          </cell>
          <cell r="H360"/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>
            <v>0.62854463000000005</v>
          </cell>
          <cell r="H361"/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>
            <v>0.43000118999999998</v>
          </cell>
          <cell r="H362"/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>
            <v>0.70053321999999996</v>
          </cell>
          <cell r="H363"/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>
            <v>0.99913220999999997</v>
          </cell>
          <cell r="H364"/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>
            <v>0.52387894000000002</v>
          </cell>
          <cell r="H365"/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>
            <v>0.72260913000000004</v>
          </cell>
          <cell r="H366"/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>
            <v>0.32201277</v>
          </cell>
          <cell r="H367"/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>
            <v>0.99882298999999997</v>
          </cell>
          <cell r="H368"/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>
            <v>0.63502709000000002</v>
          </cell>
          <cell r="H369"/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>
            <v>0.69765812000000005</v>
          </cell>
          <cell r="H370"/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>
            <v>0.79296124000000001</v>
          </cell>
          <cell r="H371"/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>
            <v>0.92235787000000002</v>
          </cell>
          <cell r="H372"/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>
            <v>0.99684930000000005</v>
          </cell>
          <cell r="H373"/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>
            <v>0.99450782999999998</v>
          </cell>
          <cell r="H374"/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>
            <v>1.0457326300000001</v>
          </cell>
          <cell r="H375"/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>
            <v>0.99369213999999995</v>
          </cell>
          <cell r="H376"/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>
            <v>0.82075540000000002</v>
          </cell>
          <cell r="H377"/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>
            <v>1.01704415</v>
          </cell>
          <cell r="H378"/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>
            <v>0.69253854999999997</v>
          </cell>
          <cell r="H379"/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>
            <v>0.98190966999999996</v>
          </cell>
          <cell r="H380"/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>
            <v>0.96142488000000004</v>
          </cell>
          <cell r="H381"/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>
            <v>5690</v>
          </cell>
          <cell r="H385"/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>
            <v>693</v>
          </cell>
          <cell r="H386"/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>
            <v>8235</v>
          </cell>
          <cell r="H387"/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>
            <v>5165</v>
          </cell>
          <cell r="H388"/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>
            <v>6820</v>
          </cell>
          <cell r="H389"/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>
            <v>816.5</v>
          </cell>
          <cell r="H390"/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>
            <v>3232.5</v>
          </cell>
          <cell r="H391"/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>
            <v>2034</v>
          </cell>
          <cell r="H392"/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>
            <v>242</v>
          </cell>
          <cell r="H393"/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>
            <v>2333</v>
          </cell>
          <cell r="H394"/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>
            <v>3122.5</v>
          </cell>
          <cell r="H395"/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>
            <v>1842</v>
          </cell>
          <cell r="H396"/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>
            <v>3960</v>
          </cell>
          <cell r="H397"/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>
            <v>523</v>
          </cell>
          <cell r="H398"/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>
            <v>8365</v>
          </cell>
          <cell r="H399"/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>
            <v>2770</v>
          </cell>
          <cell r="H400"/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>
            <v>2345</v>
          </cell>
          <cell r="H401"/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>
            <v>2358</v>
          </cell>
          <cell r="H402"/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>
            <v>36.33</v>
          </cell>
          <cell r="H403"/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>
            <v>1710</v>
          </cell>
          <cell r="H404"/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>
            <v>9090</v>
          </cell>
          <cell r="H405"/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>
            <v>2419</v>
          </cell>
          <cell r="H406"/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>
            <v>1260</v>
          </cell>
          <cell r="H407"/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>
            <v>1575</v>
          </cell>
          <cell r="H408"/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>
            <v>0.01</v>
          </cell>
          <cell r="H409"/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>
            <v>381</v>
          </cell>
          <cell r="H410"/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>
            <v>2305</v>
          </cell>
          <cell r="H411"/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>
            <v>1850</v>
          </cell>
          <cell r="H412"/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>
            <v>243.5</v>
          </cell>
          <cell r="H413"/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>
            <v>5.36</v>
          </cell>
          <cell r="H417"/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>
            <v>0.34399999999999997</v>
          </cell>
          <cell r="H418"/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>
            <v>2.09</v>
          </cell>
          <cell r="H419"/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>
            <v>3.36</v>
          </cell>
          <cell r="H420"/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>
            <v>1.02</v>
          </cell>
          <cell r="H421"/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>
            <v>4.45</v>
          </cell>
          <cell r="H422"/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>
            <v>3.7050000000000001</v>
          </cell>
          <cell r="H423"/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>
            <v>1.5149999999999999</v>
          </cell>
          <cell r="H424"/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>
            <v>24890</v>
          </cell>
          <cell r="H428"/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>
            <v>11810</v>
          </cell>
          <cell r="H429"/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>
            <v>10680</v>
          </cell>
          <cell r="H430"/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>
            <v>5725</v>
          </cell>
          <cell r="H431"/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>
            <v>21480</v>
          </cell>
          <cell r="H432"/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>
            <v>16650</v>
          </cell>
          <cell r="H433"/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>
            <v>22260</v>
          </cell>
          <cell r="H434"/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>
            <v>13840</v>
          </cell>
          <cell r="H435"/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>
            <v>10310</v>
          </cell>
          <cell r="H436"/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>
            <v>5280</v>
          </cell>
          <cell r="H437"/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>
            <v>28860</v>
          </cell>
          <cell r="H438"/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>
            <v>47720</v>
          </cell>
          <cell r="H439"/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>
            <v>15380</v>
          </cell>
          <cell r="H440"/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>
            <v>41480</v>
          </cell>
          <cell r="H441"/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>
            <v>38420</v>
          </cell>
          <cell r="H442"/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>
            <v>6000</v>
          </cell>
          <cell r="H443"/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>
            <v>6415</v>
          </cell>
          <cell r="H444"/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>
            <v>14870</v>
          </cell>
          <cell r="H445"/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>
            <v>17880</v>
          </cell>
          <cell r="H446"/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>
            <v>9670</v>
          </cell>
          <cell r="H447"/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>
            <v>6.94</v>
          </cell>
          <cell r="H451"/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>
            <v>26.97</v>
          </cell>
          <cell r="H452"/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>
            <v>3.9</v>
          </cell>
          <cell r="H453"/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>
            <v>24.94</v>
          </cell>
          <cell r="H454"/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>
            <v>4.1749999999999998</v>
          </cell>
          <cell r="H455"/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>
            <v>9.65</v>
          </cell>
          <cell r="H456"/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>
            <v>3.94</v>
          </cell>
          <cell r="H460"/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>
            <v>11.13</v>
          </cell>
          <cell r="H461"/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>
            <v>3.39</v>
          </cell>
          <cell r="H462"/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>
            <v>26.78</v>
          </cell>
          <cell r="H463"/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>
            <v>4.79</v>
          </cell>
          <cell r="H464"/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>
            <v>35.090000000000003</v>
          </cell>
          <cell r="H465"/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>
            <v>13.11</v>
          </cell>
          <cell r="H466"/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>
            <v>25.56</v>
          </cell>
          <cell r="H467"/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>
            <v>70.86</v>
          </cell>
          <cell r="H468"/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>
            <v>538.04999999999995</v>
          </cell>
          <cell r="H469"/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>
            <v>1.1299999999999999</v>
          </cell>
          <cell r="H470"/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>
            <v>533.52</v>
          </cell>
          <cell r="H471"/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>
            <v>14.51</v>
          </cell>
          <cell r="H472"/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>
            <v>50.69</v>
          </cell>
          <cell r="H473"/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>
            <v>368.06</v>
          </cell>
          <cell r="H474"/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>
            <v>41.93</v>
          </cell>
          <cell r="H478"/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>
            <v>30.8</v>
          </cell>
          <cell r="H479"/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>
            <v>6.3559999999999999</v>
          </cell>
          <cell r="H480"/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>
            <v>6.6859999999999999</v>
          </cell>
          <cell r="H481"/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>
            <v>105.99</v>
          </cell>
          <cell r="H482"/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>
            <v>293.94</v>
          </cell>
          <cell r="H486"/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>
            <v>152.81</v>
          </cell>
          <cell r="H487"/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>
            <v>1.0005761111111111</v>
          </cell>
          <cell r="H491"/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>
            <v>0.98325999999999991</v>
          </cell>
          <cell r="H492"/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>
            <v>1.0727037500000001</v>
          </cell>
          <cell r="H493"/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>
            <v>1.0088068055555555</v>
          </cell>
          <cell r="H494"/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>
            <v>0.99617986111111123</v>
          </cell>
          <cell r="H495"/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>
            <v>1534</v>
          </cell>
          <cell r="H499"/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>
            <v>558306.52890000003</v>
          </cell>
          <cell r="H503"/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/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>
            <v>558306.52890000003</v>
          </cell>
          <cell r="H505"/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>
            <v>565770.92723999999</v>
          </cell>
          <cell r="H506"/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>
            <v>536522.67252000002</v>
          </cell>
          <cell r="H507"/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>
            <v>0.99927905985570131</v>
          </cell>
          <cell r="H511"/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>
            <v>0.99852810391818214</v>
          </cell>
          <cell r="H512"/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>
            <v>0.996800924463218</v>
          </cell>
          <cell r="H513"/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>
            <v>0.99547900889869856</v>
          </cell>
          <cell r="H514"/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>
            <v>0.99452535047434365</v>
          </cell>
          <cell r="H515"/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>
            <v>0.91361918349978732</v>
          </cell>
          <cell r="H519"/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>
            <v>0.91361918349978732</v>
          </cell>
          <cell r="H520"/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>
            <v>0.96315725587262035</v>
          </cell>
          <cell r="H521"/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>
            <v>1495.3668522804135</v>
          </cell>
          <cell r="H525"/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>
            <v>1495.3668522804135</v>
          </cell>
          <cell r="H526"/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>
            <v>1485.6438092998774</v>
          </cell>
          <cell r="H527"/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>
            <v>1485.6438092998774</v>
          </cell>
          <cell r="H528"/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>
            <v>1476.9697498545665</v>
          </cell>
          <cell r="H529"/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/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>
            <v>1494.1051207397147</v>
          </cell>
          <cell r="H531"/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>
            <v>1494.1051207397147</v>
          </cell>
          <cell r="H532"/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>
            <v>1476.9697498545665</v>
          </cell>
          <cell r="H533"/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>
            <v>1476.9697498545665</v>
          </cell>
          <cell r="H534"/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>
            <v>1469.6150576854459</v>
          </cell>
          <cell r="H535"/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>
            <v>1486.8912846404189</v>
          </cell>
          <cell r="H536"/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>
            <v>1467.4837164434955</v>
          </cell>
          <cell r="H537"/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>
            <v>1482.5342596147693</v>
          </cell>
          <cell r="H538"/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>
            <v>1472.6705927534697</v>
          </cell>
          <cell r="H539"/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>
            <v>1480.3653086082845</v>
          </cell>
          <cell r="H540"/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>
            <v>1478.2026946911715</v>
          </cell>
          <cell r="H541"/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>
            <v>1493.4750530821207</v>
          </cell>
          <cell r="H542"/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>
            <v>1491.273994904117</v>
          </cell>
          <cell r="H543"/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>
            <v>1497.8967191673526</v>
          </cell>
          <cell r="H544"/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>
            <v>1452.7356854896655</v>
          </cell>
          <cell r="H545"/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>
            <v>1444.4405711034735</v>
          </cell>
          <cell r="H546"/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>
            <v>1466.2685804774947</v>
          </cell>
          <cell r="H547"/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>
            <v>1461.1266243236637</v>
          </cell>
          <cell r="H548"/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>
            <v>1494.4203539704085</v>
          </cell>
          <cell r="H549"/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  <cell r="G551">
            <v>1465.9651108527314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  <cell r="G552">
            <v>1465.9651108527314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  <cell r="G553">
            <v>1465.9651108527314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  <cell r="G554">
            <v>1461.7296877382446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  <cell r="G555">
            <v>1457.5186678375298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  <cell r="G556">
            <v>1453.3318408506368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  <cell r="G557">
            <v>1447.0965079736879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6"/>
  <sheetViews>
    <sheetView workbookViewId="0">
      <pane ySplit="1" topLeftCell="A131" activePane="bottomLeft" state="frozen"/>
      <selection pane="bottomLeft" activeCell="D146" sqref="D146"/>
    </sheetView>
  </sheetViews>
  <sheetFormatPr baseColWidth="10" defaultRowHeight="15" x14ac:dyDescent="0.25"/>
  <cols>
    <col min="5" max="6" width="11.42578125" customWidth="1"/>
  </cols>
  <sheetData>
    <row r="1" spans="1:20" x14ac:dyDescent="0.25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s="10"/>
      <c r="O1" s="10" t="s">
        <v>18</v>
      </c>
      <c r="P1" s="10" t="s">
        <v>19</v>
      </c>
      <c r="Q1" s="10" t="s">
        <v>20</v>
      </c>
      <c r="S1" t="s">
        <v>4</v>
      </c>
      <c r="T1" t="s">
        <v>12</v>
      </c>
    </row>
    <row r="2" spans="1:20" x14ac:dyDescent="0.25">
      <c r="A2" s="8">
        <v>46072</v>
      </c>
      <c r="B2" s="10">
        <v>110.00000000000621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L2" s="10"/>
      <c r="N2" s="10"/>
      <c r="O2" s="10">
        <v>3.1489999999999956</v>
      </c>
      <c r="P2" s="10">
        <v>0.99499999999518851</v>
      </c>
      <c r="Q2" s="10">
        <v>1.0039999999997464</v>
      </c>
      <c r="S2">
        <v>102.99999999941318</v>
      </c>
    </row>
    <row r="3" spans="1:20" x14ac:dyDescent="0.25">
      <c r="A3" s="8">
        <v>46073</v>
      </c>
      <c r="B3" s="10">
        <v>110.93700000000241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L3" s="10"/>
      <c r="N3" s="10"/>
      <c r="O3" s="10">
        <v>3.1950000000001011</v>
      </c>
      <c r="P3" s="10">
        <v>0.98999999999997823</v>
      </c>
      <c r="Q3" s="10">
        <v>1.0052499999997973</v>
      </c>
      <c r="S3">
        <v>104.89999999968605</v>
      </c>
    </row>
    <row r="4" spans="1:20" x14ac:dyDescent="0.25">
      <c r="A4" s="8">
        <v>46076</v>
      </c>
      <c r="B4" s="10">
        <v>110.40000000000636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L4" s="10"/>
      <c r="N4" s="10"/>
      <c r="O4" s="10">
        <v>3.1829999999999679</v>
      </c>
      <c r="P4" s="10">
        <v>1.033000000000005</v>
      </c>
      <c r="Q4" s="10">
        <v>1.0084999999998279</v>
      </c>
      <c r="S4">
        <v>103.99999999937211</v>
      </c>
    </row>
    <row r="5" spans="1:20" x14ac:dyDescent="0.25">
      <c r="A5" s="8">
        <v>46077</v>
      </c>
      <c r="B5" s="10">
        <v>111.19999999999825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L5" s="10"/>
      <c r="N5" s="10"/>
      <c r="O5" s="10">
        <v>3.1779999999999733</v>
      </c>
      <c r="P5" s="10">
        <v>1.004999999997616</v>
      </c>
      <c r="Q5" s="10">
        <v>1.0114999999998535</v>
      </c>
      <c r="S5">
        <v>103.50000000000152</v>
      </c>
    </row>
    <row r="6" spans="1:20" x14ac:dyDescent="0.25">
      <c r="A6" s="8">
        <v>46078</v>
      </c>
      <c r="B6" s="10">
        <v>111.15000000000083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L6" s="10"/>
      <c r="N6" s="10"/>
      <c r="O6" s="10">
        <v>3.1705000000001764</v>
      </c>
      <c r="P6" s="10">
        <v>1.004999999997251</v>
      </c>
      <c r="Q6" s="10">
        <v>1.0114999999998486</v>
      </c>
      <c r="S6">
        <v>104.90000000000501</v>
      </c>
    </row>
    <row r="7" spans="1:20" x14ac:dyDescent="0.25">
      <c r="A7" s="8">
        <v>46079</v>
      </c>
      <c r="B7" s="10">
        <v>111.40000000000327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L7" s="10"/>
      <c r="N7" s="10"/>
      <c r="O7" s="10">
        <v>3.2039999999999678</v>
      </c>
      <c r="P7" s="10">
        <v>1.009999999998396</v>
      </c>
      <c r="Q7" s="10">
        <v>1.0169999999999662</v>
      </c>
      <c r="S7">
        <v>103.50000000000257</v>
      </c>
    </row>
    <row r="8" spans="1:20" x14ac:dyDescent="0.25">
      <c r="A8" s="8">
        <v>46080</v>
      </c>
      <c r="B8" s="10">
        <v>111.0099999999985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L8" s="10"/>
      <c r="N8" s="10"/>
      <c r="O8" s="10">
        <v>3.2499999999773217</v>
      </c>
      <c r="P8" s="10">
        <v>1.0400000000001015</v>
      </c>
      <c r="Q8" s="10">
        <v>1.0244999999999562</v>
      </c>
      <c r="S8">
        <v>104.89999999999642</v>
      </c>
    </row>
    <row r="9" spans="1:20" x14ac:dyDescent="0.25">
      <c r="A9" s="8">
        <v>46083</v>
      </c>
      <c r="B9" s="10">
        <v>112.23999999999631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L9" s="10"/>
      <c r="N9" s="10"/>
      <c r="O9" s="10">
        <v>3.2554999999793024</v>
      </c>
      <c r="P9" s="10">
        <v>1.0199999999993843</v>
      </c>
      <c r="Q9" s="10">
        <v>1.0239999999999734</v>
      </c>
      <c r="S9">
        <v>106.99999999972248</v>
      </c>
    </row>
    <row r="10" spans="1:20" x14ac:dyDescent="0.25">
      <c r="A10" s="8">
        <v>46084</v>
      </c>
      <c r="B10" s="10">
        <v>111.9999999999977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L10" s="10"/>
      <c r="N10" s="10"/>
      <c r="O10" s="10">
        <v>3.2324999999997717</v>
      </c>
      <c r="P10" s="10">
        <v>1.0299999999997191</v>
      </c>
      <c r="Q10" s="10">
        <v>1.0269999999999477</v>
      </c>
      <c r="S10">
        <v>106.79999999978268</v>
      </c>
    </row>
    <row r="11" spans="1:20" x14ac:dyDescent="0.25">
      <c r="A11" s="8">
        <v>46085</v>
      </c>
      <c r="B11" s="10">
        <v>112.34899999999747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L11" s="10"/>
      <c r="N11" s="10"/>
      <c r="O11" s="10">
        <v>3.2490000000001835</v>
      </c>
      <c r="P11" s="10">
        <v>1.0399999999999416</v>
      </c>
      <c r="Q11" s="10">
        <v>1.0299999999999416</v>
      </c>
      <c r="S11">
        <v>106.79999999987135</v>
      </c>
    </row>
    <row r="12" spans="1:20" x14ac:dyDescent="0.25">
      <c r="A12" s="8">
        <v>46086</v>
      </c>
      <c r="B12" s="10">
        <v>111.88500000000026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L12" s="10"/>
      <c r="N12" s="10"/>
      <c r="O12" s="10">
        <v>3.2459999999998952</v>
      </c>
      <c r="P12" s="11">
        <v>1.0675000000000372</v>
      </c>
      <c r="Q12" s="10">
        <v>1.032000000000004</v>
      </c>
      <c r="S12">
        <v>105.19999999983145</v>
      </c>
    </row>
    <row r="13" spans="1:20" x14ac:dyDescent="0.25">
      <c r="A13" s="8">
        <v>46087</v>
      </c>
      <c r="B13" s="10">
        <v>111.89999999999868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L13" s="10"/>
      <c r="N13" s="10"/>
      <c r="O13" s="10">
        <v>3.2410000000000663</v>
      </c>
      <c r="P13" s="10"/>
      <c r="Q13" s="10">
        <v>1.0349999999999961</v>
      </c>
      <c r="S13">
        <v>104.99999999984149</v>
      </c>
    </row>
    <row r="14" spans="1:20" x14ac:dyDescent="0.25">
      <c r="A14" s="8">
        <v>46090</v>
      </c>
      <c r="B14" s="10">
        <v>111.74999999999918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L14" s="10"/>
      <c r="N14" s="10"/>
      <c r="O14" s="10">
        <v>3.24999999999975</v>
      </c>
      <c r="P14" s="11">
        <v>1.0675000000000372</v>
      </c>
      <c r="Q14" s="10">
        <v>1.0358999999999625</v>
      </c>
      <c r="S14">
        <v>104.54999999980792</v>
      </c>
    </row>
    <row r="15" spans="1:20" x14ac:dyDescent="0.25">
      <c r="A15" s="8">
        <v>46091</v>
      </c>
      <c r="B15" s="10">
        <v>111.99800000000204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L15" s="10"/>
      <c r="N15" s="10"/>
      <c r="O15" s="10">
        <v>3.2500000000001599</v>
      </c>
      <c r="P15" s="10">
        <v>1.0679999999999417</v>
      </c>
      <c r="Q15" s="10">
        <v>1.0378999999999534</v>
      </c>
      <c r="S15">
        <v>106.04999999990095</v>
      </c>
    </row>
    <row r="16" spans="1:20" x14ac:dyDescent="0.25">
      <c r="A16" s="8">
        <v>46092</v>
      </c>
      <c r="B16" s="10">
        <v>112.30000000000145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L16" s="10"/>
      <c r="N16" s="10"/>
      <c r="O16" s="10">
        <v>3.2540000000000036</v>
      </c>
      <c r="P16" s="10">
        <v>1.0675000000000372</v>
      </c>
      <c r="Q16" s="10">
        <v>1.0384999999999893</v>
      </c>
      <c r="S16">
        <v>106.7999999999403</v>
      </c>
    </row>
    <row r="17" spans="1:19" x14ac:dyDescent="0.25">
      <c r="A17" s="8">
        <v>46093</v>
      </c>
      <c r="B17" s="10">
        <v>111.84999999999874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L17" s="10"/>
      <c r="N17" s="10"/>
      <c r="O17" s="10">
        <v>3.2504999999999495</v>
      </c>
      <c r="P17" s="10">
        <v>1.0159999999945137</v>
      </c>
      <c r="Q17" s="10">
        <v>1.0409899999999972</v>
      </c>
      <c r="S17">
        <v>106.19999999991859</v>
      </c>
    </row>
    <row r="18" spans="1:19" x14ac:dyDescent="0.25">
      <c r="A18" s="8">
        <v>46094</v>
      </c>
      <c r="B18" s="10">
        <v>112.69900000000021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L18" s="10"/>
      <c r="N18" s="10"/>
      <c r="O18" s="10">
        <v>3.2999999999691103</v>
      </c>
      <c r="P18" s="10">
        <v>1.0379999999994793</v>
      </c>
      <c r="Q18" s="10">
        <v>1.0540000000000018</v>
      </c>
      <c r="S18">
        <v>107.94999999996216</v>
      </c>
    </row>
    <row r="19" spans="1:19" x14ac:dyDescent="0.25">
      <c r="A19" s="8">
        <v>46097</v>
      </c>
      <c r="B19" s="10">
        <v>113.09999999999658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L19" s="10"/>
      <c r="N19" s="10"/>
      <c r="O19" s="10">
        <v>3.3429999999920428</v>
      </c>
      <c r="P19" s="10">
        <v>1.0479999999998857</v>
      </c>
      <c r="Q19" s="10">
        <v>1.0660000000000289</v>
      </c>
      <c r="S19">
        <v>107.74999999996066</v>
      </c>
    </row>
    <row r="20" spans="1:19" x14ac:dyDescent="0.25">
      <c r="A20" s="8">
        <v>46098</v>
      </c>
      <c r="B20" s="10">
        <v>113.39999999999888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L20" s="10"/>
      <c r="N20" s="10"/>
      <c r="O20" s="10">
        <v>3.3899999999988313</v>
      </c>
      <c r="P20" s="10">
        <v>1.0484999999998044</v>
      </c>
      <c r="Q20" s="10">
        <v>1.0664999999999933</v>
      </c>
      <c r="S20">
        <v>107.24999999994462</v>
      </c>
    </row>
    <row r="21" spans="1:19" x14ac:dyDescent="0.25">
      <c r="A21" s="8">
        <v>46099</v>
      </c>
      <c r="B21" s="10">
        <v>113.80000000000072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L21" s="10"/>
      <c r="N21" s="10"/>
      <c r="O21" s="10">
        <v>3.4044999999992411</v>
      </c>
      <c r="P21" s="10">
        <v>1.0699999999999621</v>
      </c>
      <c r="Q21" s="10">
        <v>1.0692999999999977</v>
      </c>
      <c r="S21">
        <v>106.94999999994322</v>
      </c>
    </row>
    <row r="22" spans="1:19" x14ac:dyDescent="0.25">
      <c r="A22" s="8">
        <v>46100</v>
      </c>
      <c r="B22" s="10">
        <v>114.00000000000057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L22" s="10"/>
      <c r="N22" s="10"/>
      <c r="O22" s="10">
        <v>3.3599999999937551</v>
      </c>
      <c r="P22" s="10">
        <v>1.0689999999999893</v>
      </c>
      <c r="Q22" s="10">
        <v>1.0664999999999885</v>
      </c>
      <c r="S22">
        <v>106.64999999994774</v>
      </c>
    </row>
    <row r="23" spans="1:19" x14ac:dyDescent="0.25">
      <c r="A23" s="8">
        <v>46101</v>
      </c>
      <c r="B23" s="10">
        <v>114.86499999999762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L23" s="10"/>
      <c r="N23" s="10"/>
      <c r="O23" s="10">
        <v>3.3689999999934948</v>
      </c>
      <c r="P23" s="10">
        <v>1.059999999999909</v>
      </c>
      <c r="Q23" s="10">
        <v>1.0725000000000322</v>
      </c>
      <c r="S23">
        <v>107.49999999997884</v>
      </c>
    </row>
    <row r="24" spans="1:19" x14ac:dyDescent="0.25">
      <c r="A24" s="8">
        <v>46104</v>
      </c>
      <c r="B24" s="10">
        <v>115.9800000000014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L24" s="10"/>
      <c r="N24" s="10"/>
      <c r="O24" s="10">
        <v>3.4214999999995257</v>
      </c>
      <c r="P24" s="10">
        <v>1.0695000000000225</v>
      </c>
      <c r="Q24" s="10">
        <v>1.0794999999999879</v>
      </c>
      <c r="S24">
        <v>108.14999999998879</v>
      </c>
    </row>
    <row r="25" spans="1:19" x14ac:dyDescent="0.25">
      <c r="A25" s="8">
        <v>46106</v>
      </c>
      <c r="B25" s="10">
        <v>114.54899999999985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L25" s="10"/>
      <c r="N25" s="10"/>
      <c r="O25" s="10">
        <v>3.4099999999984676</v>
      </c>
      <c r="P25" s="10">
        <v>1.0674999999999715</v>
      </c>
      <c r="Q25" s="10">
        <v>1.0744999999999723</v>
      </c>
      <c r="S25">
        <v>106.19999999997103</v>
      </c>
    </row>
    <row r="26" spans="1:19" x14ac:dyDescent="0.25">
      <c r="A26" s="8">
        <v>46107</v>
      </c>
      <c r="B26" s="10">
        <v>115.70000000000068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L26" s="10"/>
      <c r="N26" s="10"/>
      <c r="O26" s="10">
        <v>3.4399999999993502</v>
      </c>
      <c r="P26" s="10">
        <v>1.0800000000000392</v>
      </c>
      <c r="Q26" s="10">
        <v>1.0950000000000129</v>
      </c>
      <c r="S26">
        <v>106.64999999998584</v>
      </c>
    </row>
    <row r="27" spans="1:19" x14ac:dyDescent="0.25">
      <c r="A27" s="8">
        <v>46108</v>
      </c>
      <c r="B27" s="10">
        <v>115.99999999999973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L27" s="10"/>
      <c r="N27" s="10"/>
      <c r="O27" s="10">
        <v>3.4849999999995833</v>
      </c>
      <c r="P27" s="10">
        <v>1.1049999999944762</v>
      </c>
      <c r="Q27" s="10">
        <v>1.1019999999999992</v>
      </c>
      <c r="S27">
        <v>107.59999999999323</v>
      </c>
    </row>
    <row r="28" spans="1:19" x14ac:dyDescent="0.25">
      <c r="A28" s="8">
        <v>46111</v>
      </c>
      <c r="B28" s="10">
        <v>115.71900000000255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L28" s="10"/>
      <c r="N28" s="10"/>
      <c r="O28" s="10">
        <v>3.4835000000001934</v>
      </c>
      <c r="P28" s="10">
        <v>1.1099999999976307</v>
      </c>
      <c r="Q28" s="10">
        <v>1.0964999999986789</v>
      </c>
      <c r="S28">
        <v>107.44999999998809</v>
      </c>
    </row>
    <row r="29" spans="1:19" x14ac:dyDescent="0.25">
      <c r="A29" s="8">
        <v>46112</v>
      </c>
      <c r="B29" s="10">
        <v>116.00000000000099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L29" s="10"/>
      <c r="N29" s="10"/>
      <c r="O29" s="10">
        <v>3.5300000000003466</v>
      </c>
      <c r="P29" s="10">
        <v>1.0950000000000111</v>
      </c>
      <c r="Q29" s="10">
        <v>1.1023500000000188</v>
      </c>
      <c r="S29">
        <v>108.29999999999424</v>
      </c>
    </row>
    <row r="30" spans="1:19" x14ac:dyDescent="0.25">
      <c r="A30" s="8">
        <v>46113</v>
      </c>
      <c r="B30" s="10">
        <v>116.88499999999729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L30" s="10"/>
      <c r="N30" s="10"/>
      <c r="O30" s="10">
        <v>3.5690000000000417</v>
      </c>
      <c r="P30" s="10">
        <v>1.0980000000000232</v>
      </c>
      <c r="Q30" s="10">
        <v>1.1049999999999873</v>
      </c>
      <c r="S30">
        <v>109.10000000000069</v>
      </c>
    </row>
    <row r="31" spans="1:19" x14ac:dyDescent="0.25">
      <c r="A31" s="8">
        <v>46118</v>
      </c>
      <c r="B31" s="10">
        <v>116.89800000000024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L31" s="10"/>
      <c r="N31" s="10"/>
      <c r="O31" s="10">
        <v>3.6124999999959631</v>
      </c>
      <c r="P31" s="10">
        <v>1.1055000000000108</v>
      </c>
      <c r="Q31" s="10">
        <v>1.1079999999999852</v>
      </c>
      <c r="S31">
        <v>109.74999999999665</v>
      </c>
    </row>
    <row r="32" spans="1:19" x14ac:dyDescent="0.25">
      <c r="A32" s="8">
        <v>46119</v>
      </c>
      <c r="B32" s="10">
        <v>116.37799999999939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L32" s="10"/>
      <c r="N32" s="10"/>
      <c r="O32" s="10">
        <v>3.5800000000000889</v>
      </c>
      <c r="P32" s="10">
        <v>1.126000000000011</v>
      </c>
      <c r="Q32" s="10">
        <v>1.1080000000000125</v>
      </c>
      <c r="S32">
        <v>110.25000000000263</v>
      </c>
    </row>
    <row r="33" spans="1:19" x14ac:dyDescent="0.25">
      <c r="A33" s="8">
        <v>46120</v>
      </c>
      <c r="B33" s="10">
        <v>116.80000000000203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L33" s="10"/>
      <c r="N33" s="10"/>
      <c r="O33" s="10">
        <v>3.5600000000001022</v>
      </c>
      <c r="P33" s="10">
        <v>1.1300000000000012</v>
      </c>
      <c r="Q33" s="10">
        <v>1.1107600000000233</v>
      </c>
      <c r="S33">
        <v>109.79999999999788</v>
      </c>
    </row>
    <row r="34" spans="1:19" x14ac:dyDescent="0.25">
      <c r="A34" s="8">
        <v>46121</v>
      </c>
      <c r="B34" s="10">
        <v>117.99000000000181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L34" s="10"/>
      <c r="N34" s="10"/>
      <c r="O34" s="10">
        <v>3.5404999999998603</v>
      </c>
      <c r="P34" s="10">
        <v>1.1199999999956616</v>
      </c>
      <c r="Q34" s="10">
        <v>1.1159999999999803</v>
      </c>
      <c r="S34">
        <v>109.44999999999936</v>
      </c>
    </row>
    <row r="35" spans="1:19" x14ac:dyDescent="0.25">
      <c r="A35" s="8">
        <v>46122</v>
      </c>
      <c r="B35" s="10">
        <v>117.54899999999884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L35" s="10"/>
      <c r="N35" s="10"/>
      <c r="O35" s="10">
        <v>3.5589999999997133</v>
      </c>
      <c r="P35" s="10">
        <v>1.1280000000000576</v>
      </c>
      <c r="Q35" s="10">
        <v>1.1175000000000006</v>
      </c>
      <c r="S35">
        <v>109.49999999999973</v>
      </c>
    </row>
    <row r="36" spans="1:19" x14ac:dyDescent="0.25">
      <c r="A36" s="8">
        <v>46125</v>
      </c>
      <c r="B36" s="10">
        <v>117.55000000000105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L36" s="10"/>
      <c r="N36" s="10"/>
      <c r="O36" s="10">
        <v>3.5579999999997454</v>
      </c>
      <c r="P36" s="10">
        <v>1.128000000000029</v>
      </c>
      <c r="Q36" s="10">
        <v>1.1199999999999819</v>
      </c>
      <c r="S36">
        <v>109.54999999999784</v>
      </c>
    </row>
    <row r="37" spans="1:19" x14ac:dyDescent="0.25">
      <c r="A37" s="8">
        <v>46126</v>
      </c>
      <c r="B37" s="10">
        <v>117.75000000000213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L37" s="10"/>
      <c r="N37" s="10"/>
      <c r="O37" s="10">
        <v>3.572500000000153</v>
      </c>
      <c r="P37" s="10">
        <v>1.1099999999999814</v>
      </c>
      <c r="Q37" s="10">
        <v>1.1265000000000049</v>
      </c>
      <c r="S37">
        <v>109.30000000000398</v>
      </c>
    </row>
    <row r="38" spans="1:19" x14ac:dyDescent="0.25">
      <c r="A38" s="8">
        <v>46127</v>
      </c>
      <c r="B38" s="10">
        <v>118.55100000000004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L38" s="10"/>
      <c r="N38" s="10"/>
      <c r="O38" s="10">
        <v>3.6049999999999924</v>
      </c>
      <c r="P38" s="10">
        <v>1.1399999999999366</v>
      </c>
      <c r="Q38" s="10">
        <v>1.1313000000000115</v>
      </c>
      <c r="S38">
        <v>109.00000000000314</v>
      </c>
    </row>
    <row r="39" spans="1:19" x14ac:dyDescent="0.25">
      <c r="A39" s="8">
        <v>46128</v>
      </c>
      <c r="B39" s="10">
        <v>119.06999999999942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L39" s="10"/>
      <c r="N39" s="10"/>
      <c r="O39" s="10">
        <v>3.6260000000001482</v>
      </c>
      <c r="P39" s="10">
        <v>1.1199999999999937</v>
      </c>
      <c r="Q39" s="10">
        <v>1.1339999999999877</v>
      </c>
      <c r="S39">
        <v>109.24999999999714</v>
      </c>
    </row>
    <row r="40" spans="1:19" x14ac:dyDescent="0.25">
      <c r="A40" s="8">
        <v>46129</v>
      </c>
      <c r="B40" s="10">
        <v>119.85000000000086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L40" s="10"/>
      <c r="N40" s="10"/>
      <c r="O40" s="10">
        <v>3.6799999999879862</v>
      </c>
      <c r="P40" s="10">
        <v>1.1299999999948867</v>
      </c>
      <c r="Q40" s="10">
        <v>1.1479999999999899</v>
      </c>
      <c r="S40">
        <v>110.19999999999675</v>
      </c>
    </row>
    <row r="41" spans="1:19" x14ac:dyDescent="0.25">
      <c r="A41" s="8">
        <v>46132</v>
      </c>
      <c r="B41" s="10">
        <v>119.86100000000025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L41" s="10"/>
      <c r="N41" s="10"/>
      <c r="O41" s="10">
        <v>3.6700000000001189</v>
      </c>
      <c r="P41" s="10">
        <v>1.1349999999997946</v>
      </c>
      <c r="Q41" s="10">
        <v>1.1478999999999802</v>
      </c>
      <c r="S41">
        <v>110.40000000000272</v>
      </c>
    </row>
    <row r="42" spans="1:19" x14ac:dyDescent="0.25">
      <c r="A42" s="8">
        <v>46133</v>
      </c>
      <c r="B42" s="10">
        <v>120.02499999999972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L42" s="10"/>
      <c r="N42" s="10"/>
      <c r="O42" s="10">
        <v>3.6600000000000579</v>
      </c>
      <c r="P42" s="10">
        <v>1.1374999999934998</v>
      </c>
      <c r="Q42" s="10">
        <v>1.1485000000000216</v>
      </c>
      <c r="S42">
        <v>110.50000000000686</v>
      </c>
    </row>
    <row r="43" spans="1:19" x14ac:dyDescent="0.25">
      <c r="A43" s="8">
        <v>46134</v>
      </c>
      <c r="B43" s="10">
        <v>120.17500000000139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L43" s="10"/>
      <c r="N43" s="10"/>
      <c r="O43" s="10">
        <v>3.66749999999996</v>
      </c>
      <c r="P43" s="10">
        <v>1.1299999999934778</v>
      </c>
      <c r="Q43" s="10">
        <v>1.1477499999999956</v>
      </c>
      <c r="S43">
        <v>110.79999999999932</v>
      </c>
    </row>
    <row r="44" spans="1:19" x14ac:dyDescent="0.25">
      <c r="A44" s="8">
        <v>46135</v>
      </c>
      <c r="B44" s="10">
        <v>119.64999999999995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L44" s="10"/>
      <c r="N44" s="10"/>
      <c r="O44" s="10">
        <v>3.643499999999833</v>
      </c>
      <c r="P44" s="10">
        <v>1.1299999999999444</v>
      </c>
      <c r="Q44" s="10">
        <v>1.137999999999977</v>
      </c>
      <c r="S44">
        <v>110.69999999999899</v>
      </c>
    </row>
    <row r="45" spans="1:19" x14ac:dyDescent="0.25">
      <c r="A45" s="8">
        <v>46136</v>
      </c>
      <c r="B45" s="10">
        <v>120.09900000000258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L45" s="10"/>
      <c r="N45" s="10"/>
      <c r="O45" s="10">
        <v>3.6394999999999591</v>
      </c>
      <c r="P45" s="10">
        <v>1.128999999999994</v>
      </c>
      <c r="Q45" s="10">
        <v>1.1409999999999791</v>
      </c>
      <c r="S45">
        <v>110.29999999999556</v>
      </c>
    </row>
    <row r="46" spans="1:19" x14ac:dyDescent="0.25">
      <c r="A46" s="8">
        <v>46139</v>
      </c>
      <c r="B46" s="10">
        <v>119.80000000000291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L46" s="10"/>
      <c r="N46" s="10"/>
      <c r="O46" s="10">
        <v>3.6289999999999232</v>
      </c>
      <c r="P46" s="10">
        <v>1.1300000000000365</v>
      </c>
      <c r="Q46" s="10">
        <v>1.1399599999999728</v>
      </c>
      <c r="S46">
        <v>110.4999999999927</v>
      </c>
    </row>
    <row r="47" spans="1:19" x14ac:dyDescent="0.25">
      <c r="A47" s="8">
        <v>46140</v>
      </c>
      <c r="B47" s="10">
        <v>119.92500000000111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L47" s="10"/>
      <c r="N47" s="10"/>
      <c r="O47" s="10">
        <v>3.6325000000001535</v>
      </c>
      <c r="P47" s="10">
        <v>1.132000000000049</v>
      </c>
      <c r="Q47" s="10">
        <v>1.1374999999999995</v>
      </c>
      <c r="S47">
        <v>110.29999999999545</v>
      </c>
    </row>
    <row r="48" spans="1:19" x14ac:dyDescent="0.25">
      <c r="A48" s="8">
        <v>46141</v>
      </c>
      <c r="B48" s="10">
        <v>119.50999999999907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L48" s="10"/>
      <c r="N48" s="10"/>
      <c r="O48" s="10">
        <v>3.5849999999999933</v>
      </c>
      <c r="P48" s="10">
        <v>1.1289999999999845</v>
      </c>
      <c r="Q48" s="10">
        <v>1.1289999999999949</v>
      </c>
      <c r="S48">
        <v>110.4000000000002</v>
      </c>
    </row>
    <row r="49" spans="1:19" x14ac:dyDescent="0.25">
      <c r="A49" s="8">
        <v>46142</v>
      </c>
      <c r="B49" s="10">
        <v>120.09900000000209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L49" s="10"/>
      <c r="N49" s="10"/>
      <c r="O49" s="10">
        <v>3.5909999999996751</v>
      </c>
      <c r="P49" s="10">
        <v>1.1345000000000405</v>
      </c>
      <c r="Q49" s="10">
        <v>1.1309999999999985</v>
      </c>
      <c r="S49">
        <v>110.99999999999972</v>
      </c>
    </row>
    <row r="50" spans="1:19" x14ac:dyDescent="0.25">
      <c r="A50" s="8">
        <v>46146</v>
      </c>
      <c r="B50" s="10">
        <v>120.08799999999947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L50" s="10"/>
      <c r="N50" s="10"/>
      <c r="O50" s="10">
        <v>3.6185000000001999</v>
      </c>
      <c r="P50" s="10">
        <v>1.1350000000000475</v>
      </c>
      <c r="Q50" s="10">
        <v>1.1348999999999807</v>
      </c>
      <c r="S50">
        <v>110.44999999999776</v>
      </c>
    </row>
    <row r="51" spans="1:19" x14ac:dyDescent="0.25">
      <c r="A51" s="8">
        <v>46147</v>
      </c>
      <c r="B51" s="10">
        <v>119.89600000000151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L51" s="10"/>
      <c r="N51" s="10"/>
      <c r="O51" s="10">
        <v>3.6385000000000192</v>
      </c>
      <c r="P51" s="10">
        <v>1.1409999999999991</v>
      </c>
      <c r="Q51" s="10">
        <v>1.1387999999999905</v>
      </c>
      <c r="S51">
        <v>110.7999999999989</v>
      </c>
    </row>
    <row r="52" spans="1:19" x14ac:dyDescent="0.25">
      <c r="A52" s="8">
        <v>46148</v>
      </c>
      <c r="B52" s="10">
        <v>120.25000000000104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L52" s="10"/>
      <c r="N52" s="10"/>
      <c r="O52" s="10">
        <v>3.6814999999997435</v>
      </c>
      <c r="P52" s="10">
        <v>1.1385000000000418</v>
      </c>
      <c r="Q52" s="10">
        <v>1.1409999999999989</v>
      </c>
      <c r="S52">
        <v>110.90000000000208</v>
      </c>
    </row>
    <row r="53" spans="1:19" x14ac:dyDescent="0.25">
      <c r="A53" s="8">
        <v>46149</v>
      </c>
      <c r="B53" s="10">
        <v>120.8000000000017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L53" s="10"/>
      <c r="N53" s="10"/>
      <c r="O53" s="10">
        <v>3.6824999999999299</v>
      </c>
      <c r="P53" s="10">
        <v>1.1445000000000323</v>
      </c>
      <c r="Q53" s="10">
        <v>1.1470099999999774</v>
      </c>
      <c r="S53">
        <v>111.15000000000531</v>
      </c>
    </row>
    <row r="54" spans="1:19" x14ac:dyDescent="0.25">
      <c r="A54" s="8">
        <v>46150</v>
      </c>
      <c r="B54" s="10">
        <v>121.0000000000029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L54" s="10"/>
      <c r="N54" s="10"/>
      <c r="O54" s="10">
        <v>3.6849999999998762</v>
      </c>
      <c r="P54" s="10">
        <v>1.1524999999999681</v>
      </c>
      <c r="Q54" s="10">
        <v>1.1539999999999726</v>
      </c>
      <c r="S54">
        <v>111.50000000000003</v>
      </c>
    </row>
    <row r="55" spans="1:19" x14ac:dyDescent="0.25">
      <c r="A55" s="8">
        <v>46153</v>
      </c>
      <c r="B55" s="10">
        <v>121.05100000000017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L55" s="10"/>
      <c r="N55" s="10"/>
      <c r="O55" s="10">
        <v>3.7349999999999941</v>
      </c>
      <c r="P55" s="10">
        <v>1.1645000000000527</v>
      </c>
      <c r="Q55" s="10">
        <v>1.1534999999999949</v>
      </c>
      <c r="S55">
        <v>111.80000000000103</v>
      </c>
    </row>
    <row r="56" spans="1:19" x14ac:dyDescent="0.25">
      <c r="A56" s="8">
        <v>46154</v>
      </c>
      <c r="B56" s="10">
        <v>121.19899999999943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L56" s="10"/>
      <c r="N56" s="10"/>
      <c r="O56" s="10">
        <v>3.7299999999998055</v>
      </c>
      <c r="P56" s="10">
        <v>1.1645000000000121</v>
      </c>
      <c r="Q56" s="10">
        <v>1.1540000000000215</v>
      </c>
      <c r="S56">
        <v>112.20000000000037</v>
      </c>
    </row>
    <row r="57" spans="1:19" x14ac:dyDescent="0.25">
      <c r="A57" s="8">
        <v>46155</v>
      </c>
      <c r="B57" s="10">
        <v>121.50000000000061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L57" s="10"/>
      <c r="N57" s="10"/>
      <c r="O57" s="10">
        <v>3.7284999999997122</v>
      </c>
      <c r="P57" s="10">
        <v>1.1644999999999777</v>
      </c>
      <c r="Q57" s="10">
        <v>1.1549999999999958</v>
      </c>
      <c r="S57">
        <v>112.15000000000126</v>
      </c>
    </row>
    <row r="58" spans="1:19" x14ac:dyDescent="0.25">
      <c r="A58" s="8">
        <v>46156</v>
      </c>
      <c r="B58" s="10">
        <v>121.80000000000109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L58" s="10"/>
      <c r="N58" s="10"/>
      <c r="O58" s="10">
        <v>3.7360000000002209</v>
      </c>
      <c r="P58" s="10">
        <v>1.1599999999999886</v>
      </c>
      <c r="Q58" s="10">
        <v>1.1555000000000009</v>
      </c>
      <c r="S58">
        <v>112.60000000000352</v>
      </c>
    </row>
    <row r="59" spans="1:19" x14ac:dyDescent="0.25">
      <c r="A59" s="8">
        <v>46157</v>
      </c>
      <c r="B59" s="10">
        <v>122.37899999999836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L59" s="10"/>
      <c r="N59" s="10"/>
      <c r="O59" s="10">
        <v>3.7454999999997067</v>
      </c>
      <c r="P59" s="10">
        <v>1.1609999999994896</v>
      </c>
      <c r="Q59" s="10">
        <v>1.1584999999999721</v>
      </c>
      <c r="S59">
        <v>112.6499999999979</v>
      </c>
    </row>
    <row r="60" spans="1:19" x14ac:dyDescent="0.25">
      <c r="A60" s="8">
        <v>46160</v>
      </c>
      <c r="B60" s="10">
        <v>122.35100000000017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L60" s="10"/>
      <c r="N60" s="10"/>
      <c r="O60" s="10">
        <v>3.7479999999999656</v>
      </c>
      <c r="P60" s="10">
        <v>1.1600000000000166</v>
      </c>
      <c r="Q60" s="10">
        <v>1.1604000000000068</v>
      </c>
      <c r="S60">
        <v>112.84999999999911</v>
      </c>
    </row>
    <row r="61" spans="1:19" x14ac:dyDescent="0.25">
      <c r="A61" s="8">
        <v>46161</v>
      </c>
      <c r="B61" s="10">
        <v>122.26000000000316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L61" s="10"/>
      <c r="N61" s="10"/>
      <c r="O61" s="10">
        <v>3.7389999999999355</v>
      </c>
      <c r="P61" s="10">
        <v>1.1619999999999262</v>
      </c>
      <c r="Q61" s="10">
        <v>1.164499999999993</v>
      </c>
      <c r="S61">
        <v>112.95000000000435</v>
      </c>
    </row>
    <row r="62" spans="1:19" x14ac:dyDescent="0.25">
      <c r="A62" s="8">
        <v>46162</v>
      </c>
      <c r="B62" s="10">
        <v>122.3499999999994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L62" s="10"/>
      <c r="N62" s="10"/>
      <c r="O62" s="10">
        <v>3.7240000000002205</v>
      </c>
      <c r="P62" s="10">
        <v>1.163000000000058</v>
      </c>
      <c r="Q62" s="10">
        <v>1.1655000000000131</v>
      </c>
      <c r="S62">
        <v>113.44999999999901</v>
      </c>
    </row>
    <row r="63" spans="1:19" x14ac:dyDescent="0.25">
      <c r="A63" s="8">
        <v>46163</v>
      </c>
      <c r="B63" s="10">
        <v>122.50000000000041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L63" s="10"/>
      <c r="N63" s="10"/>
      <c r="O63" s="10">
        <v>3.7234999999998486</v>
      </c>
      <c r="P63" s="10">
        <v>1.154999999999996</v>
      </c>
      <c r="Q63" s="10">
        <v>1.1669999999999983</v>
      </c>
      <c r="S63">
        <v>113.99999999999595</v>
      </c>
    </row>
    <row r="64" spans="1:19" x14ac:dyDescent="0.25">
      <c r="A64" s="8">
        <v>46164</v>
      </c>
      <c r="B64" s="10">
        <v>122.79700000000125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L64" s="10"/>
      <c r="N64" s="10"/>
      <c r="O64" s="10">
        <v>3.7205000000000528</v>
      </c>
      <c r="P64" s="10">
        <v>1.1604999999999952</v>
      </c>
      <c r="Q64" s="10">
        <v>1.1699999999999939</v>
      </c>
      <c r="S64">
        <v>114.35000000000058</v>
      </c>
    </row>
    <row r="65" spans="1:19" x14ac:dyDescent="0.25">
      <c r="A65" s="8">
        <v>46168</v>
      </c>
      <c r="B65" s="10">
        <v>122.99999999999798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L65" s="10"/>
      <c r="N65" s="10"/>
      <c r="O65" s="10">
        <v>3.7319999999998923</v>
      </c>
      <c r="P65" s="10">
        <v>1.164000000000021</v>
      </c>
      <c r="Q65" s="10">
        <v>1.1714999999999955</v>
      </c>
      <c r="S65">
        <v>114.50000000000176</v>
      </c>
    </row>
    <row r="66" spans="1:19" x14ac:dyDescent="0.25">
      <c r="A66" s="8">
        <v>46169</v>
      </c>
      <c r="B66" s="10">
        <v>122.65099999999731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L66" s="10"/>
      <c r="N66" s="10"/>
      <c r="O66" s="10">
        <v>3.7365000000002211</v>
      </c>
      <c r="P66" s="10">
        <v>1.1535000000000286</v>
      </c>
      <c r="Q66" s="10">
        <v>1.172499999999995</v>
      </c>
      <c r="S66">
        <v>114.6000000000034</v>
      </c>
    </row>
    <row r="67" spans="1:19" x14ac:dyDescent="0.25">
      <c r="A67" s="8">
        <v>46170</v>
      </c>
      <c r="B67" s="10">
        <v>122.95000000000114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L67" s="10"/>
      <c r="N67" s="10"/>
      <c r="O67" s="10">
        <v>3.7380000000000906</v>
      </c>
      <c r="P67" s="10">
        <v>1.1595000000000197</v>
      </c>
      <c r="Q67" s="10">
        <v>1.172950000000003</v>
      </c>
      <c r="S67">
        <v>114.55000000000256</v>
      </c>
    </row>
    <row r="68" spans="1:19" x14ac:dyDescent="0.25">
      <c r="A68" s="8">
        <v>46171</v>
      </c>
      <c r="B68" s="10">
        <v>123.29000000000234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L68" s="10"/>
      <c r="N68" s="10"/>
      <c r="O68" s="10">
        <v>3.7754999999998859</v>
      </c>
      <c r="P68" s="10">
        <v>1.1699999999999424</v>
      </c>
      <c r="Q68" s="10">
        <v>1.176999999999998</v>
      </c>
      <c r="S68">
        <v>114.8499999999985</v>
      </c>
    </row>
    <row r="69" spans="1:19" x14ac:dyDescent="0.25">
      <c r="A69" s="8">
        <v>46174</v>
      </c>
      <c r="B69" s="10">
        <v>123.54000000000104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L69" s="10"/>
      <c r="N69" s="10"/>
      <c r="O69" s="10">
        <v>3.8094999999998844</v>
      </c>
      <c r="P69" s="10">
        <v>1.1680000000000126</v>
      </c>
      <c r="Q69" s="10">
        <v>1.1780000000000241</v>
      </c>
      <c r="S69">
        <v>115.09999999999874</v>
      </c>
    </row>
    <row r="70" spans="1:19" x14ac:dyDescent="0.25">
      <c r="A70" s="8">
        <v>46175</v>
      </c>
      <c r="B70" s="10">
        <v>123.59899999999895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L70" s="10"/>
      <c r="N70" s="10"/>
      <c r="O70" s="10">
        <v>3.7665000000001614</v>
      </c>
      <c r="P70" s="10">
        <v>1.1690000000000798</v>
      </c>
      <c r="Q70" s="10">
        <v>1.1781500000000222</v>
      </c>
      <c r="S70">
        <v>115.10000000000218</v>
      </c>
    </row>
    <row r="71" spans="1:19" x14ac:dyDescent="0.25">
      <c r="A71" s="8">
        <v>46176</v>
      </c>
      <c r="B71" s="10">
        <v>123.29999999999993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L71" s="10"/>
      <c r="N71" s="10"/>
      <c r="O71" s="10">
        <v>3.7630000000000341</v>
      </c>
      <c r="P71" s="10">
        <v>1.1674999999999773</v>
      </c>
      <c r="Q71" s="10">
        <v>1.1769999999999967</v>
      </c>
      <c r="S71">
        <v>114.84999999999847</v>
      </c>
    </row>
    <row r="72" spans="1:19" x14ac:dyDescent="0.25">
      <c r="A72" s="8">
        <v>46177</v>
      </c>
      <c r="B72" s="10">
        <v>123.54999999999887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L72" s="10"/>
      <c r="N72" s="10"/>
      <c r="O72" s="10">
        <v>3.8200000000000416</v>
      </c>
      <c r="P72" s="10">
        <v>1.1709999999999228</v>
      </c>
      <c r="Q72" s="10">
        <v>1.1776000000000135</v>
      </c>
      <c r="S72">
        <v>114.79999999999721</v>
      </c>
    </row>
    <row r="73" spans="1:19" x14ac:dyDescent="0.25">
      <c r="A73" s="8">
        <v>46178</v>
      </c>
      <c r="B73" s="10">
        <v>123.74899999999744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L73" s="10"/>
      <c r="N73" s="10"/>
      <c r="O73" s="10">
        <v>3.7960000000003333</v>
      </c>
      <c r="P73" s="10">
        <v>1.1675000000000129</v>
      </c>
      <c r="Q73" s="10">
        <v>1.1820000000000008</v>
      </c>
      <c r="S73">
        <v>114.99999999999977</v>
      </c>
    </row>
    <row r="74" spans="1:19" x14ac:dyDescent="0.25">
      <c r="A74" s="8">
        <v>46181</v>
      </c>
      <c r="B74" s="10">
        <v>123.79999999999953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L74" s="10"/>
      <c r="N74" s="10"/>
      <c r="O74" s="10">
        <v>3.7875000000000409</v>
      </c>
      <c r="P74" s="10">
        <v>1.1714999999999707</v>
      </c>
      <c r="Q74" s="10">
        <v>1.1833999999999674</v>
      </c>
      <c r="S74">
        <v>115.10000000000066</v>
      </c>
    </row>
    <row r="75" spans="1:19" x14ac:dyDescent="0.25">
      <c r="A75" s="8">
        <v>46182</v>
      </c>
      <c r="B75" s="10">
        <v>124.4999999999992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L75" s="10"/>
      <c r="N75" s="10"/>
      <c r="O75" s="10">
        <v>3.791000000000059</v>
      </c>
      <c r="P75" s="10">
        <v>1.1729999999999661</v>
      </c>
      <c r="Q75" s="10">
        <v>1.1875000000000007</v>
      </c>
      <c r="S75">
        <v>115.09999999999559</v>
      </c>
    </row>
    <row r="76" spans="1:19" x14ac:dyDescent="0.25">
      <c r="A76" s="8">
        <v>46183</v>
      </c>
      <c r="B76" s="10">
        <v>124.73999999999891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L76" s="10"/>
      <c r="N76" s="10"/>
      <c r="O76" s="10">
        <v>3.7980000000002354</v>
      </c>
      <c r="P76" s="10">
        <v>1.1840000000000153</v>
      </c>
      <c r="Q76" s="10">
        <v>1.1877500000000092</v>
      </c>
      <c r="S76">
        <v>114.95000000000061</v>
      </c>
    </row>
    <row r="77" spans="1:19" x14ac:dyDescent="0.25">
      <c r="A77" s="8">
        <v>46184</v>
      </c>
      <c r="B77" s="10">
        <v>124.77100000000128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L77" s="10"/>
      <c r="N77" s="10"/>
      <c r="O77" s="10">
        <v>3.7954999999997909</v>
      </c>
      <c r="P77" s="10">
        <v>1.1755000000000833</v>
      </c>
      <c r="Q77" s="10">
        <v>1.1880000000000044</v>
      </c>
      <c r="S77">
        <v>115.10000000000477</v>
      </c>
    </row>
    <row r="78" spans="1:19" x14ac:dyDescent="0.25">
      <c r="A78" s="8">
        <v>46185</v>
      </c>
      <c r="B78" s="10">
        <v>125.3999999999988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L78" s="10"/>
      <c r="N78" s="10"/>
      <c r="O78" s="10">
        <v>3.8235000000002897</v>
      </c>
      <c r="P78" s="10">
        <v>1.1849999999999508</v>
      </c>
      <c r="Q78" s="10">
        <v>1.1865000000000112</v>
      </c>
      <c r="S78">
        <v>115.30000000000229</v>
      </c>
    </row>
    <row r="79" spans="1:19" x14ac:dyDescent="0.25">
      <c r="A79" s="8">
        <v>46189</v>
      </c>
      <c r="B79" s="10">
        <v>125.49899999999974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L79" s="10"/>
      <c r="N79" s="10"/>
      <c r="O79" s="10">
        <v>3.8140000000000964</v>
      </c>
      <c r="P79" s="10">
        <v>1.1835000000000291</v>
      </c>
      <c r="Q79" s="10">
        <v>1.1845000000000103</v>
      </c>
      <c r="S79">
        <v>115.35000000000197</v>
      </c>
    </row>
    <row r="80" spans="1:19" x14ac:dyDescent="0.25">
      <c r="A80" s="8">
        <v>46190</v>
      </c>
      <c r="B80" s="10">
        <v>125.1249999999992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L80" s="10"/>
      <c r="N80" s="10"/>
      <c r="O80" s="10">
        <v>3.8065000000000286</v>
      </c>
      <c r="P80" s="10">
        <v>1.1849999999999887</v>
      </c>
      <c r="Q80" s="10">
        <v>1.1819999999999902</v>
      </c>
      <c r="S80">
        <v>115.5000000000004</v>
      </c>
    </row>
    <row r="81" spans="1:20" x14ac:dyDescent="0.25">
      <c r="A81" s="8">
        <v>46191</v>
      </c>
      <c r="B81" s="10">
        <v>125.19000000000004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L81" s="10"/>
      <c r="N81" s="10"/>
      <c r="O81" s="10">
        <v>3.8024999999995703</v>
      </c>
      <c r="P81" s="10">
        <v>1.1890000000000815</v>
      </c>
      <c r="Q81" s="10">
        <v>1.183500000000018</v>
      </c>
      <c r="S81">
        <v>115.8499999999955</v>
      </c>
    </row>
    <row r="82" spans="1:20" x14ac:dyDescent="0.25">
      <c r="A82" s="8">
        <v>46192</v>
      </c>
      <c r="B82" s="10">
        <v>125.24700000000078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L82" s="10"/>
      <c r="N82" s="10"/>
      <c r="O82" s="10">
        <v>3.8040000000000389</v>
      </c>
      <c r="P82" s="10">
        <v>1.1819999999999333</v>
      </c>
      <c r="Q82" s="10">
        <v>1.1830099999999724</v>
      </c>
      <c r="S82">
        <v>115.99999999999871</v>
      </c>
    </row>
    <row r="83" spans="1:20" x14ac:dyDescent="0.25">
      <c r="A83" s="8">
        <v>46195</v>
      </c>
      <c r="B83" s="10">
        <v>125.29999999999974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L83" s="10"/>
      <c r="N83" s="10"/>
      <c r="O83" s="10">
        <v>3.8054999999997468</v>
      </c>
      <c r="P83" s="10">
        <v>1.1900000000000241</v>
      </c>
      <c r="Q83" s="10">
        <v>1.1850000000000214</v>
      </c>
      <c r="S83">
        <v>115.89999999999915</v>
      </c>
    </row>
    <row r="84" spans="1:20" x14ac:dyDescent="0.25">
      <c r="A84" s="8">
        <v>46196</v>
      </c>
      <c r="B84" s="10">
        <v>124.55600000000018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L84" s="10"/>
      <c r="N84" s="10"/>
      <c r="O84" s="10">
        <v>3.7839999999999971</v>
      </c>
      <c r="P84" s="10">
        <v>1.1844999999999828</v>
      </c>
      <c r="Q84" s="10">
        <v>1.1839999999999786</v>
      </c>
      <c r="S84">
        <v>115.79999999999939</v>
      </c>
    </row>
    <row r="85" spans="1:20" x14ac:dyDescent="0.25">
      <c r="A85" s="8">
        <v>46197</v>
      </c>
      <c r="B85" s="10">
        <v>124.60100000000016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L85" s="10"/>
      <c r="N85" s="10"/>
      <c r="O85" s="10">
        <v>3.765999999999539</v>
      </c>
      <c r="P85" s="10">
        <v>1.1675000000000009</v>
      </c>
      <c r="Q85" s="10">
        <v>1.1837999999999966</v>
      </c>
      <c r="S85">
        <v>115.85000000000105</v>
      </c>
    </row>
    <row r="86" spans="1:20" x14ac:dyDescent="0.25">
      <c r="A86" s="8">
        <v>46198</v>
      </c>
      <c r="B86" s="10">
        <v>125.0490000000006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L86" s="10"/>
      <c r="N86" s="10"/>
      <c r="O86" s="10">
        <v>3.7559999999994562</v>
      </c>
      <c r="P86" s="10">
        <v>1.1700000000000288</v>
      </c>
      <c r="Q86" s="10">
        <v>1.1825000000000259</v>
      </c>
      <c r="S86">
        <v>115.90000000000144</v>
      </c>
    </row>
    <row r="87" spans="1:20" x14ac:dyDescent="0.25">
      <c r="A87" s="8">
        <v>46199</v>
      </c>
      <c r="B87" s="10">
        <v>125.05999999999682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L87" s="10"/>
      <c r="N87" s="10"/>
      <c r="O87" s="10">
        <v>3.7524999999993192</v>
      </c>
      <c r="P87" s="10">
        <v>1.1665000000000254</v>
      </c>
      <c r="Q87" s="10">
        <v>1.1854999999999942</v>
      </c>
      <c r="S87">
        <v>116.19999999999844</v>
      </c>
    </row>
    <row r="88" spans="1:20" x14ac:dyDescent="0.25">
      <c r="A88" s="8">
        <v>46202</v>
      </c>
      <c r="B88" s="10">
        <v>125.50199999999838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L88" s="10"/>
      <c r="N88" s="10"/>
      <c r="O88" s="10">
        <v>3.7709999999994288</v>
      </c>
      <c r="P88" s="10">
        <v>1.1750000000000045</v>
      </c>
      <c r="Q88" s="10">
        <v>1.1876999999999795</v>
      </c>
      <c r="S88">
        <v>116.19999999999891</v>
      </c>
    </row>
    <row r="89" spans="1:20" x14ac:dyDescent="0.25">
      <c r="A89" s="8">
        <v>46203</v>
      </c>
      <c r="B89" s="10">
        <v>125.70000000000041</v>
      </c>
      <c r="C89" s="10">
        <v>100.64499999999997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L89" s="10"/>
      <c r="N89" s="10"/>
      <c r="O89" s="10">
        <v>3.7769999999996382</v>
      </c>
      <c r="P89" s="10">
        <v>1.181500000000004</v>
      </c>
      <c r="Q89" s="10">
        <v>1.1890000000000207</v>
      </c>
      <c r="S89">
        <v>116.49999999999818</v>
      </c>
      <c r="T89">
        <v>101.69999999999537</v>
      </c>
    </row>
    <row r="90" spans="1:20" x14ac:dyDescent="0.25">
      <c r="A90" s="8">
        <v>46204</v>
      </c>
      <c r="B90" s="10">
        <v>125.80000000000115</v>
      </c>
      <c r="C90" s="10">
        <v>100.78999999999911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L90" s="10"/>
      <c r="N90" s="10"/>
      <c r="O90" s="10">
        <v>3.7699999999995493</v>
      </c>
      <c r="P90" s="10">
        <v>1.1785000000000299</v>
      </c>
      <c r="Q90" s="10">
        <v>1.1889999999999905</v>
      </c>
      <c r="S90">
        <v>116.14999999999726</v>
      </c>
      <c r="T90">
        <v>101.59999999998949</v>
      </c>
    </row>
    <row r="91" spans="1:20" x14ac:dyDescent="0.25">
      <c r="A91" s="8">
        <v>46205</v>
      </c>
      <c r="B91" s="10">
        <v>125.79999999999806</v>
      </c>
      <c r="C91" s="10">
        <v>100.85499999999786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L91" s="10"/>
      <c r="N91" s="10"/>
      <c r="O91" s="10">
        <v>3.7789999999993489</v>
      </c>
      <c r="P91" s="10">
        <v>1.1875000000000007</v>
      </c>
      <c r="Q91" s="10">
        <v>1.1906999999999592</v>
      </c>
      <c r="S91">
        <v>116.20000000000172</v>
      </c>
      <c r="T91">
        <v>101.69999999998738</v>
      </c>
    </row>
    <row r="92" spans="1:20" x14ac:dyDescent="0.25">
      <c r="A92" s="8">
        <v>46206</v>
      </c>
      <c r="B92" s="10">
        <v>126.06000000000147</v>
      </c>
      <c r="C92" s="10">
        <v>101.2290000000021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L92" s="10"/>
      <c r="N92" s="10"/>
      <c r="O92" s="10">
        <v>3.804500000000008</v>
      </c>
      <c r="P92" s="10">
        <v>1.1845000000000234</v>
      </c>
      <c r="Q92" s="10">
        <v>1.1941200000000296</v>
      </c>
      <c r="S92">
        <v>116.54999999999748</v>
      </c>
      <c r="T92">
        <v>102.29999999999512</v>
      </c>
    </row>
    <row r="93" spans="1:20" x14ac:dyDescent="0.25">
      <c r="A93" s="8">
        <v>46209</v>
      </c>
      <c r="B93" s="10">
        <v>126.25200000000136</v>
      </c>
      <c r="C93" s="10">
        <v>101.38500000000276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L93" s="10"/>
      <c r="N93" s="10"/>
      <c r="O93" s="10">
        <v>3.8280000000001455</v>
      </c>
      <c r="P93" s="10">
        <v>1.1884999999999668</v>
      </c>
      <c r="Q93" s="10">
        <v>1.1967499999999733</v>
      </c>
      <c r="S93">
        <v>116.60000000000039</v>
      </c>
      <c r="T93">
        <v>102.49999999999355</v>
      </c>
    </row>
    <row r="94" spans="1:20" x14ac:dyDescent="0.25">
      <c r="A94" s="8">
        <v>46210</v>
      </c>
      <c r="B94" s="10">
        <v>126.35000000000171</v>
      </c>
      <c r="C94" s="10">
        <v>101.43999999999784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L94" s="10"/>
      <c r="N94" s="10"/>
      <c r="O94" s="10">
        <v>3.8329999999999433</v>
      </c>
      <c r="P94" s="10">
        <v>1.1879999999999882</v>
      </c>
      <c r="Q94" s="10">
        <v>1.1960000000000157</v>
      </c>
      <c r="S94">
        <v>116.64999999999654</v>
      </c>
      <c r="T94">
        <v>102.79999999999593</v>
      </c>
    </row>
    <row r="95" spans="1:20" x14ac:dyDescent="0.25">
      <c r="A95" s="8">
        <v>46211</v>
      </c>
      <c r="B95" s="10">
        <v>126.49999999999847</v>
      </c>
      <c r="C95" s="10">
        <v>101.54999999999981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L95" s="10"/>
      <c r="N95" s="10"/>
      <c r="O95" s="10">
        <v>3.8399999999999888</v>
      </c>
      <c r="P95" s="10">
        <v>1.1800000000000175</v>
      </c>
      <c r="Q95" s="10">
        <v>1.1994999999999825</v>
      </c>
      <c r="S95">
        <v>117.04999999999713</v>
      </c>
      <c r="T95">
        <v>102.89999999999743</v>
      </c>
    </row>
    <row r="96" spans="1:20" x14ac:dyDescent="0.25">
      <c r="A96" s="8">
        <v>46213</v>
      </c>
      <c r="B96" s="10">
        <v>126.99999999993732</v>
      </c>
      <c r="C96" s="10">
        <v>101.65000000000019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L96" s="10"/>
      <c r="N96" s="10"/>
      <c r="O96" s="10">
        <v>3.8379999999999854</v>
      </c>
      <c r="P96" s="10"/>
      <c r="Q96" s="10">
        <v>1.2011199999999851</v>
      </c>
      <c r="S96">
        <v>118.95000000000233</v>
      </c>
      <c r="T96">
        <v>103.99999999999206</v>
      </c>
    </row>
    <row r="97" spans="1:20" x14ac:dyDescent="0.25">
      <c r="A97" s="8">
        <v>46216</v>
      </c>
      <c r="B97" s="10">
        <v>126.65000000000094</v>
      </c>
      <c r="C97" s="10">
        <v>101.55999999999992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L97" s="10"/>
      <c r="N97" s="10"/>
      <c r="O97" s="10">
        <v>3.8379999999999446</v>
      </c>
      <c r="P97" s="10">
        <v>1.190000000000061</v>
      </c>
      <c r="Q97" s="10">
        <v>1.1989999999999967</v>
      </c>
      <c r="S97">
        <v>117.00000000000126</v>
      </c>
      <c r="T97">
        <v>102.8999999999991</v>
      </c>
    </row>
    <row r="98" spans="1:20" x14ac:dyDescent="0.25">
      <c r="A98" s="8">
        <v>46217</v>
      </c>
      <c r="B98" s="10">
        <v>126.75000000000085</v>
      </c>
      <c r="C98" s="10">
        <v>101.66499999999914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L98" s="10"/>
      <c r="N98" s="10"/>
      <c r="O98" s="10">
        <v>3.8444999999997322</v>
      </c>
      <c r="P98" s="10">
        <v>1.1894999999999463</v>
      </c>
      <c r="Q98" s="10">
        <v>1.1994999999999936</v>
      </c>
      <c r="S98">
        <v>117.10000000000029</v>
      </c>
      <c r="T98">
        <v>103.00000000000003</v>
      </c>
    </row>
    <row r="99" spans="1:20" x14ac:dyDescent="0.25">
      <c r="A99" s="8">
        <v>46218</v>
      </c>
      <c r="B99" s="10">
        <v>126.94999999993613</v>
      </c>
      <c r="C99" s="10">
        <v>101.72599999999858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L99" s="10"/>
      <c r="N99" s="10"/>
      <c r="O99" s="10">
        <v>3.8474999999999659</v>
      </c>
      <c r="P99" s="10">
        <v>1.191000000000014</v>
      </c>
      <c r="Q99" s="10">
        <v>1.1987100000000031</v>
      </c>
      <c r="S99">
        <v>117.10000000000097</v>
      </c>
      <c r="T99">
        <v>103.75000000000189</v>
      </c>
    </row>
    <row r="100" spans="1:20" x14ac:dyDescent="0.25">
      <c r="A100" s="8">
        <v>46219</v>
      </c>
      <c r="B100" s="10">
        <v>126.65100000000092</v>
      </c>
      <c r="C100" s="10">
        <v>101.77000000000002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L100" s="10"/>
      <c r="N100" s="10"/>
      <c r="O100" s="10">
        <v>3.8449999999996027</v>
      </c>
      <c r="P100" s="10">
        <v>1.1904999999999628</v>
      </c>
      <c r="Q100" s="10">
        <v>1.201399999999996</v>
      </c>
      <c r="S100">
        <v>116.95000000000159</v>
      </c>
      <c r="T100">
        <v>103.29999999999767</v>
      </c>
    </row>
    <row r="101" spans="1:20" x14ac:dyDescent="0.25">
      <c r="A101" s="8">
        <v>46220</v>
      </c>
      <c r="B101" s="10">
        <v>127.24999999995894</v>
      </c>
      <c r="C101" s="10">
        <v>102.06000000000121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L101" s="10"/>
      <c r="N101" s="10"/>
      <c r="O101" s="10">
        <v>3.8449999999998776</v>
      </c>
      <c r="P101" s="10">
        <v>1.1945000000000174</v>
      </c>
      <c r="Q101" s="10">
        <v>1.2036000000000011</v>
      </c>
      <c r="S101">
        <v>117.19999999999719</v>
      </c>
      <c r="T101">
        <v>103.09999999999906</v>
      </c>
    </row>
    <row r="102" spans="1:20" x14ac:dyDescent="0.25">
      <c r="A102" s="8">
        <v>46223</v>
      </c>
      <c r="B102" s="10">
        <v>127.36899999996396</v>
      </c>
      <c r="C102" s="10">
        <v>102.11899999999996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L102" s="10"/>
      <c r="N102" s="10"/>
      <c r="O102" s="10">
        <v>3.8524999999998011</v>
      </c>
      <c r="P102" s="10">
        <v>1.1905000000000097</v>
      </c>
      <c r="Q102" s="10">
        <v>1.2069999999999925</v>
      </c>
      <c r="S102">
        <v>117.20000000000171</v>
      </c>
      <c r="T102">
        <v>103.15000000000003</v>
      </c>
    </row>
    <row r="103" spans="1:20" x14ac:dyDescent="0.25">
      <c r="A103" s="8">
        <v>46224</v>
      </c>
      <c r="B103" s="10">
        <v>127.49999999997212</v>
      </c>
      <c r="C103" s="10">
        <v>102.15000000000111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L103" s="10"/>
      <c r="N103" s="10"/>
      <c r="O103" s="10">
        <v>3.8520000000000461</v>
      </c>
      <c r="P103" s="10">
        <v>1.1940000000000539</v>
      </c>
      <c r="Q103" s="10">
        <v>1.2069999999999925</v>
      </c>
      <c r="S103">
        <v>117.39999999999964</v>
      </c>
      <c r="T103">
        <v>103.19999999999251</v>
      </c>
    </row>
    <row r="104" spans="1:20" x14ac:dyDescent="0.25">
      <c r="A104" s="8">
        <v>46225</v>
      </c>
      <c r="B104" s="10">
        <v>127.24999999996076</v>
      </c>
      <c r="C104" s="10">
        <v>102.11499999999963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L104" s="10"/>
      <c r="N104" s="10"/>
      <c r="O104" s="10">
        <v>3.864499999999929</v>
      </c>
      <c r="P104" s="10">
        <v>1.1959999999999964</v>
      </c>
      <c r="Q104" s="10">
        <v>1.207999999999998</v>
      </c>
      <c r="S104">
        <v>117.39999999999702</v>
      </c>
      <c r="T104">
        <v>103.39999999999921</v>
      </c>
    </row>
    <row r="105" spans="1:20" x14ac:dyDescent="0.25">
      <c r="A105" s="8">
        <v>46226</v>
      </c>
      <c r="B105" s="10">
        <v>127.449999999971</v>
      </c>
      <c r="C105" s="10">
        <v>102.14499999999957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L105" s="10"/>
      <c r="N105" s="10"/>
      <c r="O105" s="10">
        <v>3.8660000000001036</v>
      </c>
      <c r="P105" s="10">
        <v>1.1969999999999317</v>
      </c>
      <c r="Q105" s="10">
        <v>1.2095000000000156</v>
      </c>
      <c r="S105">
        <v>117.59999999999798</v>
      </c>
      <c r="T105">
        <v>103.40000000000072</v>
      </c>
    </row>
    <row r="106" spans="1:20" x14ac:dyDescent="0.25">
      <c r="A106" s="8">
        <v>46227</v>
      </c>
      <c r="B106" s="10">
        <v>127.59999999997783</v>
      </c>
      <c r="C106" s="10">
        <v>102.35000000000079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L106" s="10"/>
      <c r="N106" s="10"/>
      <c r="O106" s="10">
        <v>3.8744999999995748</v>
      </c>
      <c r="P106" s="10">
        <v>1.198000000000031</v>
      </c>
      <c r="Q106" s="10">
        <v>1.2115999999999791</v>
      </c>
      <c r="S106">
        <v>117.84999999999715</v>
      </c>
      <c r="T106">
        <v>103.79999999999725</v>
      </c>
    </row>
    <row r="107" spans="1:20" x14ac:dyDescent="0.25">
      <c r="A107" s="8">
        <v>46230</v>
      </c>
      <c r="B107" s="10">
        <v>127.52999999997616</v>
      </c>
      <c r="C107" s="10">
        <v>102.38000000000052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L107" s="10"/>
      <c r="N107" s="10"/>
      <c r="O107" s="10">
        <v>3.8799999999998103</v>
      </c>
      <c r="P107" s="10">
        <v>1.2000000000000353</v>
      </c>
      <c r="Q107" s="10">
        <v>1.2118000000000122</v>
      </c>
      <c r="S107">
        <v>117.80000000000182</v>
      </c>
      <c r="T107">
        <v>103.94999999999808</v>
      </c>
    </row>
    <row r="108" spans="1:20" x14ac:dyDescent="0.25">
      <c r="A108" s="8">
        <v>46231</v>
      </c>
      <c r="B108" s="10">
        <v>127.94999999998807</v>
      </c>
      <c r="C108" s="10">
        <v>102.30000000000055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L108" s="10"/>
      <c r="N108" s="10"/>
      <c r="O108" s="10">
        <v>3.8784999999999799</v>
      </c>
      <c r="P108" s="10">
        <v>1.2000000000000659</v>
      </c>
      <c r="Q108" s="10">
        <v>1.2124700000000102</v>
      </c>
      <c r="S108">
        <v>118.35000000000147</v>
      </c>
      <c r="T108">
        <v>104.24999999999976</v>
      </c>
    </row>
    <row r="109" spans="1:20" x14ac:dyDescent="0.25">
      <c r="A109" s="8">
        <v>46232</v>
      </c>
      <c r="B109" s="10">
        <v>127.8989999999889</v>
      </c>
      <c r="C109" s="10">
        <v>102.34000000000111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L109" s="10"/>
      <c r="N109" s="10"/>
      <c r="O109" s="10">
        <v>3.8809999999997609</v>
      </c>
      <c r="P109" s="10">
        <v>1.2095000000000846</v>
      </c>
      <c r="Q109" s="10">
        <v>1.2124999999999957</v>
      </c>
      <c r="S109">
        <v>118.20000000000171</v>
      </c>
      <c r="T109">
        <v>103.74999999999976</v>
      </c>
    </row>
    <row r="110" spans="1:20" x14ac:dyDescent="0.25">
      <c r="A110" s="8">
        <v>46233</v>
      </c>
      <c r="B110" s="10">
        <v>127.49999999997688</v>
      </c>
      <c r="C110" s="10">
        <v>102.27999999999946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L110" s="10"/>
      <c r="N110" s="10"/>
      <c r="O110" s="10">
        <v>3.8739999999998651</v>
      </c>
      <c r="P110" s="10">
        <v>1.2054999999999476</v>
      </c>
      <c r="Q110" s="10">
        <v>1.2112000000000094</v>
      </c>
      <c r="S110">
        <v>118.04999999999643</v>
      </c>
      <c r="T110">
        <v>103.69999999999958</v>
      </c>
    </row>
    <row r="111" spans="1:20" x14ac:dyDescent="0.25">
      <c r="A111" s="8">
        <v>46234</v>
      </c>
      <c r="B111" s="10">
        <v>127.80099999998656</v>
      </c>
      <c r="C111" s="10">
        <v>102.39900000000046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L111" s="10"/>
      <c r="N111" s="10"/>
      <c r="O111" s="10">
        <v>3.8749999999999254</v>
      </c>
      <c r="P111" s="10">
        <v>1.2099999999999793</v>
      </c>
      <c r="Q111" s="10">
        <v>1.2140000000000157</v>
      </c>
      <c r="S111">
        <v>117.90000000000389</v>
      </c>
      <c r="T111">
        <v>103.9999999999972</v>
      </c>
    </row>
    <row r="112" spans="1:20" x14ac:dyDescent="0.25">
      <c r="A112" s="8">
        <v>46237</v>
      </c>
      <c r="B112" s="10">
        <v>127.89999999998855</v>
      </c>
      <c r="C112" s="10">
        <v>102.58500000000087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L112" s="10"/>
      <c r="N112" s="10"/>
      <c r="O112" s="10">
        <v>3.8799999999998884</v>
      </c>
      <c r="P112" s="10">
        <v>1.2039999999999846</v>
      </c>
      <c r="Q112" s="10">
        <v>1.2136999999999893</v>
      </c>
      <c r="S112">
        <v>118.54999999999949</v>
      </c>
      <c r="T112">
        <v>104.49999999999635</v>
      </c>
    </row>
    <row r="113" spans="1:20" x14ac:dyDescent="0.25">
      <c r="A113" s="8">
        <v>46238</v>
      </c>
      <c r="B113" s="10">
        <v>127.91999999998981</v>
      </c>
      <c r="C113" s="10">
        <v>102.59000000000032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L113" s="10"/>
      <c r="N113" s="10"/>
      <c r="O113" s="10">
        <v>3.8850000000000544</v>
      </c>
      <c r="P113" s="10">
        <v>1.1970000000000127</v>
      </c>
      <c r="Q113" s="10">
        <v>1.2145100000000122</v>
      </c>
      <c r="S113">
        <v>118.45000000000134</v>
      </c>
      <c r="T113">
        <v>104.54999999999426</v>
      </c>
    </row>
    <row r="114" spans="1:20" x14ac:dyDescent="0.25">
      <c r="A114" s="8">
        <v>46239</v>
      </c>
      <c r="B114" s="10">
        <v>128.04899999999267</v>
      </c>
      <c r="C114" s="10">
        <v>102.57899999999856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L114" s="10"/>
      <c r="N114" s="10"/>
      <c r="O114" s="10">
        <v>3.8789999999998797</v>
      </c>
      <c r="P114" s="10">
        <v>1.1964999999999746</v>
      </c>
      <c r="Q114" s="10">
        <v>1.2140000000000015</v>
      </c>
      <c r="S114">
        <v>117.99999999999756</v>
      </c>
      <c r="T114">
        <v>104.2499999999946</v>
      </c>
    </row>
    <row r="115" spans="1:20" x14ac:dyDescent="0.25">
      <c r="A115" s="8">
        <v>46240</v>
      </c>
      <c r="B115" s="10">
        <v>127.79999999998677</v>
      </c>
      <c r="C115" s="10">
        <v>102.47999999999801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L115" s="10"/>
      <c r="N115" s="10"/>
      <c r="O115" s="10">
        <v>3.879999999999789</v>
      </c>
      <c r="P115" s="10">
        <v>1.1869999999999015</v>
      </c>
      <c r="Q115" s="10">
        <v>1.2149999999999879</v>
      </c>
      <c r="S115">
        <v>118.25000000000043</v>
      </c>
      <c r="T115">
        <v>104.39999999999765</v>
      </c>
    </row>
    <row r="116" spans="1:20" x14ac:dyDescent="0.25">
      <c r="A116" s="8">
        <v>46241</v>
      </c>
      <c r="B116" s="10">
        <v>128.09999999999494</v>
      </c>
      <c r="C116" s="10">
        <v>102.64999999999857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L116" s="10"/>
      <c r="N116" s="10"/>
      <c r="O116" s="10">
        <v>3.8849999999997529</v>
      </c>
      <c r="P116" s="10">
        <v>1.1994999999999145</v>
      </c>
      <c r="Q116" s="10">
        <v>1.2187500000000131</v>
      </c>
      <c r="S116">
        <v>118.74999999999885</v>
      </c>
      <c r="T116">
        <v>104.54999999999815</v>
      </c>
    </row>
    <row r="117" spans="1:20" x14ac:dyDescent="0.25">
      <c r="A117" s="8">
        <v>46244</v>
      </c>
      <c r="B117" s="10">
        <v>128.30999999999699</v>
      </c>
      <c r="C117" s="10">
        <v>102.72500000000096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L117" s="10"/>
      <c r="N117" s="10"/>
      <c r="O117" s="10">
        <v>3.8834999999997488</v>
      </c>
      <c r="P117" s="10">
        <v>1.2089999999999939</v>
      </c>
      <c r="Q117" s="10">
        <v>1.220499999999981</v>
      </c>
      <c r="S117">
        <v>118.84999999999852</v>
      </c>
      <c r="T117">
        <v>104.74999999999784</v>
      </c>
    </row>
    <row r="118" spans="1:20" x14ac:dyDescent="0.25">
      <c r="A118" s="8">
        <v>46245</v>
      </c>
      <c r="B118" s="10">
        <v>128.4499999999957</v>
      </c>
      <c r="C118" s="10">
        <v>102.89899999996159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L118" s="10"/>
      <c r="N118" s="10"/>
      <c r="O118" s="10">
        <v>3.8839999999998138</v>
      </c>
      <c r="P118" s="10">
        <v>1.2054999999999807</v>
      </c>
      <c r="Q118" s="10">
        <v>1.2209999999999785</v>
      </c>
      <c r="S118">
        <v>119.05000000000476</v>
      </c>
      <c r="T118">
        <v>104.79999999999995</v>
      </c>
    </row>
    <row r="119" spans="1:20" x14ac:dyDescent="0.25">
      <c r="A119" s="8">
        <v>46246</v>
      </c>
      <c r="B119" s="10">
        <v>128.52999999999761</v>
      </c>
      <c r="C119" s="10">
        <v>103.19999999997648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L119" s="10"/>
      <c r="N119" s="10"/>
      <c r="O119" s="10">
        <v>3.8849999999997475</v>
      </c>
      <c r="P119" s="10">
        <v>1.2059999999999635</v>
      </c>
      <c r="Q119" s="10">
        <v>1.2225000000000017</v>
      </c>
      <c r="S119">
        <v>119.09999999999854</v>
      </c>
      <c r="T119">
        <v>105.2000000000002</v>
      </c>
    </row>
    <row r="120" spans="1:20" x14ac:dyDescent="0.25">
      <c r="A120" s="8">
        <v>46247</v>
      </c>
      <c r="B120" s="10">
        <v>128.74899999999812</v>
      </c>
      <c r="C120" s="10">
        <v>103.08799999997235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L120" s="10"/>
      <c r="N120" s="10"/>
      <c r="O120" s="10">
        <v>3.8779999999994397</v>
      </c>
      <c r="P120" s="10">
        <v>1.2110000000000176</v>
      </c>
      <c r="Q120" s="10">
        <v>1.2244000000000141</v>
      </c>
      <c r="S120">
        <v>119.15000000000187</v>
      </c>
      <c r="T120">
        <v>104.99999999999901</v>
      </c>
    </row>
    <row r="121" spans="1:20" x14ac:dyDescent="0.25">
      <c r="A121" s="8">
        <v>46248</v>
      </c>
      <c r="B121" s="10">
        <v>128.91999999999882</v>
      </c>
      <c r="C121" s="10">
        <v>103.21999999998003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L121" s="10"/>
      <c r="N121" s="10"/>
      <c r="O121" s="10">
        <v>3.8889999999998377</v>
      </c>
      <c r="P121" s="10">
        <v>1.2075000000000005</v>
      </c>
      <c r="Q121" s="10">
        <v>1.2269999999999932</v>
      </c>
      <c r="S121">
        <v>119.25000000000017</v>
      </c>
      <c r="T121">
        <v>105.19999999999993</v>
      </c>
    </row>
    <row r="122" spans="1:20" x14ac:dyDescent="0.25">
      <c r="A122" s="8">
        <v>46252</v>
      </c>
      <c r="B122" s="10">
        <v>128.50999999999797</v>
      </c>
      <c r="C122" s="10">
        <v>102.9649999999708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L122" s="10"/>
      <c r="N122" s="10"/>
      <c r="O122" s="10">
        <v>3.8499999999975199</v>
      </c>
      <c r="P122" s="10">
        <v>1.2069999999999776</v>
      </c>
      <c r="Q122" s="10">
        <v>1.2239999999999871</v>
      </c>
      <c r="S122">
        <v>118.04999999999799</v>
      </c>
      <c r="T122">
        <v>105.00000000000014</v>
      </c>
    </row>
    <row r="123" spans="1:20" x14ac:dyDescent="0.25">
      <c r="A123" s="8">
        <v>46253</v>
      </c>
      <c r="B123" s="10">
        <v>128.49999999999579</v>
      </c>
      <c r="C123" s="10">
        <v>102.8649999999673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L123" s="10"/>
      <c r="N123" s="10"/>
      <c r="O123" s="10">
        <v>3.8404999999960356</v>
      </c>
      <c r="P123" s="10">
        <v>1.1999999999999487</v>
      </c>
      <c r="Q123" s="10">
        <v>1.2200000000000066</v>
      </c>
      <c r="S123">
        <v>118.64999999999756</v>
      </c>
      <c r="T123">
        <v>104.8999999999951</v>
      </c>
    </row>
    <row r="124" spans="1:20" x14ac:dyDescent="0.25">
      <c r="A124" s="8">
        <v>46254</v>
      </c>
      <c r="B124" s="10">
        <v>128.81399999999985</v>
      </c>
      <c r="C124" s="10">
        <v>103.33999999998254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L124" s="10"/>
      <c r="N124" s="10"/>
      <c r="O124" s="10">
        <v>3.8509999999971267</v>
      </c>
      <c r="P124" s="10">
        <v>1.2049999999999526</v>
      </c>
      <c r="Q124" s="10">
        <v>1.2234999999999907</v>
      </c>
      <c r="S124">
        <v>119.44999999999813</v>
      </c>
      <c r="T124">
        <v>105.19999999999841</v>
      </c>
    </row>
    <row r="125" spans="1:20" x14ac:dyDescent="0.25">
      <c r="A125" s="8">
        <v>46255</v>
      </c>
      <c r="B125" s="10">
        <v>129.30599999999936</v>
      </c>
      <c r="C125" s="10">
        <v>103.55999999999102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L125" s="10"/>
      <c r="N125" s="10"/>
      <c r="O125" s="10">
        <v>3.8624999999979792</v>
      </c>
      <c r="P125" s="10">
        <v>1.2094999999999694</v>
      </c>
      <c r="Q125" s="10">
        <v>1.2264999999999853</v>
      </c>
      <c r="S125">
        <v>120.0000000000025</v>
      </c>
      <c r="T125">
        <v>105.44999999999209</v>
      </c>
    </row>
    <row r="126" spans="1:20" x14ac:dyDescent="0.25">
      <c r="A126" s="8">
        <v>46258</v>
      </c>
      <c r="B126" s="10">
        <v>129.39999999999867</v>
      </c>
      <c r="C126" s="10">
        <v>103.71699999999426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L126" s="10"/>
      <c r="N126" s="10"/>
      <c r="O126" s="10">
        <v>3.8749999999983853</v>
      </c>
      <c r="P126" s="10">
        <v>1.2109999999999512</v>
      </c>
      <c r="Q126" s="10">
        <v>1.2280000000000046</v>
      </c>
      <c r="S126">
        <v>120.24999999999876</v>
      </c>
      <c r="T126">
        <v>105.24999999999255</v>
      </c>
    </row>
    <row r="127" spans="1:20" x14ac:dyDescent="0.25">
      <c r="A127" s="8">
        <v>46259</v>
      </c>
      <c r="B127" s="10">
        <v>129.30999999999875</v>
      </c>
      <c r="C127" s="10">
        <v>103.71999999999284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L127" s="10"/>
      <c r="N127" s="10"/>
      <c r="O127" s="10">
        <v>3.8814999999987094</v>
      </c>
      <c r="P127" s="10">
        <v>1.2174999999999614</v>
      </c>
      <c r="Q127" s="10">
        <v>1.2279999999999969</v>
      </c>
      <c r="S127">
        <v>120.14999999999768</v>
      </c>
      <c r="T127">
        <v>105.29999999999787</v>
      </c>
    </row>
    <row r="128" spans="1:20" x14ac:dyDescent="0.25">
      <c r="A128" s="8">
        <v>46260</v>
      </c>
      <c r="B128" s="10">
        <v>129.4999999999994</v>
      </c>
      <c r="C128" s="10">
        <v>103.86899999999521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L128" s="10"/>
      <c r="N128" s="10"/>
      <c r="O128" s="10">
        <v>3.8804999999984653</v>
      </c>
      <c r="P128" s="10">
        <v>1.2145000000000008</v>
      </c>
      <c r="Q128" s="10">
        <v>1.2275000000000063</v>
      </c>
      <c r="S128">
        <v>120.35000000000178</v>
      </c>
      <c r="T128">
        <v>105.39999999999398</v>
      </c>
    </row>
    <row r="129" spans="1:20" x14ac:dyDescent="0.25">
      <c r="A129" s="8">
        <v>46261</v>
      </c>
      <c r="B129" s="10">
        <v>129.60000000000073</v>
      </c>
      <c r="C129" s="10">
        <v>103.91399999999595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L129" s="10"/>
      <c r="N129" s="10"/>
      <c r="O129" s="10">
        <v>3.8879999999988515</v>
      </c>
      <c r="P129" s="10">
        <v>1.2189999999999714</v>
      </c>
      <c r="Q129" s="10">
        <v>1.2311999999999819</v>
      </c>
      <c r="S129">
        <v>120.59999999999744</v>
      </c>
      <c r="T129">
        <v>105.44999999999767</v>
      </c>
    </row>
    <row r="130" spans="1:20" x14ac:dyDescent="0.25">
      <c r="A130" s="8">
        <v>46262</v>
      </c>
      <c r="B130" s="10">
        <v>130.02200000000022</v>
      </c>
      <c r="C130" s="10">
        <v>104.199999999998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L130" s="10"/>
      <c r="N130" s="10"/>
      <c r="O130" s="10">
        <v>3.8949999999989857</v>
      </c>
      <c r="P130" s="10">
        <v>1.2165000000000041</v>
      </c>
      <c r="Q130" s="10">
        <v>1.2334999999999865</v>
      </c>
      <c r="S130">
        <v>120.80000000000022</v>
      </c>
      <c r="T130">
        <v>105.79999999999833</v>
      </c>
    </row>
    <row r="131" spans="1:20" x14ac:dyDescent="0.25">
      <c r="A131" s="4">
        <v>46265</v>
      </c>
      <c r="B131" s="10">
        <v>130.2369999999996</v>
      </c>
      <c r="C131" s="10">
        <v>104.38999999999811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L131" s="10"/>
      <c r="N131" s="10"/>
      <c r="O131" s="10">
        <v>3.8964999999983876</v>
      </c>
      <c r="P131" s="10">
        <v>1.2210000000000008</v>
      </c>
      <c r="Q131" s="10">
        <v>1.2349999999999923</v>
      </c>
      <c r="S131">
        <v>121.15</v>
      </c>
      <c r="T131">
        <v>106.84999999999238</v>
      </c>
    </row>
    <row r="132" spans="1:20" x14ac:dyDescent="0.25">
      <c r="A132" s="4">
        <v>46266</v>
      </c>
      <c r="B132" s="10">
        <v>130.2900000000003</v>
      </c>
      <c r="C132" s="10">
        <v>104.49799999999986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O132">
        <v>3.9192279999999999</v>
      </c>
      <c r="P132">
        <v>1.2169272499999999</v>
      </c>
      <c r="Q132">
        <v>1.2377929000000001</v>
      </c>
      <c r="S132" s="5">
        <v>1.2130007899999999</v>
      </c>
      <c r="T132">
        <v>1.06900032</v>
      </c>
    </row>
    <row r="133" spans="1:20" x14ac:dyDescent="0.25">
      <c r="A133" s="4">
        <v>46267</v>
      </c>
      <c r="B133" s="10">
        <v>130.44999999999919</v>
      </c>
      <c r="C133" s="10">
        <v>104.52999999999957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O133">
        <v>3.9397009000000001</v>
      </c>
      <c r="P133">
        <v>1.2199578900000001</v>
      </c>
      <c r="Q133">
        <v>1.2384295299999999</v>
      </c>
      <c r="S133" s="5">
        <v>1.2147051099999999</v>
      </c>
      <c r="T133">
        <v>1.0690074300000001</v>
      </c>
    </row>
    <row r="134" spans="1:20" x14ac:dyDescent="0.25">
      <c r="A134" s="4">
        <v>46268</v>
      </c>
      <c r="B134" s="10">
        <v>130.44999999999925</v>
      </c>
      <c r="C134" s="10">
        <v>104.62999999999954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O134">
        <v>3.95347932</v>
      </c>
      <c r="P134">
        <v>1.22347926</v>
      </c>
      <c r="Q134">
        <v>1.2404261400000001</v>
      </c>
      <c r="S134" s="5">
        <v>1.2157256599999999</v>
      </c>
      <c r="T134">
        <v>1.0687348400000001</v>
      </c>
    </row>
    <row r="135" spans="1:20" x14ac:dyDescent="0.25">
      <c r="A135" s="4">
        <v>46269</v>
      </c>
      <c r="B135" s="10">
        <v>130.70000000000073</v>
      </c>
      <c r="C135" s="10">
        <v>104.83999999999985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O135">
        <v>3.9560157</v>
      </c>
      <c r="P135">
        <v>1.229144</v>
      </c>
      <c r="Q135">
        <v>1.24342201</v>
      </c>
      <c r="S135" s="5">
        <v>1.2178138199999999</v>
      </c>
      <c r="T135">
        <v>1.0742336400000001</v>
      </c>
    </row>
    <row r="136" spans="1:20" x14ac:dyDescent="0.25">
      <c r="A136" s="4">
        <v>46272</v>
      </c>
      <c r="B136" s="10">
        <v>130.89999999999901</v>
      </c>
      <c r="C136" s="10">
        <v>104.93000000000112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O136">
        <v>3.9592439100000001</v>
      </c>
      <c r="P136">
        <v>1.2303535999999999</v>
      </c>
      <c r="Q136">
        <v>1.2448657999999999</v>
      </c>
      <c r="S136" s="5">
        <v>1.2177763699999999</v>
      </c>
      <c r="T136">
        <v>1.0713623999999999</v>
      </c>
    </row>
    <row r="137" spans="1:20" x14ac:dyDescent="0.25">
      <c r="A137" s="4">
        <v>46273</v>
      </c>
      <c r="B137" s="10">
        <v>130.99299999999988</v>
      </c>
      <c r="C137" s="10">
        <v>104.98100000000048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O137">
        <v>3.9737443400000001</v>
      </c>
      <c r="P137">
        <v>1.23</v>
      </c>
      <c r="Q137">
        <v>1.2462282225646</v>
      </c>
      <c r="S137" s="5">
        <v>1.2177810499999999</v>
      </c>
      <c r="T137">
        <v>1.0716682</v>
      </c>
    </row>
    <row r="138" spans="1:20" x14ac:dyDescent="0.25">
      <c r="A138" s="4">
        <v>46274</v>
      </c>
      <c r="B138" s="10">
        <v>131.04900000000006</v>
      </c>
      <c r="C138" s="10">
        <v>104.99999999999945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O138">
        <v>3.9671134600000002</v>
      </c>
      <c r="P138">
        <v>1.2315876800000001</v>
      </c>
      <c r="Q138">
        <v>1.2453557799999999</v>
      </c>
      <c r="S138" s="5">
        <v>1.21875841</v>
      </c>
      <c r="T138">
        <v>1.0749949999999999</v>
      </c>
    </row>
    <row r="139" spans="1:20" x14ac:dyDescent="0.25">
      <c r="A139" s="4">
        <v>46275</v>
      </c>
      <c r="B139" s="10">
        <v>131.16999999999933</v>
      </c>
      <c r="C139" s="10">
        <v>105.04999999999892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O139">
        <v>3.9624615599999999</v>
      </c>
      <c r="P139">
        <v>1.2250563999999999</v>
      </c>
      <c r="Q139">
        <v>1.2462244</v>
      </c>
      <c r="S139" s="5">
        <v>1.2171409900000001</v>
      </c>
      <c r="T139">
        <v>1.07449996</v>
      </c>
    </row>
    <row r="140" spans="1:20" x14ac:dyDescent="0.25">
      <c r="A140" s="4">
        <v>46276</v>
      </c>
      <c r="B140" s="10">
        <v>131.35000000000025</v>
      </c>
      <c r="C140" s="10">
        <v>105.27999999999989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O140">
        <v>3.9727677400000001</v>
      </c>
      <c r="P140">
        <v>1.23002079</v>
      </c>
      <c r="Q140">
        <v>1.24903546</v>
      </c>
      <c r="S140" s="5">
        <v>1.22005713</v>
      </c>
      <c r="T140">
        <v>1.0730103600000001</v>
      </c>
    </row>
    <row r="141" spans="1:20" x14ac:dyDescent="0.25">
      <c r="A141" s="4">
        <v>46279</v>
      </c>
      <c r="B141" s="10">
        <v>131.60699999999929</v>
      </c>
      <c r="C141" s="10">
        <v>105.50000000000055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O141">
        <v>3.9954635999999999</v>
      </c>
      <c r="P141">
        <v>1.24151338</v>
      </c>
      <c r="Q141">
        <v>1.25289889</v>
      </c>
      <c r="S141" s="5">
        <v>1.22405823</v>
      </c>
      <c r="T141">
        <v>1.0804226100000001</v>
      </c>
    </row>
    <row r="142" spans="1:20" x14ac:dyDescent="0.25">
      <c r="A142" s="4">
        <v>46280</v>
      </c>
      <c r="B142" s="10">
        <v>131.73000000000047</v>
      </c>
      <c r="C142" s="10">
        <v>105.59500000000091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O142">
        <v>4.0055003100000004</v>
      </c>
      <c r="P142">
        <v>1.24550297</v>
      </c>
      <c r="Q142">
        <v>1.2540483200000001</v>
      </c>
      <c r="S142" s="5">
        <v>1.2258720400000001</v>
      </c>
      <c r="T142">
        <v>1.0821337499999999</v>
      </c>
    </row>
    <row r="143" spans="1:20" x14ac:dyDescent="0.25">
      <c r="A143" s="4">
        <v>46281</v>
      </c>
      <c r="B143" s="10">
        <v>131.88500000000039</v>
      </c>
      <c r="C143" s="10">
        <v>105.68500000000097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O143">
        <v>4.0296776000000003</v>
      </c>
      <c r="P143">
        <v>1.2507881199999999</v>
      </c>
      <c r="Q143">
        <v>1.25687583</v>
      </c>
      <c r="S143" s="5">
        <v>1.22719931</v>
      </c>
      <c r="T143">
        <v>1.08499287</v>
      </c>
    </row>
    <row r="144" spans="1:20" x14ac:dyDescent="0.25">
      <c r="A144" s="4">
        <v>46282</v>
      </c>
      <c r="B144" s="10">
        <v>132.15999999999994</v>
      </c>
      <c r="C144" s="10">
        <v>105.87999999999992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O144">
        <v>4.04088227</v>
      </c>
      <c r="P144">
        <v>1.2501676100000001</v>
      </c>
      <c r="Q144">
        <v>1.25794154</v>
      </c>
      <c r="S144" s="5">
        <v>1.22855866</v>
      </c>
      <c r="T144">
        <v>1.08743849</v>
      </c>
    </row>
    <row r="145" spans="1:20" x14ac:dyDescent="0.25">
      <c r="A145" s="4">
        <v>46283</v>
      </c>
      <c r="B145" s="10">
        <v>132.29999999999916</v>
      </c>
      <c r="C145" s="10">
        <v>105.96999999999936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O145">
        <v>4.06846934</v>
      </c>
      <c r="P145">
        <v>1.2505011100000001</v>
      </c>
      <c r="Q145">
        <v>1.2604560199999999</v>
      </c>
      <c r="S145" s="5">
        <v>1.23204487</v>
      </c>
      <c r="T145">
        <v>1.09631334</v>
      </c>
    </row>
    <row r="146" spans="1:20" x14ac:dyDescent="0.25">
      <c r="A146" s="4">
        <v>46286</v>
      </c>
      <c r="B146" s="10">
        <v>132.4499999999997</v>
      </c>
      <c r="C146" s="10">
        <v>106.04000000000006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O146">
        <v>4.0488869200000002</v>
      </c>
      <c r="P146">
        <v>1.2535023700000001</v>
      </c>
      <c r="Q146">
        <v>1.26070404</v>
      </c>
      <c r="S146" s="5">
        <v>1.2316546799999999</v>
      </c>
      <c r="T146">
        <v>1.0946988600000001</v>
      </c>
    </row>
    <row r="147" spans="1:20" x14ac:dyDescent="0.25">
      <c r="A147" s="4">
        <v>46287</v>
      </c>
      <c r="B147" s="10">
        <v>132.409999999999</v>
      </c>
      <c r="C147" s="10">
        <v>106.06699999999867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O147">
        <v>4.0369820399999998</v>
      </c>
      <c r="P147">
        <v>1.25192474</v>
      </c>
      <c r="Q147">
        <v>1.2606395699999999</v>
      </c>
      <c r="S147" s="5">
        <v>1.2316048500000001</v>
      </c>
      <c r="T147">
        <v>1.08999808</v>
      </c>
    </row>
    <row r="148" spans="1:20" x14ac:dyDescent="0.25">
      <c r="A148" s="4">
        <v>46288</v>
      </c>
      <c r="B148" s="10">
        <v>132.43999999999926</v>
      </c>
      <c r="C148" s="10">
        <v>106.0999999999998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O148">
        <v>4.03251793</v>
      </c>
      <c r="P148">
        <v>1.2503633599999999</v>
      </c>
      <c r="Q148">
        <v>1.26129709</v>
      </c>
      <c r="S148" s="5">
        <v>1.2308570400000001</v>
      </c>
      <c r="T148">
        <v>1.09026702</v>
      </c>
    </row>
    <row r="149" spans="1:20" x14ac:dyDescent="0.25">
      <c r="A149" s="4">
        <v>46289</v>
      </c>
      <c r="B149" s="10">
        <v>132.41999999999891</v>
      </c>
      <c r="C149" s="10">
        <v>106.20999999999947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O149">
        <v>4.0260275500000002</v>
      </c>
      <c r="P149">
        <v>1.2430008400000001</v>
      </c>
      <c r="Q149">
        <v>1.2624856600000001</v>
      </c>
      <c r="S149" s="5">
        <v>1.23299767</v>
      </c>
      <c r="T149">
        <v>1.0917816499999999</v>
      </c>
    </row>
    <row r="150" spans="1:20" x14ac:dyDescent="0.25">
      <c r="A150" s="4">
        <v>46290</v>
      </c>
      <c r="B150" s="10">
        <v>132.70999999999992</v>
      </c>
      <c r="C150" s="10">
        <v>106.41999999999953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O150">
        <v>4.0183252899999999</v>
      </c>
      <c r="P150">
        <v>1.2490924465058999</v>
      </c>
      <c r="Q150">
        <v>1.2646537799999999</v>
      </c>
      <c r="S150" s="5">
        <v>1.23756672</v>
      </c>
      <c r="T150">
        <v>1.09202855</v>
      </c>
    </row>
    <row r="151" spans="1:20" x14ac:dyDescent="0.25">
      <c r="A151" s="4">
        <f>+WORKDAY(A150,1,Feriados!$A$2:$A$38)</f>
        <v>46293</v>
      </c>
      <c r="B151" s="10">
        <v>132.80099999999965</v>
      </c>
      <c r="C151" s="10">
        <v>106.49999999999994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O151">
        <v>4.0270874499999998</v>
      </c>
      <c r="P151">
        <v>1.25957461</v>
      </c>
      <c r="Q151">
        <v>1.26614878</v>
      </c>
      <c r="S151" s="5">
        <v>1.2389035100000001</v>
      </c>
      <c r="T151">
        <v>1.0912433500000001</v>
      </c>
    </row>
    <row r="152" spans="1:20" x14ac:dyDescent="0.25">
      <c r="A152" s="4">
        <f>+WORKDAY(A151,1,Feriados!$A$2:$A$38)</f>
        <v>46294</v>
      </c>
      <c r="B152" s="10">
        <v>133.05300000000014</v>
      </c>
      <c r="C152" s="10">
        <v>106.57300000000109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O152">
        <v>4.0389832800000001</v>
      </c>
      <c r="P152">
        <v>1.2490000000000001</v>
      </c>
      <c r="Q152">
        <v>1.2669357299999999</v>
      </c>
      <c r="S152" s="5">
        <v>1.2374037200000001</v>
      </c>
      <c r="T152">
        <v>1.08950003</v>
      </c>
    </row>
    <row r="153" spans="1:20" x14ac:dyDescent="0.25">
      <c r="A153" s="4">
        <f>+WORKDAY(A152,1,Feriados!$A$2:$A$38)</f>
        <v>46295</v>
      </c>
      <c r="B153" s="10">
        <v>133.15000000000026</v>
      </c>
      <c r="C153" s="10">
        <v>106.70000000000064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O153">
        <v>4.0563561100000003</v>
      </c>
      <c r="P153">
        <v>1.2612042400000001</v>
      </c>
      <c r="Q153">
        <v>1.2695935</v>
      </c>
      <c r="S153" s="5">
        <v>1.2382487799999999</v>
      </c>
      <c r="T153">
        <v>1.09140441</v>
      </c>
    </row>
    <row r="154" spans="1:20" x14ac:dyDescent="0.25">
      <c r="A154" s="4">
        <f>+WORKDAY(A153,1,Feriados!$A$2:$A$38)</f>
        <v>46296</v>
      </c>
      <c r="B154" s="10">
        <v>133.14999999999949</v>
      </c>
      <c r="C154" s="10">
        <v>106.76999999999981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O154">
        <v>4.0714517199999998</v>
      </c>
      <c r="P154">
        <v>1.26743049</v>
      </c>
      <c r="Q154">
        <v>1.2704156900000001</v>
      </c>
      <c r="S154" s="5">
        <v>1.2417132399999999</v>
      </c>
      <c r="T154">
        <v>1.093718</v>
      </c>
    </row>
    <row r="155" spans="1:20" x14ac:dyDescent="0.25">
      <c r="A155" s="4">
        <f>+WORKDAY(A154,1,Feriados!$A$2:$A$38)</f>
        <v>46297</v>
      </c>
      <c r="B155" s="10">
        <v>133.43899999999951</v>
      </c>
      <c r="C155" s="10">
        <v>107.02099999999942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O155">
        <v>4.0712235899999998</v>
      </c>
      <c r="P155">
        <v>1.2653342400000001</v>
      </c>
      <c r="Q155">
        <v>1.27322231</v>
      </c>
      <c r="S155" s="5">
        <v>1.24830782</v>
      </c>
      <c r="T155">
        <v>1.09451115</v>
      </c>
    </row>
    <row r="156" spans="1:20" x14ac:dyDescent="0.25">
      <c r="A156" s="4">
        <f>+WORKDAY(A155,1,Feriados!$A$2:$A$38)</f>
        <v>46300</v>
      </c>
      <c r="B156" s="10">
        <v>133.48699999999923</v>
      </c>
      <c r="C156" s="10">
        <v>107.08400000000036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O156">
        <v>4.0846097800000001</v>
      </c>
      <c r="P156">
        <v>1.2798166900000001</v>
      </c>
      <c r="Q156">
        <v>1.27487241</v>
      </c>
      <c r="S156" s="5">
        <v>1.2505858299999999</v>
      </c>
      <c r="T156">
        <v>1.0940564699999999</v>
      </c>
    </row>
    <row r="157" spans="1:20" x14ac:dyDescent="0.25">
      <c r="A157" s="4">
        <f>+WORKDAY(A156,1,Feriados!$A$2:$A$38)</f>
        <v>46301</v>
      </c>
      <c r="B157" s="10">
        <v>133.48099999999951</v>
      </c>
      <c r="C157" s="10">
        <v>107.16399999999938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O157">
        <v>4.0900729399999998</v>
      </c>
      <c r="P157">
        <v>1.2722120800000001</v>
      </c>
      <c r="Q157">
        <v>1.2755211200000001</v>
      </c>
      <c r="S157">
        <v>1.2508325600000001</v>
      </c>
      <c r="T157">
        <v>1.09775508</v>
      </c>
    </row>
    <row r="158" spans="1:20" x14ac:dyDescent="0.25">
      <c r="A158" s="4">
        <f>+WORKDAY(A157,1,Feriados!$A$2:$A$38)</f>
        <v>46302</v>
      </c>
      <c r="B158" s="10">
        <v>133.66099999999895</v>
      </c>
      <c r="C158" s="10">
        <v>107.21999999999979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O158">
        <v>4.0877081000000004</v>
      </c>
      <c r="P158">
        <v>1.2782489500000001</v>
      </c>
      <c r="Q158">
        <v>1.27552815</v>
      </c>
      <c r="S158">
        <v>1.24982745</v>
      </c>
      <c r="T158">
        <v>1.10071407</v>
      </c>
    </row>
    <row r="159" spans="1:20" x14ac:dyDescent="0.25">
      <c r="A159" s="4">
        <f>+WORKDAY(A158,1,Feriados!$A$2:$A$38)</f>
        <v>46303</v>
      </c>
      <c r="B159" s="10">
        <v>133.63999999999888</v>
      </c>
      <c r="C159" s="10">
        <v>107.28000000000002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O159">
        <v>4.0897800000000002</v>
      </c>
      <c r="P159">
        <v>1.277136</v>
      </c>
      <c r="Q159">
        <v>1.2763398500000001</v>
      </c>
      <c r="S159">
        <v>1.25065581</v>
      </c>
      <c r="T159">
        <v>1.1008573500000001</v>
      </c>
    </row>
    <row r="160" spans="1:20" x14ac:dyDescent="0.25">
      <c r="A160" s="4">
        <f>+WORKDAY(A159,1,Feriados!$A$2:$A$38)</f>
        <v>46304</v>
      </c>
      <c r="B160" s="10">
        <v>134.07499999999908</v>
      </c>
      <c r="C160" s="10">
        <v>107.54900000000013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O160">
        <v>4.0949929899999997</v>
      </c>
      <c r="P160">
        <v>1.27508665</v>
      </c>
      <c r="Q160">
        <v>1.27997136</v>
      </c>
      <c r="S160">
        <v>1.2552227199999999</v>
      </c>
      <c r="T160">
        <v>1.10295125</v>
      </c>
    </row>
    <row r="161" spans="1:20" x14ac:dyDescent="0.25">
      <c r="A161" s="4">
        <f>+WORKDAY(A160,1,Feriados!$A$2:$A$38)</f>
        <v>46308</v>
      </c>
      <c r="B161" s="10">
        <v>133.96799999999911</v>
      </c>
      <c r="C161" s="10">
        <v>107.57599999999915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O161">
        <v>4.1012386899999997</v>
      </c>
      <c r="P161">
        <v>1.2767506399999999</v>
      </c>
      <c r="Q161">
        <v>1.2802404700000001</v>
      </c>
      <c r="S161">
        <v>1.25371196</v>
      </c>
      <c r="T161">
        <v>1.1039651500000001</v>
      </c>
    </row>
    <row r="162" spans="1:20" x14ac:dyDescent="0.25">
      <c r="A162" s="4">
        <f>+WORKDAY(A161,1,Feriados!$A$2:$A$38)</f>
        <v>46309</v>
      </c>
      <c r="B162" s="10">
        <v>133.96199999999988</v>
      </c>
      <c r="C162" s="10">
        <v>107.60499999999897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O162">
        <v>4.1108232600000001</v>
      </c>
      <c r="P162">
        <v>1.2759046999999999</v>
      </c>
      <c r="Q162">
        <v>1.2795586299999999</v>
      </c>
      <c r="S162">
        <f>INDEX('[1]Precios historicos'!$A:$AZ,MATCH(S$1,'[1]Precios historicos'!$A:$A,0),MATCH($A162,'[1]Precios historicos'!$7:$7,0))</f>
        <v>1.25551919</v>
      </c>
      <c r="T162">
        <f>INDEX('[1]Precios historicos'!$A:$AZ,MATCH(T$1,'[1]Precios historicos'!$A:$A,0),MATCH($A162,'[1]Precios historicos'!$7:$7,0))</f>
        <v>1.1058990500000001</v>
      </c>
    </row>
    <row r="163" spans="1:20" x14ac:dyDescent="0.25">
      <c r="A163" s="4">
        <f>+WORKDAY(A162,1,Feriados!$A$2:$A$38)</f>
        <v>46310</v>
      </c>
      <c r="B163" s="10">
        <v>134.26999999999913</v>
      </c>
      <c r="C163" s="10">
        <v>107.71899999999926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O163">
        <v>4.1311680300000004</v>
      </c>
      <c r="P163">
        <v>1.27900002</v>
      </c>
      <c r="Q163">
        <v>1.2819699200000001</v>
      </c>
      <c r="S163">
        <f>INDEX('[1]Precios historicos'!$A:$AZ,MATCH(S$1,'[1]Precios historicos'!$A:$A,0),MATCH($A163,'[1]Precios historicos'!$7:$7,0))</f>
        <v>1.2569410700000001</v>
      </c>
      <c r="T163">
        <f>INDEX('[1]Precios historicos'!$A:$AZ,MATCH(T$1,'[1]Precios historicos'!$A:$A,0),MATCH($A163,'[1]Precios historicos'!$7:$7,0))</f>
        <v>1.11006571</v>
      </c>
    </row>
    <row r="164" spans="1:20" x14ac:dyDescent="0.25">
      <c r="A164" s="4">
        <f>+WORKDAY(A163,1,Feriados!$A$2:$A$38)</f>
        <v>46311</v>
      </c>
      <c r="B164" s="10">
        <v>134.51999999999956</v>
      </c>
      <c r="C164" s="10">
        <v>107.92899999999945</v>
      </c>
      <c r="D164">
        <f>INDEX('[2]Precios Históricos'!$A:$AZ,MATCH(D$1,'[2]Precios Históricos'!$B:$B,0),MATCH($A164,'[2]Precios Históricos'!$6:$6,0))</f>
        <v>1.2652142500000001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1.0465052399999999</v>
      </c>
      <c r="G164">
        <f>INDEX('[2]Precios Históricos'!$A:$AZ,MATCH(G$1,'[2]Precios Históricos'!$B:$B,0),MATCH($A164,'[2]Precios Históricos'!$6:$6,0))</f>
        <v>1.3789722900000001</v>
      </c>
      <c r="H164">
        <f>INDEX('[2]Precios Históricos'!$A:$AZ,MATCH(H$1,'[2]Precios Históricos'!$B:$B,0),MATCH($A164,'[2]Precios Históricos'!$6:$6,0))</f>
        <v>1.29837176</v>
      </c>
      <c r="I164">
        <f>INDEX('[2]Precios Históricos'!$A:$AZ,MATCH(I$1,'[2]Precios Históricos'!$B:$B,0),MATCH($A164,'[2]Precios Históricos'!$6:$6,0))</f>
        <v>1.31940788</v>
      </c>
      <c r="J164">
        <f>INDEX('[2]Precios Históricos'!$A:$AZ,MATCH(J$1,'[2]Precios Históricos'!$B:$B,0),MATCH($A164,'[2]Precios Históricos'!$6:$6,0))</f>
        <v>1.03549508</v>
      </c>
      <c r="K164">
        <f>INDEX('[2]Precios Históricos'!$A:$AZ,MATCH(K$1,'[2]Precios Históricos'!$B:$B,0),MATCH($A164,'[2]Precios Históricos'!$6:$6,0))</f>
        <v>1.26553798</v>
      </c>
      <c r="O164">
        <f>INDEX('[2]Precios Históricos'!$A:$AZ,MATCH(O$1,'[2]Precios Históricos'!$B:$B,0),MATCH($A164,'[2]Precios Históricos'!$6:$6,0))</f>
        <v>4.1422743400000002</v>
      </c>
      <c r="P164">
        <f>INDEX('[2]Precios Históricos'!$A:$AZ,MATCH(P$1,'[2]Precios Históricos'!$B:$B,0),MATCH($A164,'[2]Precios Históricos'!$6:$6,0))</f>
        <v>1.28355018</v>
      </c>
      <c r="Q164">
        <f>INDEX('[2]Precios Históricos'!$A:$AZ,MATCH(Q$1,'[2]Precios Históricos'!$B:$B,0),MATCH($A164,'[2]Precios Históricos'!$6:$6,0))</f>
        <v>1.2836386500000001</v>
      </c>
      <c r="S164">
        <f>INDEX('[2]Precios Históricos'!$A:$AZ,MATCH(S$1,'[2]Precios Históricos'!$B:$B,0),MATCH($A164,'[2]Precios Históricos'!$6:$6,0))</f>
        <v>1.2600124800000001</v>
      </c>
      <c r="T164">
        <f>INDEX('[2]Precios Históricos'!$A:$AZ,MATCH(T$1,'[2]Precios Históricos'!$B:$B,0),MATCH($A164,'[2]Precios Históricos'!$6:$6,0))</f>
        <v>1.1138335500000001</v>
      </c>
    </row>
    <row r="165" spans="1:20" x14ac:dyDescent="0.25">
      <c r="A165" s="4">
        <f>+WORKDAY(A164,1,Feriados!$A$2:$A$38)</f>
        <v>46314</v>
      </c>
      <c r="B165">
        <f>INDEX('[2]Precios Históricos'!$A:$AZ,MATCH(B$1,'[2]Precios Históricos'!$B:$B,0),MATCH($A165,'[2]Precios Históricos'!$6:$6,0))</f>
        <v>1.3467551200000001</v>
      </c>
      <c r="C165">
        <f>INDEX('[2]Precios Históricos'!$A:$AZ,MATCH(C$1,'[2]Precios Históricos'!$B:$B,0),MATCH($A165,'[2]Precios Históricos'!$6:$6,0))</f>
        <v>1.0799686399999999</v>
      </c>
      <c r="D165">
        <f>INDEX('[2]Precios Históricos'!$A:$AZ,MATCH(D$1,'[2]Precios Históricos'!$B:$B,0),MATCH($A165,'[2]Precios Históricos'!$6:$6,0))</f>
        <v>1.2658785699999999</v>
      </c>
      <c r="E165">
        <f>INDEX('[2]Precios Históricos'!$A:$AZ,MATCH(E$1,'[2]Precios Históricos'!$B:$B,0),MATCH($A165,'[2]Precios Históricos'!$6:$6,0))</f>
        <v>1.5235683499999999</v>
      </c>
      <c r="F165">
        <f>INDEX('[2]Precios Históricos'!$A:$AZ,MATCH(F$1,'[2]Precios Históricos'!$B:$B,0),MATCH($A165,'[2]Precios Históricos'!$6:$6,0))</f>
        <v>1.0468394599999999</v>
      </c>
      <c r="G165">
        <f>INDEX('[2]Precios Históricos'!$A:$AZ,MATCH(G$1,'[2]Precios Históricos'!$B:$B,0),MATCH($A165,'[2]Precios Históricos'!$6:$6,0))</f>
        <v>1.3791142999999999</v>
      </c>
      <c r="H165">
        <f>INDEX('[2]Precios Históricos'!$A:$AZ,MATCH(H$1,'[2]Precios Históricos'!$B:$B,0),MATCH($A165,'[2]Precios Históricos'!$6:$6,0))</f>
        <v>1.2980624199999999</v>
      </c>
      <c r="I165">
        <f>INDEX('[2]Precios Históricos'!$A:$AZ,MATCH(I$1,'[2]Precios Históricos'!$B:$B,0),MATCH($A165,'[2]Precios Históricos'!$6:$6,0))</f>
        <v>1.31927609</v>
      </c>
      <c r="J165">
        <f>INDEX('[2]Precios Históricos'!$A:$AZ,MATCH(J$1,'[2]Precios Históricos'!$B:$B,0),MATCH($A165,'[2]Precios Históricos'!$6:$6,0))</f>
        <v>1.03625682</v>
      </c>
      <c r="K165">
        <f>INDEX('[2]Precios Históricos'!$A:$AZ,MATCH(K$1,'[2]Precios Históricos'!$B:$B,0),MATCH($A165,'[2]Precios Históricos'!$6:$6,0))</f>
        <v>1.26702314</v>
      </c>
      <c r="O165">
        <f>INDEX('[2]Precios Históricos'!$A:$AZ,MATCH(O$1,'[2]Precios Históricos'!$B:$B,0),MATCH($A165,'[2]Precios Históricos'!$6:$6,0))</f>
        <v>4.1445826600000002</v>
      </c>
      <c r="P165">
        <f>INDEX('[2]Precios Históricos'!$A:$AZ,MATCH(P$1,'[2]Precios Históricos'!$B:$B,0),MATCH($A165,'[2]Precios Históricos'!$6:$6,0))</f>
        <v>1.28404717</v>
      </c>
      <c r="Q165">
        <f>INDEX('[2]Precios Históricos'!$A:$AZ,MATCH(Q$1,'[2]Precios Históricos'!$B:$B,0),MATCH($A165,'[2]Precios Históricos'!$6:$6,0))</f>
        <v>1.28512731</v>
      </c>
      <c r="S165">
        <f>INDEX('[2]Precios Históricos'!$A:$AZ,MATCH(S$1,'[2]Precios Históricos'!$B:$B,0),MATCH($A165,'[2]Precios Históricos'!$6:$6,0))</f>
        <v>1.26114211</v>
      </c>
      <c r="T165">
        <f>INDEX('[2]Precios Históricos'!$A:$AZ,MATCH(T$1,'[2]Precios Históricos'!$B:$B,0),MATCH($A165,'[2]Precios Históricos'!$6:$6,0))</f>
        <v>1.1153652149836599</v>
      </c>
    </row>
    <row r="166" spans="1:20" x14ac:dyDescent="0.25">
      <c r="A166" s="4"/>
      <c r="B166" s="4"/>
      <c r="C166" s="4"/>
      <c r="E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5" sqref="B435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workbookViewId="0">
      <selection activeCell="D7" sqref="D7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25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25">
      <c r="A8" t="s">
        <v>11</v>
      </c>
      <c r="B8" s="8">
        <v>46006</v>
      </c>
      <c r="C8" s="8">
        <v>46538</v>
      </c>
      <c r="D8" s="7">
        <v>2.4E-2</v>
      </c>
    </row>
    <row r="9" spans="1:4" x14ac:dyDescent="0.25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F19" sqref="F19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13</v>
      </c>
      <c r="B2" s="8">
        <v>46248</v>
      </c>
      <c r="C2" s="8">
        <v>46416</v>
      </c>
      <c r="D2" s="7">
        <v>0</v>
      </c>
      <c r="E2">
        <v>815.43449999999996</v>
      </c>
    </row>
    <row r="3" spans="1:5" x14ac:dyDescent="0.25">
      <c r="A3" t="s">
        <v>14</v>
      </c>
      <c r="B3" s="8">
        <v>46006</v>
      </c>
      <c r="C3" s="8">
        <v>46538</v>
      </c>
      <c r="D3" s="7">
        <v>0</v>
      </c>
      <c r="E3">
        <v>659.6789</v>
      </c>
    </row>
    <row r="4" spans="1:5" x14ac:dyDescent="0.25">
      <c r="A4" t="s">
        <v>18</v>
      </c>
      <c r="B4" s="8">
        <v>45323</v>
      </c>
      <c r="C4" s="8">
        <v>46568</v>
      </c>
      <c r="D4" s="7">
        <v>0</v>
      </c>
      <c r="E4">
        <v>200.38800000000001</v>
      </c>
    </row>
    <row r="5" spans="1:5" x14ac:dyDescent="0.25">
      <c r="A5" t="s">
        <v>19</v>
      </c>
      <c r="B5" s="8">
        <v>45989</v>
      </c>
      <c r="C5" s="8">
        <v>46507</v>
      </c>
      <c r="D5" s="7">
        <v>0</v>
      </c>
      <c r="E5">
        <v>651.8981</v>
      </c>
    </row>
    <row r="6" spans="1:5" x14ac:dyDescent="0.25">
      <c r="A6" t="s">
        <v>20</v>
      </c>
      <c r="B6" s="8">
        <v>46006</v>
      </c>
      <c r="C6" s="8">
        <v>46356</v>
      </c>
      <c r="D6" s="7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2026-10-20T14:04:44Z</dcterms:modified>
</cp:coreProperties>
</file>