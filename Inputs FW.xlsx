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Forward\"/>
    </mc:Choice>
  </mc:AlternateContent>
  <bookViews>
    <workbookView xWindow="0" yWindow="0" windowWidth="28800" windowHeight="12000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  <sheet name="Flujo HD" sheetId="8" r:id="rId8"/>
  </sheets>
  <externalReferences>
    <externalReference r:id="rId9"/>
    <externalReference r:id="rId10"/>
    <externalReference r:id="rId11"/>
    <externalReference r:id="rId12"/>
    <externalReference r:id="rId13"/>
  </externalReferenc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38" i="1" l="1"/>
  <c r="B437" i="1"/>
  <c r="B436" i="1"/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51" i="3" s="1"/>
  <c r="A436" i="6" l="1"/>
  <c r="A437" i="6" s="1"/>
  <c r="A152" i="3"/>
  <c r="A153" i="3" s="1"/>
  <c r="A154" i="3" s="1"/>
  <c r="A155" i="3" s="1"/>
  <c r="A156" i="3" s="1"/>
  <c r="A157" i="3" s="1"/>
  <c r="A158" i="3" s="1"/>
  <c r="A420" i="1"/>
  <c r="B420" i="1" s="1"/>
  <c r="B436" i="6" l="1"/>
  <c r="A438" i="6"/>
  <c r="B437" i="6"/>
  <c r="A159" i="3"/>
  <c r="A421" i="1"/>
  <c r="A422" i="1" s="1"/>
  <c r="A439" i="6" l="1"/>
  <c r="B438" i="6"/>
  <c r="A160" i="3"/>
  <c r="A161" i="3" s="1"/>
  <c r="B421" i="1"/>
  <c r="A423" i="1"/>
  <c r="B422" i="1"/>
  <c r="A440" i="6" l="1"/>
  <c r="B439" i="6"/>
  <c r="A424" i="1"/>
  <c r="A425" i="1" s="1"/>
  <c r="B425" i="1" s="1"/>
  <c r="B423" i="1"/>
  <c r="A441" i="6" l="1"/>
  <c r="B440" i="6"/>
  <c r="A162" i="3"/>
  <c r="E162" i="3" s="1"/>
  <c r="B424" i="1"/>
  <c r="A442" i="6" l="1"/>
  <c r="B441" i="6"/>
  <c r="N162" i="3"/>
  <c r="O162" i="3"/>
  <c r="A163" i="3"/>
  <c r="A164" i="3" s="1"/>
  <c r="H162" i="3"/>
  <c r="F162" i="3"/>
  <c r="A426" i="1"/>
  <c r="B426" i="1" s="1"/>
  <c r="A165" i="3" l="1"/>
  <c r="A166" i="3" s="1"/>
  <c r="Q164" i="3"/>
  <c r="D164" i="3"/>
  <c r="I164" i="3"/>
  <c r="F164" i="3"/>
  <c r="K164" i="3"/>
  <c r="G164" i="3"/>
  <c r="J164" i="3"/>
  <c r="A443" i="6"/>
  <c r="B442" i="6"/>
  <c r="E164" i="3"/>
  <c r="O164" i="3"/>
  <c r="N164" i="3"/>
  <c r="H164" i="3"/>
  <c r="N163" i="3"/>
  <c r="O163" i="3"/>
  <c r="E163" i="3"/>
  <c r="H163" i="3"/>
  <c r="F163" i="3"/>
  <c r="A427" i="1"/>
  <c r="B427" i="1" s="1"/>
  <c r="I165" i="3" l="1"/>
  <c r="J165" i="3"/>
  <c r="A167" i="3"/>
  <c r="S166" i="3"/>
  <c r="E166" i="3"/>
  <c r="F166" i="3"/>
  <c r="G166" i="3"/>
  <c r="I166" i="3"/>
  <c r="X166" i="3"/>
  <c r="Z166" i="3"/>
  <c r="N166" i="3"/>
  <c r="O166" i="3"/>
  <c r="C166" i="3"/>
  <c r="R166" i="3"/>
  <c r="AD166" i="3"/>
  <c r="D166" i="3"/>
  <c r="J166" i="3"/>
  <c r="Y166" i="3"/>
  <c r="AA166" i="3"/>
  <c r="B166" i="3"/>
  <c r="AC166" i="3"/>
  <c r="W166" i="3"/>
  <c r="K166" i="3"/>
  <c r="AB166" i="3"/>
  <c r="Q166" i="3"/>
  <c r="AE166" i="3"/>
  <c r="T166" i="3"/>
  <c r="U166" i="3"/>
  <c r="V166" i="3"/>
  <c r="H166" i="3"/>
  <c r="N165" i="3"/>
  <c r="K165" i="3"/>
  <c r="G165" i="3"/>
  <c r="B165" i="3"/>
  <c r="D165" i="3"/>
  <c r="AE165" i="3"/>
  <c r="S165" i="3"/>
  <c r="Z165" i="3"/>
  <c r="X165" i="3"/>
  <c r="T165" i="3"/>
  <c r="AD165" i="3"/>
  <c r="R165" i="3"/>
  <c r="AA165" i="3"/>
  <c r="W165" i="3"/>
  <c r="U165" i="3"/>
  <c r="AC165" i="3"/>
  <c r="Q165" i="3"/>
  <c r="AB165" i="3"/>
  <c r="Y165" i="3"/>
  <c r="V165" i="3"/>
  <c r="F165" i="3"/>
  <c r="C165" i="3"/>
  <c r="H165" i="3"/>
  <c r="E165" i="3"/>
  <c r="O165" i="3"/>
  <c r="A444" i="6"/>
  <c r="B443" i="6"/>
  <c r="A428" i="1"/>
  <c r="B428" i="1" s="1"/>
  <c r="N167" i="3" l="1"/>
  <c r="T167" i="3"/>
  <c r="AE167" i="3"/>
  <c r="E167" i="3"/>
  <c r="F167" i="3"/>
  <c r="U167" i="3"/>
  <c r="G167" i="3"/>
  <c r="Y167" i="3"/>
  <c r="Z167" i="3"/>
  <c r="AA167" i="3"/>
  <c r="O167" i="3"/>
  <c r="AC167" i="3"/>
  <c r="R167" i="3"/>
  <c r="V167" i="3"/>
  <c r="W167" i="3"/>
  <c r="X167" i="3"/>
  <c r="J167" i="3"/>
  <c r="AB167" i="3"/>
  <c r="B167" i="3"/>
  <c r="Q167" i="3"/>
  <c r="C167" i="3"/>
  <c r="AD167" i="3"/>
  <c r="D167" i="3"/>
  <c r="H167" i="3"/>
  <c r="I167" i="3"/>
  <c r="K167" i="3"/>
  <c r="S167" i="3"/>
  <c r="A445" i="6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A437" i="1" s="1"/>
  <c r="A438" i="1" s="1"/>
  <c r="B435" i="1"/>
  <c r="A452" i="6"/>
  <c r="B451" i="6"/>
  <c r="A453" i="6" l="1"/>
  <c r="B452" i="6"/>
  <c r="A454" i="6" l="1"/>
  <c r="B453" i="6"/>
  <c r="A455" i="6" l="1"/>
  <c r="B454" i="6"/>
  <c r="A456" i="6" l="1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<sst xmlns="http://schemas.openxmlformats.org/spreadsheetml/2006/main" count="688" uniqueCount="83">
  <si>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</si>
  <si>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</si>
  <si>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</si>
  <si>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</si>
  <si>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</si>
  <si>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</si>
  <si>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</si>
  <si>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</si>
  <si>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</si>
  <si>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</si>
  <si>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</si>
  <si>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</si>
  <si>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</si>
  <si>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</si>
  <si>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</si>
  <si>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</si>
  <si>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</si>
  <si>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</si>
  <si>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</si>
  <si>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</si>
  <si>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</si>
  <si>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</si>
  <si>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</si>
  <si>
    <t>S30O6</t>
  </si>
  <si>
    <t>S13N6</t>
  </si>
  <si>
    <t>TZXD6</t>
  </si>
  <si>
    <t>TZXM7</t>
  </si>
  <si>
    <t>TZXS7</t>
  </si>
  <si>
    <t>TZXO7</t>
  </si>
  <si>
    <t>TZXD7</t>
  </si>
  <si>
    <t>TZXM8</t>
  </si>
  <si>
    <t>TZX28</t>
  </si>
  <si>
    <t>TZXS8</t>
  </si>
  <si>
    <t>TZXD8</t>
  </si>
  <si>
    <t>TZXM9</t>
  </si>
  <si>
    <t>Fecha efectiva de pago</t>
  </si>
  <si>
    <t>Amortizacion</t>
  </si>
  <si>
    <t>Valor residual</t>
  </si>
  <si>
    <t>Tasa de interés</t>
  </si>
  <si>
    <t>Interés (vn)</t>
  </si>
  <si>
    <t>0</t>
  </si>
  <si>
    <t>AO27</t>
  </si>
  <si>
    <t>AO28</t>
  </si>
  <si>
    <t>AO29</t>
  </si>
  <si>
    <t>AN29</t>
  </si>
  <si>
    <t>AL29</t>
  </si>
  <si>
    <t>GD29</t>
  </si>
  <si>
    <t>AL30</t>
  </si>
  <si>
    <t>GD30</t>
  </si>
  <si>
    <t>AL35</t>
  </si>
  <si>
    <t>GD35</t>
  </si>
  <si>
    <t>AE38</t>
  </si>
  <si>
    <t>GD38</t>
  </si>
  <si>
    <t>AL41</t>
  </si>
  <si>
    <t>GD41</t>
  </si>
  <si>
    <t>AE38C</t>
  </si>
  <si>
    <t>AL29C</t>
  </si>
  <si>
    <t>AL30C</t>
  </si>
  <si>
    <t>AL35C</t>
  </si>
  <si>
    <t>AL41C</t>
  </si>
  <si>
    <t>AN29C</t>
  </si>
  <si>
    <t>AO27C</t>
  </si>
  <si>
    <t>AO28C</t>
  </si>
  <si>
    <t>AO29C</t>
  </si>
  <si>
    <t>GD29C</t>
  </si>
  <si>
    <t>GD30C</t>
  </si>
  <si>
    <t>GD35C</t>
  </si>
  <si>
    <t>GD38C</t>
  </si>
  <si>
    <t>GD41C</t>
  </si>
  <si>
    <t>AE38D</t>
  </si>
  <si>
    <t>AL29D</t>
  </si>
  <si>
    <t>AL30D</t>
  </si>
  <si>
    <t>AL35D</t>
  </si>
  <si>
    <t>AL41D</t>
  </si>
  <si>
    <t>AN29D</t>
  </si>
  <si>
    <t>AO27D</t>
  </si>
  <si>
    <t>AO28D</t>
  </si>
  <si>
    <t>GD29D</t>
  </si>
  <si>
    <t>GD30D</t>
  </si>
  <si>
    <t>GD35D</t>
  </si>
  <si>
    <t>AO29D</t>
  </si>
  <si>
    <t>GD38D</t>
  </si>
  <si>
    <t>GD41D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</si>
</sst>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  <xf numFmtId="0" fontId="2" fillId="0" borderId="0" xfId="2" applyNumberFormat="1"/>
    <xf numFmtId="14" fontId="2" fillId="0" borderId="0" xfId="2" applyNumberFormat="1"/>
    <xf numFmtId="10" fontId="2" fillId="0" borderId="0" xfId="2" applyNumberFormat="1"/>
  </cellXfs>
  <cellStyles count="3">
    <cellStyle name="Normal" xfId="0" builtinId="0"/>
    <cellStyle name="Normal 2" xfId="2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/>
      <sheetData sheetId="1"/>
      <sheetData sheetId="2"/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46308</v>
          </cell>
          <cell r="D6">
            <v>46309</v>
          </cell>
          <cell r="E6">
            <v>46310</v>
          </cell>
          <cell r="F6">
            <v>46311</v>
          </cell>
          <cell r="G6">
            <v>46314</v>
          </cell>
          <cell r="H6">
            <v>46315</v>
          </cell>
          <cell r="I6">
            <v>46316</v>
          </cell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% Hoy</v>
          </cell>
          <cell r="E7" t="str">
            <v>Px Hoy</v>
          </cell>
          <cell r="F7" t="str">
            <v>Px Hoy</v>
          </cell>
          <cell r="G7" t="str">
            <v>Px Hoy</v>
          </cell>
          <cell r="H7" t="str">
            <v>Px Hoy</v>
          </cell>
          <cell r="I7" t="str">
            <v>Px Hoy</v>
          </cell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1.0360251</v>
          </cell>
          <cell r="D11">
            <v>1.0381058000000001</v>
          </cell>
          <cell r="E11">
            <v>1.0370792499999999</v>
          </cell>
          <cell r="F11">
            <v>1.03552318</v>
          </cell>
          <cell r="G11">
            <v>1.0339150100000001</v>
          </cell>
          <cell r="H11">
            <v>1.0349804199999999</v>
          </cell>
          <cell r="I11">
            <v>1.03541214</v>
          </cell>
          <cell r="J11"/>
          <cell r="K11"/>
        </row>
        <row r="12">
          <cell r="B12" t="str">
            <v>AL30D</v>
          </cell>
          <cell r="C12">
            <v>0.56179374999999998</v>
          </cell>
          <cell r="D12">
            <v>0.56207753000000005</v>
          </cell>
          <cell r="E12">
            <v>0.56127616999999996</v>
          </cell>
          <cell r="F12">
            <v>0.55654205999999995</v>
          </cell>
          <cell r="G12">
            <v>0.55234872999999995</v>
          </cell>
          <cell r="H12">
            <v>0.55400811999999999</v>
          </cell>
          <cell r="I12">
            <v>0.55128723999999996</v>
          </cell>
          <cell r="J12"/>
          <cell r="K12"/>
        </row>
        <row r="13">
          <cell r="B13" t="str">
            <v>GD30D</v>
          </cell>
          <cell r="C13">
            <v>0.57678925999999997</v>
          </cell>
          <cell r="D13">
            <v>0.57434536000000003</v>
          </cell>
          <cell r="E13">
            <v>0.57658505999999998</v>
          </cell>
          <cell r="F13">
            <v>0.56936392999999996</v>
          </cell>
          <cell r="G13">
            <v>0.56829012000000001</v>
          </cell>
          <cell r="H13">
            <v>0.56833805999999998</v>
          </cell>
          <cell r="I13">
            <v>0.56683755000000002</v>
          </cell>
          <cell r="J13"/>
          <cell r="K13"/>
        </row>
        <row r="14">
          <cell r="B14" t="str">
            <v>AO28D</v>
          </cell>
          <cell r="C14">
            <v>0.93671409999999999</v>
          </cell>
          <cell r="D14">
            <v>0.93537146999999998</v>
          </cell>
          <cell r="E14">
            <v>0.93966570000000005</v>
          </cell>
          <cell r="F14">
            <v>0.93450034999999998</v>
          </cell>
          <cell r="G14">
            <v>0.92628224000000003</v>
          </cell>
          <cell r="H14">
            <v>0.92653333999999998</v>
          </cell>
          <cell r="I14">
            <v>0.91976760000000002</v>
          </cell>
          <cell r="J14"/>
          <cell r="K14"/>
        </row>
        <row r="15">
          <cell r="B15" t="str">
            <v>AO29D</v>
          </cell>
          <cell r="C15">
            <v>0.86546416000000004</v>
          </cell>
          <cell r="D15">
            <v>0.86496722999999998</v>
          </cell>
          <cell r="E15">
            <v>0.86529741999999998</v>
          </cell>
          <cell r="F15">
            <v>0.85596059000000002</v>
          </cell>
          <cell r="G15">
            <v>0.85160027000000005</v>
          </cell>
          <cell r="H15">
            <v>0.85722827999999995</v>
          </cell>
          <cell r="I15">
            <v>0.86258517999999995</v>
          </cell>
          <cell r="J15"/>
          <cell r="K15"/>
        </row>
        <row r="16">
          <cell r="B16" t="str">
            <v>AN29D</v>
          </cell>
          <cell r="C16">
            <v>0.88362907000000002</v>
          </cell>
          <cell r="D16">
            <v>0.88789361</v>
          </cell>
          <cell r="E16">
            <v>0.88843055999999998</v>
          </cell>
          <cell r="F16">
            <v>0.87563223000000001</v>
          </cell>
          <cell r="G16">
            <v>0.87392955999999999</v>
          </cell>
          <cell r="H16">
            <v>0.88033021</v>
          </cell>
          <cell r="I16">
            <v>0.88019263999999997</v>
          </cell>
          <cell r="J16"/>
          <cell r="K16"/>
        </row>
        <row r="17">
          <cell r="B17" t="str">
            <v>AE38D</v>
          </cell>
          <cell r="C17">
            <v>0.74821859000000002</v>
          </cell>
          <cell r="D17">
            <v>0.74708881000000005</v>
          </cell>
          <cell r="E17">
            <v>0.74904011999999998</v>
          </cell>
          <cell r="F17">
            <v>0.73838075000000003</v>
          </cell>
          <cell r="G17">
            <v>0.72910900000000001</v>
          </cell>
          <cell r="H17">
            <v>0.73189634999999997</v>
          </cell>
          <cell r="I17">
            <v>0.73018035999999997</v>
          </cell>
          <cell r="J17"/>
          <cell r="K17"/>
        </row>
        <row r="18">
          <cell r="B18" t="str">
            <v>GD38D</v>
          </cell>
          <cell r="C18">
            <v>0.80407362000000004</v>
          </cell>
          <cell r="D18">
            <v>0.80542327999999996</v>
          </cell>
          <cell r="E18">
            <v>0.80708986000000005</v>
          </cell>
          <cell r="F18">
            <v>0.79443074999999996</v>
          </cell>
          <cell r="G18">
            <v>0.78777313999999998</v>
          </cell>
          <cell r="H18">
            <v>0.79169111999999997</v>
          </cell>
          <cell r="I18">
            <v>0.78851773999999997</v>
          </cell>
          <cell r="J18"/>
          <cell r="K18"/>
        </row>
        <row r="19">
          <cell r="B19" t="str">
            <v>AL35D</v>
          </cell>
          <cell r="C19">
            <v>0.71347183000000003</v>
          </cell>
          <cell r="D19">
            <v>0.71657627999999995</v>
          </cell>
          <cell r="E19">
            <v>0.71466039000000003</v>
          </cell>
          <cell r="F19">
            <v>0.70594665999999995</v>
          </cell>
          <cell r="G19">
            <v>0.69891199999999998</v>
          </cell>
          <cell r="H19">
            <v>0.70043750999999999</v>
          </cell>
          <cell r="I19">
            <v>0.70017711000000005</v>
          </cell>
          <cell r="J19"/>
          <cell r="K19"/>
        </row>
        <row r="20">
          <cell r="B20" t="str">
            <v>GD35D</v>
          </cell>
          <cell r="C20">
            <v>0.75354429000000001</v>
          </cell>
          <cell r="D20">
            <v>0.75350209999999995</v>
          </cell>
          <cell r="E20">
            <v>0.75481904</v>
          </cell>
          <cell r="F20">
            <v>0.74216093999999999</v>
          </cell>
          <cell r="G20">
            <v>0.73901961000000005</v>
          </cell>
          <cell r="H20">
            <v>0.74345437000000003</v>
          </cell>
          <cell r="I20">
            <v>0.73758840000000003</v>
          </cell>
          <cell r="J20"/>
          <cell r="K20"/>
        </row>
        <row r="21">
          <cell r="B21" t="str">
            <v>AL41D</v>
          </cell>
          <cell r="C21">
            <v>0.66482070000000004</v>
          </cell>
          <cell r="D21">
            <v>0.66890293000000001</v>
          </cell>
          <cell r="E21">
            <v>0.66359541</v>
          </cell>
          <cell r="F21">
            <v>0.65394589000000003</v>
          </cell>
          <cell r="G21">
            <v>0.64957577</v>
          </cell>
          <cell r="H21">
            <v>0.65210818000000004</v>
          </cell>
          <cell r="I21">
            <v>0.64742909999999998</v>
          </cell>
          <cell r="J21"/>
          <cell r="K21"/>
        </row>
        <row r="22">
          <cell r="B22" t="str">
            <v>GD41D</v>
          </cell>
          <cell r="C22">
            <v>0.70152095000000003</v>
          </cell>
          <cell r="D22">
            <v>0.69967833000000001</v>
          </cell>
          <cell r="E22">
            <v>0.69999917</v>
          </cell>
          <cell r="F22">
            <v>0.68774774999999999</v>
          </cell>
          <cell r="G22">
            <v>0.68539989000000001</v>
          </cell>
          <cell r="H22">
            <v>0.69215795000000002</v>
          </cell>
          <cell r="I22">
            <v>0.68502668</v>
          </cell>
          <cell r="J22"/>
          <cell r="K22"/>
        </row>
        <row r="23">
          <cell r="B23" t="str">
            <v>GD46D</v>
          </cell>
          <cell r="C23">
            <v>0.64614099999999997</v>
          </cell>
          <cell r="D23">
            <v>0.64094800000000007</v>
          </cell>
          <cell r="E23">
            <v>0.65143978000000002</v>
          </cell>
          <cell r="F23">
            <v>0.63680778000000005</v>
          </cell>
          <cell r="G23">
            <v>0.63357999999999992</v>
          </cell>
          <cell r="H23">
            <v>0.6282797</v>
          </cell>
          <cell r="I23">
            <v>0.62329707000000001</v>
          </cell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1592.79702077</v>
          </cell>
          <cell r="D27">
            <v>1594.8311308100001</v>
          </cell>
          <cell r="E27">
            <v>1591.09330303</v>
          </cell>
          <cell r="F27">
            <v>1591.4895195199999</v>
          </cell>
          <cell r="G27">
            <v>1595.07930382</v>
          </cell>
          <cell r="H27">
            <v>1603.4716997999999</v>
          </cell>
          <cell r="I27">
            <v>1604.1164756799999</v>
          </cell>
          <cell r="J27"/>
          <cell r="K27"/>
        </row>
        <row r="28">
          <cell r="B28" t="str">
            <v>AL30</v>
          </cell>
          <cell r="C28">
            <v>864.75606281</v>
          </cell>
          <cell r="D28">
            <v>862.83745638000005</v>
          </cell>
          <cell r="E28">
            <v>861.00148597999998</v>
          </cell>
          <cell r="F28">
            <v>854.97026500000004</v>
          </cell>
          <cell r="G28">
            <v>850.17795665999995</v>
          </cell>
          <cell r="H28">
            <v>856.62819062999995</v>
          </cell>
          <cell r="I28">
            <v>851.21788481999999</v>
          </cell>
          <cell r="J28"/>
          <cell r="K28"/>
        </row>
        <row r="29">
          <cell r="B29" t="str">
            <v>GD30</v>
          </cell>
          <cell r="C29">
            <v>886.53170381999996</v>
          </cell>
          <cell r="D29">
            <v>888.6722456</v>
          </cell>
          <cell r="E29">
            <v>882.62682132999998</v>
          </cell>
          <cell r="F29">
            <v>877.62863737999999</v>
          </cell>
          <cell r="G29">
            <v>876.95841951</v>
          </cell>
          <cell r="H29">
            <v>877.86325844999999</v>
          </cell>
          <cell r="I29">
            <v>877.04375371000003</v>
          </cell>
          <cell r="J29"/>
          <cell r="K29"/>
        </row>
        <row r="30">
          <cell r="B30" t="str">
            <v>AO28</v>
          </cell>
          <cell r="C30">
            <v>1438.8312240800001</v>
          </cell>
          <cell r="D30">
            <v>1438.85822089</v>
          </cell>
          <cell r="E30">
            <v>1438.7780195600001</v>
          </cell>
          <cell r="F30">
            <v>1436.1981126999999</v>
          </cell>
          <cell r="G30">
            <v>1423.0652202799999</v>
          </cell>
          <cell r="H30">
            <v>1431.63425833</v>
          </cell>
          <cell r="I30">
            <v>1426.32459485</v>
          </cell>
          <cell r="J30"/>
          <cell r="K30"/>
        </row>
        <row r="31">
          <cell r="B31" t="str">
            <v>AO29</v>
          </cell>
          <cell r="C31">
            <v>1329.02568221</v>
          </cell>
          <cell r="D31">
            <v>1328.9233569</v>
          </cell>
          <cell r="E31">
            <v>1325.6020615499999</v>
          </cell>
          <cell r="F31">
            <v>1314.49627515</v>
          </cell>
          <cell r="G31">
            <v>1311.94987378</v>
          </cell>
          <cell r="H31">
            <v>1324.6184797599999</v>
          </cell>
          <cell r="I31">
            <v>1335.1665488599999</v>
          </cell>
          <cell r="J31"/>
          <cell r="K31"/>
        </row>
        <row r="32">
          <cell r="B32" t="str">
            <v>AN29</v>
          </cell>
          <cell r="C32">
            <v>1360.8423058999999</v>
          </cell>
          <cell r="D32">
            <v>1361.5988760299999</v>
          </cell>
          <cell r="E32">
            <v>1362.4184357300001</v>
          </cell>
          <cell r="F32">
            <v>1349.0018693899999</v>
          </cell>
          <cell r="G32">
            <v>1347.09307038</v>
          </cell>
          <cell r="H32">
            <v>1359.9283537900001</v>
          </cell>
          <cell r="I32">
            <v>1365.21850404</v>
          </cell>
          <cell r="J32"/>
          <cell r="K32"/>
        </row>
        <row r="33">
          <cell r="B33" t="str">
            <v>AE38</v>
          </cell>
          <cell r="C33">
            <v>1149.8317965000001</v>
          </cell>
          <cell r="D33">
            <v>1148.4365979700001</v>
          </cell>
          <cell r="E33">
            <v>1149.5621912199999</v>
          </cell>
          <cell r="F33">
            <v>1133.88519273</v>
          </cell>
          <cell r="G33">
            <v>1119.93579841</v>
          </cell>
          <cell r="H33">
            <v>1132.4531455399999</v>
          </cell>
          <cell r="I33">
            <v>1133.8393331299999</v>
          </cell>
          <cell r="J33"/>
          <cell r="K33"/>
        </row>
        <row r="34">
          <cell r="B34" t="str">
            <v>GD38</v>
          </cell>
          <cell r="C34">
            <v>1239.6443126199999</v>
          </cell>
          <cell r="D34">
            <v>1236.60025436</v>
          </cell>
          <cell r="E34">
            <v>1226.0070143400001</v>
          </cell>
          <cell r="F34">
            <v>1226.57130519</v>
          </cell>
          <cell r="G34">
            <v>1217.3873780599999</v>
          </cell>
          <cell r="H34">
            <v>1220.0117383899999</v>
          </cell>
          <cell r="I34">
            <v>1221.1131717599999</v>
          </cell>
          <cell r="J34"/>
          <cell r="K34"/>
        </row>
        <row r="35">
          <cell r="B35" t="str">
            <v>AL35</v>
          </cell>
          <cell r="C35">
            <v>1100.24093103</v>
          </cell>
          <cell r="D35">
            <v>1093.55241922</v>
          </cell>
          <cell r="E35">
            <v>1095.8103650099999</v>
          </cell>
          <cell r="F35">
            <v>1090.5935350499999</v>
          </cell>
          <cell r="G35">
            <v>1076.62688882</v>
          </cell>
          <cell r="H35">
            <v>1084.89340472</v>
          </cell>
          <cell r="I35">
            <v>1085.6426758</v>
          </cell>
          <cell r="J35"/>
          <cell r="K35"/>
        </row>
        <row r="36">
          <cell r="B36" t="str">
            <v>GD35</v>
          </cell>
          <cell r="C36">
            <v>1160.9964968899999</v>
          </cell>
          <cell r="D36">
            <v>1157.1706595999999</v>
          </cell>
          <cell r="E36">
            <v>1158.3793937800001</v>
          </cell>
          <cell r="F36">
            <v>1149.8515734099999</v>
          </cell>
          <cell r="G36">
            <v>1140.9569637500001</v>
          </cell>
          <cell r="H36">
            <v>1144.8601667200001</v>
          </cell>
          <cell r="I36">
            <v>1145.03599061</v>
          </cell>
          <cell r="J36"/>
          <cell r="K36"/>
        </row>
        <row r="37">
          <cell r="B37" t="str">
            <v>AL41</v>
          </cell>
          <cell r="C37">
            <v>1016.96146589</v>
          </cell>
          <cell r="D37">
            <v>1014.2167163300001</v>
          </cell>
          <cell r="E37">
            <v>1017.82195867</v>
          </cell>
          <cell r="F37">
            <v>1005.34453086</v>
          </cell>
          <cell r="G37">
            <v>994.24531977000004</v>
          </cell>
          <cell r="H37">
            <v>1006.9270033499999</v>
          </cell>
          <cell r="I37">
            <v>1004.367065</v>
          </cell>
          <cell r="J37"/>
          <cell r="K37"/>
        </row>
        <row r="38">
          <cell r="B38" t="str">
            <v>GD41</v>
          </cell>
          <cell r="C38">
            <v>1080.73030133</v>
          </cell>
          <cell r="D38">
            <v>1074.1264257800001</v>
          </cell>
          <cell r="E38">
            <v>1074.97352692</v>
          </cell>
          <cell r="F38">
            <v>1057.87734748</v>
          </cell>
          <cell r="G38">
            <v>1053.94079891</v>
          </cell>
          <cell r="H38">
            <v>1066.39671576</v>
          </cell>
          <cell r="I38">
            <v>1065.47013698</v>
          </cell>
          <cell r="J38"/>
          <cell r="K38"/>
        </row>
        <row r="39">
          <cell r="B39" t="str">
            <v>GD46</v>
          </cell>
          <cell r="C39">
            <v>981.48727842999995</v>
          </cell>
          <cell r="D39">
            <v>968.14088769</v>
          </cell>
          <cell r="E39">
            <v>997.86223584000004</v>
          </cell>
          <cell r="F39">
            <v>952.99931094999999</v>
          </cell>
          <cell r="G39">
            <v>949.79849089000004</v>
          </cell>
          <cell r="H39">
            <v>974.39452009000001</v>
          </cell>
          <cell r="I39">
            <v>974.9500845</v>
          </cell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1.04628776</v>
          </cell>
          <cell r="D43">
            <v>1.04851414</v>
          </cell>
          <cell r="E43">
            <v>1.0516578599999999</v>
          </cell>
          <cell r="F43">
            <v>1.0514263100000001</v>
          </cell>
          <cell r="G43">
            <v>1.0504653799999999</v>
          </cell>
          <cell r="H43">
            <v>1.0522571000000001</v>
          </cell>
          <cell r="I43">
            <v>1.0513308100000001</v>
          </cell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1601.88519103</v>
          </cell>
          <cell r="D47">
            <v>1610.8617769099999</v>
          </cell>
          <cell r="E47">
            <v>1614.9979780199999</v>
          </cell>
          <cell r="F47">
            <v>1619.31073894</v>
          </cell>
          <cell r="G47">
            <v>1619.46099213</v>
          </cell>
          <cell r="H47">
            <v>1629.8302705399999</v>
          </cell>
          <cell r="I47">
            <v>1625.03191797</v>
          </cell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S30O6</v>
          </cell>
          <cell r="C51">
            <v>1.33872407</v>
          </cell>
          <cell r="D51">
            <v>1.33972819</v>
          </cell>
          <cell r="E51">
            <v>1.34352633</v>
          </cell>
          <cell r="F51">
            <v>1.3462190999999999</v>
          </cell>
          <cell r="G51">
            <v>1.3467551200000001</v>
          </cell>
          <cell r="H51">
            <v>1.3462021099999999</v>
          </cell>
          <cell r="I51">
            <v>1.34694896</v>
          </cell>
          <cell r="J51"/>
          <cell r="K51"/>
        </row>
        <row r="52">
          <cell r="B52" t="str">
            <v>S13N6</v>
          </cell>
          <cell r="C52">
            <v>1.07574226</v>
          </cell>
          <cell r="D52">
            <v>1.07599329</v>
          </cell>
          <cell r="E52">
            <v>1.0771898099999999</v>
          </cell>
          <cell r="F52">
            <v>1.07952012</v>
          </cell>
          <cell r="G52">
            <v>1.0799686399999999</v>
          </cell>
          <cell r="H52">
            <v>1.08108965</v>
          </cell>
          <cell r="I52">
            <v>1.0817655799999999</v>
          </cell>
          <cell r="J52"/>
          <cell r="K52"/>
        </row>
        <row r="53">
          <cell r="B53" t="str">
            <v>S30N6</v>
          </cell>
          <cell r="C53">
            <v>1.2606297799999999</v>
          </cell>
          <cell r="D53">
            <v>1.26006102</v>
          </cell>
          <cell r="E53">
            <v>1.2619768200000001</v>
          </cell>
          <cell r="F53">
            <v>1.2652142500000001</v>
          </cell>
          <cell r="G53">
            <v>1.2658785699999999</v>
          </cell>
          <cell r="H53">
            <v>1.2667788499999999</v>
          </cell>
          <cell r="I53">
            <v>1.2678373000000001</v>
          </cell>
          <cell r="J53"/>
          <cell r="K53"/>
        </row>
        <row r="54">
          <cell r="B54" t="str">
            <v>S29E7</v>
          </cell>
          <cell r="C54">
            <v>1.0406137799999999</v>
          </cell>
          <cell r="D54">
            <v>1.04013471</v>
          </cell>
          <cell r="E54">
            <v>1.0380406799999999</v>
          </cell>
          <cell r="F54">
            <v>1.0465052399999999</v>
          </cell>
          <cell r="G54">
            <v>1.0468394599999999</v>
          </cell>
          <cell r="H54">
            <v>1.04730795</v>
          </cell>
          <cell r="I54">
            <v>1.0483183599999999</v>
          </cell>
          <cell r="J54"/>
          <cell r="K54"/>
        </row>
        <row r="55">
          <cell r="B55"/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 t="str">
            <v>Bonos Soberanos Tasa Fija</v>
          </cell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/>
          <cell r="C57"/>
          <cell r="D57"/>
          <cell r="E57"/>
          <cell r="F57"/>
          <cell r="G57"/>
          <cell r="H57"/>
          <cell r="I57"/>
          <cell r="J57"/>
          <cell r="K57"/>
        </row>
        <row r="58">
          <cell r="B58" t="str">
            <v>T15E7</v>
          </cell>
          <cell r="C58">
            <v>1.51469338</v>
          </cell>
          <cell r="D58">
            <v>1.51396376</v>
          </cell>
          <cell r="E58">
            <v>1.51818404</v>
          </cell>
          <cell r="F58">
            <v>1.5226219299999999</v>
          </cell>
          <cell r="G58">
            <v>1.5235683499999999</v>
          </cell>
          <cell r="H58">
            <v>1.5249278500000001</v>
          </cell>
          <cell r="I58">
            <v>1.5252739099999999</v>
          </cell>
          <cell r="J58"/>
          <cell r="K58"/>
        </row>
        <row r="59">
          <cell r="B59" t="str">
            <v>T30A7</v>
          </cell>
          <cell r="C59">
            <v>1.3711843500000001</v>
          </cell>
          <cell r="D59">
            <v>1.37126331</v>
          </cell>
          <cell r="E59">
            <v>1.3748229700000001</v>
          </cell>
          <cell r="F59">
            <v>1.3789722900000001</v>
          </cell>
          <cell r="G59">
            <v>1.3791142999999999</v>
          </cell>
          <cell r="H59">
            <v>1.38088601</v>
          </cell>
          <cell r="I59">
            <v>1.38344445</v>
          </cell>
          <cell r="J59"/>
          <cell r="K59"/>
        </row>
        <row r="60">
          <cell r="B60" t="str">
            <v>T31Y7</v>
          </cell>
          <cell r="C60">
            <v>1.2911038800000001</v>
          </cell>
          <cell r="D60">
            <v>1.291304</v>
          </cell>
          <cell r="E60">
            <v>1.29516952</v>
          </cell>
          <cell r="F60">
            <v>1.29837176</v>
          </cell>
          <cell r="G60">
            <v>1.2980624199999999</v>
          </cell>
          <cell r="H60">
            <v>1.3009219000000001</v>
          </cell>
          <cell r="I60">
            <v>1.3035093099999999</v>
          </cell>
          <cell r="J60"/>
          <cell r="K60"/>
        </row>
        <row r="61">
          <cell r="B61" t="str">
            <v>T30J7</v>
          </cell>
          <cell r="C61">
            <v>1.3084733</v>
          </cell>
          <cell r="D61">
            <v>1.3090459999999999</v>
          </cell>
          <cell r="E61">
            <v>1.3161225700000001</v>
          </cell>
          <cell r="F61">
            <v>1.31940788</v>
          </cell>
          <cell r="G61">
            <v>1.31927609</v>
          </cell>
          <cell r="H61">
            <v>1.32152921</v>
          </cell>
          <cell r="I61">
            <v>1.31171438</v>
          </cell>
          <cell r="J61"/>
          <cell r="K61"/>
        </row>
        <row r="62">
          <cell r="B62" t="str">
            <v>TY30P</v>
          </cell>
          <cell r="C62">
            <v>1.1243672300000001</v>
          </cell>
          <cell r="D62">
            <v>1.12451721</v>
          </cell>
          <cell r="E62">
            <v>1.12853263</v>
          </cell>
          <cell r="F62">
            <v>1.1321099800000001</v>
          </cell>
          <cell r="G62">
            <v>1.1298443199999999</v>
          </cell>
          <cell r="H62">
            <v>1.1330680799999999</v>
          </cell>
          <cell r="I62">
            <v>1.1338065900000001</v>
          </cell>
          <cell r="J62"/>
          <cell r="K62"/>
        </row>
        <row r="63">
          <cell r="B63"/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 t="str">
            <v>Bonos Soberanos Tasa Fija - Tamar</v>
          </cell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/>
          <cell r="C65"/>
          <cell r="D65"/>
          <cell r="E65"/>
          <cell r="F65"/>
          <cell r="G65"/>
          <cell r="H65"/>
          <cell r="I65"/>
          <cell r="J65"/>
          <cell r="K65"/>
        </row>
        <row r="66">
          <cell r="B66" t="str">
            <v>TTD26</v>
          </cell>
          <cell r="C66">
            <v>1.73490835</v>
          </cell>
          <cell r="D66">
            <v>1.7361256</v>
          </cell>
          <cell r="E66">
            <v>1.73837219</v>
          </cell>
          <cell r="F66">
            <v>1.74290945</v>
          </cell>
          <cell r="G66">
            <v>1.7438435000000001</v>
          </cell>
          <cell r="H66">
            <v>1.7457688899999999</v>
          </cell>
          <cell r="I66">
            <v>1.7475036100000001</v>
          </cell>
          <cell r="J66"/>
          <cell r="K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 t="str">
            <v>Bonos Soberanos TAMAR</v>
          </cell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</row>
        <row r="70">
          <cell r="B70" t="str">
            <v>TMF27</v>
          </cell>
          <cell r="C70">
            <v>1.25371196</v>
          </cell>
          <cell r="D70">
            <v>1.25551919</v>
          </cell>
          <cell r="E70">
            <v>1.2569410700000001</v>
          </cell>
          <cell r="F70">
            <v>1.2600124800000001</v>
          </cell>
          <cell r="G70">
            <v>1.26114211</v>
          </cell>
          <cell r="H70">
            <v>1.2627306899999999</v>
          </cell>
          <cell r="I70">
            <v>1.26323282</v>
          </cell>
          <cell r="J70"/>
          <cell r="K70"/>
        </row>
        <row r="71">
          <cell r="B71" t="str">
            <v>TML27</v>
          </cell>
          <cell r="C71">
            <v>1.1039651500000001</v>
          </cell>
          <cell r="D71">
            <v>1.1058990500000001</v>
          </cell>
          <cell r="E71">
            <v>1.11006571</v>
          </cell>
          <cell r="F71">
            <v>1.1138335500000001</v>
          </cell>
          <cell r="G71">
            <v>1.1153652149836599</v>
          </cell>
          <cell r="H71">
            <v>1.11652306</v>
          </cell>
          <cell r="I71">
            <v>1.1193425800000001</v>
          </cell>
          <cell r="J71"/>
          <cell r="K71"/>
        </row>
        <row r="72">
          <cell r="B72" t="str">
            <v>TMG27</v>
          </cell>
          <cell r="C72">
            <v>1.1985055600000001</v>
          </cell>
          <cell r="D72">
            <v>1.2144920800000001</v>
          </cell>
          <cell r="E72">
            <v>1.19223097</v>
          </cell>
          <cell r="F72">
            <v>1.21671774</v>
          </cell>
          <cell r="G72">
            <v>1.2120161</v>
          </cell>
          <cell r="H72">
            <v>1.2122706000000001</v>
          </cell>
          <cell r="I72">
            <v>1.2152442000000001</v>
          </cell>
          <cell r="J72"/>
          <cell r="K72"/>
        </row>
        <row r="73">
          <cell r="B73" t="str">
            <v>TMG28</v>
          </cell>
          <cell r="C73">
            <v>1.0950016899999999</v>
          </cell>
          <cell r="D73">
            <v>1.09678115</v>
          </cell>
          <cell r="E73">
            <v>1.0989572999999999</v>
          </cell>
          <cell r="F73">
            <v>1.1029992200000001</v>
          </cell>
          <cell r="G73">
            <v>1.10149952</v>
          </cell>
          <cell r="H73">
            <v>1.1015386300000001</v>
          </cell>
          <cell r="I73">
            <v>1.10396136</v>
          </cell>
          <cell r="J73"/>
          <cell r="K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 t="str">
            <v>Bonos Soberanos CER - TAMAR</v>
          </cell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</row>
        <row r="77">
          <cell r="B77" t="str">
            <v>TXMJ8</v>
          </cell>
          <cell r="C77">
            <v>1.02199806</v>
          </cell>
          <cell r="D77">
            <v>1.0274458</v>
          </cell>
          <cell r="E77">
            <v>1.03762362</v>
          </cell>
          <cell r="F77">
            <v>1.0315076000000001</v>
          </cell>
          <cell r="G77">
            <v>1.0378775099999999</v>
          </cell>
          <cell r="H77">
            <v>1.0349368299999999</v>
          </cell>
          <cell r="I77">
            <v>1.0424027600000001</v>
          </cell>
          <cell r="J77"/>
          <cell r="K77"/>
        </row>
        <row r="78">
          <cell r="B78" t="str">
            <v>TXMD8</v>
          </cell>
          <cell r="C78">
            <v>0.96665522999999998</v>
          </cell>
          <cell r="D78">
            <v>0.96450336000000003</v>
          </cell>
          <cell r="E78">
            <v>0.96818355</v>
          </cell>
          <cell r="F78">
            <v>0.97351443999999998</v>
          </cell>
          <cell r="G78">
            <v>0.97050639000000005</v>
          </cell>
          <cell r="H78">
            <v>0.96700498000000001</v>
          </cell>
          <cell r="I78">
            <v>0.97000193000000001</v>
          </cell>
          <cell r="J78"/>
          <cell r="K78"/>
        </row>
        <row r="79">
          <cell r="B79" t="str">
            <v>TXMJ9</v>
          </cell>
          <cell r="C79">
            <v>0.95099005999999997</v>
          </cell>
          <cell r="D79">
            <v>0.94799836999999998</v>
          </cell>
          <cell r="E79">
            <v>0.95349207999999996</v>
          </cell>
          <cell r="F79">
            <v>0.95150161</v>
          </cell>
          <cell r="G79">
            <v>0.94800446999999999</v>
          </cell>
          <cell r="H79">
            <v>0.94940062999999997</v>
          </cell>
          <cell r="I79">
            <v>0.95250014000000005</v>
          </cell>
          <cell r="J79"/>
          <cell r="K79"/>
        </row>
        <row r="80">
          <cell r="B80" t="str">
            <v>TXMD9</v>
          </cell>
          <cell r="C80">
            <v>0.88075758000000004</v>
          </cell>
          <cell r="D80">
            <v>0.89402550000000003</v>
          </cell>
          <cell r="E80">
            <v>0.88072028999999996</v>
          </cell>
          <cell r="F80">
            <v>0.88239148999999995</v>
          </cell>
          <cell r="G80">
            <v>0.88039588000000002</v>
          </cell>
          <cell r="H80">
            <v>0.88108792000000002</v>
          </cell>
          <cell r="I80">
            <v>0.88141670000000005</v>
          </cell>
          <cell r="J80"/>
          <cell r="K80"/>
        </row>
        <row r="81">
          <cell r="B81" t="str">
            <v>TXMJ0</v>
          </cell>
          <cell r="C81">
            <v>0.85107635000000004</v>
          </cell>
          <cell r="D81">
            <v>0.84943804999999994</v>
          </cell>
          <cell r="E81">
            <v>0.85084764000000002</v>
          </cell>
          <cell r="F81">
            <v>0.85519813</v>
          </cell>
          <cell r="G81">
            <v>0.85164658999999998</v>
          </cell>
          <cell r="H81">
            <v>0.85150086000000003</v>
          </cell>
          <cell r="I81">
            <v>0.85225236999999998</v>
          </cell>
          <cell r="J81"/>
          <cell r="K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 t="str">
            <v>Bonos Soberanos CER - TAMAR</v>
          </cell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</row>
        <row r="85">
          <cell r="B85" t="str">
            <v>TZXO6</v>
          </cell>
          <cell r="C85">
            <v>1.7623381</v>
          </cell>
          <cell r="D85">
            <v>1.7637749700000001</v>
          </cell>
          <cell r="E85">
            <v>1.7654263699999999</v>
          </cell>
          <cell r="F85">
            <v>1.7683830599999999</v>
          </cell>
          <cell r="G85">
            <v>1.7690655900000001</v>
          </cell>
          <cell r="H85">
            <v>1.7708283199999999</v>
          </cell>
          <cell r="I85">
            <v>1.7724536900000001</v>
          </cell>
          <cell r="J85"/>
          <cell r="K85"/>
        </row>
        <row r="86">
          <cell r="B86" t="str">
            <v>TX26</v>
          </cell>
          <cell r="C86">
            <v>7.5624884000000003</v>
          </cell>
          <cell r="D86">
            <v>7.5575154199999997</v>
          </cell>
          <cell r="E86">
            <v>7.56998792</v>
          </cell>
          <cell r="F86">
            <v>7.58483529</v>
          </cell>
          <cell r="G86">
            <v>7.5878352400000004</v>
          </cell>
          <cell r="H86">
            <v>7.5937811200000001</v>
          </cell>
          <cell r="I86">
            <v>7.5999057900000002</v>
          </cell>
          <cell r="J86"/>
          <cell r="K86"/>
        </row>
        <row r="87">
          <cell r="B87" t="str">
            <v>X30N6</v>
          </cell>
          <cell r="C87">
            <v>1.2802404700000001</v>
          </cell>
          <cell r="D87">
            <v>1.2795586299999999</v>
          </cell>
          <cell r="E87">
            <v>1.2819699200000001</v>
          </cell>
          <cell r="F87">
            <v>1.2836386500000001</v>
          </cell>
          <cell r="G87">
            <v>1.28512731</v>
          </cell>
          <cell r="H87">
            <v>1.2854595799999999</v>
          </cell>
          <cell r="I87">
            <v>1.2865622699999999</v>
          </cell>
          <cell r="J87"/>
          <cell r="K87"/>
        </row>
        <row r="88">
          <cell r="B88" t="str">
            <v>TZXD6</v>
          </cell>
          <cell r="C88">
            <v>3.1112957200000002</v>
          </cell>
          <cell r="D88">
            <v>3.1114337299999999</v>
          </cell>
          <cell r="E88">
            <v>3.1146038800000002</v>
          </cell>
          <cell r="F88">
            <v>3.1203581699999998</v>
          </cell>
          <cell r="G88">
            <v>3.1237230500000002</v>
          </cell>
          <cell r="H88">
            <v>3.12464619</v>
          </cell>
          <cell r="I88">
            <v>3.1273752899999998</v>
          </cell>
          <cell r="J88"/>
          <cell r="K88"/>
        </row>
        <row r="89">
          <cell r="B89" t="str">
            <v>X29E7</v>
          </cell>
          <cell r="C89">
            <v>1.0300585799999999</v>
          </cell>
          <cell r="D89">
            <v>1.0310101599999999</v>
          </cell>
          <cell r="E89">
            <v>1.0331343399999999</v>
          </cell>
          <cell r="F89">
            <v>1.03549508</v>
          </cell>
          <cell r="G89">
            <v>1.03625682</v>
          </cell>
          <cell r="H89">
            <v>1.03749885</v>
          </cell>
          <cell r="I89">
            <v>1.0379849699999999</v>
          </cell>
          <cell r="J89"/>
          <cell r="K89"/>
        </row>
        <row r="90">
          <cell r="B90" t="str">
            <v>TZXM7</v>
          </cell>
          <cell r="C90">
            <v>2.3164136499999999</v>
          </cell>
          <cell r="D90">
            <v>2.3176589000000001</v>
          </cell>
          <cell r="E90">
            <v>2.32076708</v>
          </cell>
          <cell r="F90">
            <v>2.3275179000000001</v>
          </cell>
          <cell r="G90">
            <v>2.3285294900000002</v>
          </cell>
          <cell r="H90">
            <v>2.3298943300000001</v>
          </cell>
          <cell r="I90">
            <v>2.3315063999999999</v>
          </cell>
          <cell r="J90"/>
          <cell r="K90"/>
        </row>
        <row r="91">
          <cell r="B91" t="str">
            <v>TZXA7</v>
          </cell>
          <cell r="C91">
            <v>1.2767506399999999</v>
          </cell>
          <cell r="D91">
            <v>1.2759046999999999</v>
          </cell>
          <cell r="E91">
            <v>1.27900002</v>
          </cell>
          <cell r="F91">
            <v>1.28355018</v>
          </cell>
          <cell r="G91">
            <v>1.28404717</v>
          </cell>
          <cell r="H91">
            <v>1.28724576</v>
          </cell>
          <cell r="I91">
            <v>1.2895944800000001</v>
          </cell>
          <cell r="J91"/>
          <cell r="K91"/>
        </row>
        <row r="92">
          <cell r="B92" t="str">
            <v>TZXY7</v>
          </cell>
          <cell r="C92">
            <v>1.25503353</v>
          </cell>
          <cell r="D92">
            <v>1.2571690799999999</v>
          </cell>
          <cell r="E92">
            <v>1.2612713499999999</v>
          </cell>
          <cell r="F92">
            <v>1.26553798</v>
          </cell>
          <cell r="G92">
            <v>1.26702314</v>
          </cell>
          <cell r="H92">
            <v>1.2677409399999999</v>
          </cell>
          <cell r="I92">
            <v>1.26960213</v>
          </cell>
          <cell r="J92"/>
          <cell r="K92"/>
        </row>
        <row r="93">
          <cell r="B93" t="str">
            <v>TZX27</v>
          </cell>
          <cell r="C93">
            <v>4.1012386899999997</v>
          </cell>
          <cell r="D93">
            <v>4.1108232600000001</v>
          </cell>
          <cell r="E93">
            <v>4.1311680300000004</v>
          </cell>
          <cell r="F93">
            <v>4.1422743400000002</v>
          </cell>
          <cell r="G93">
            <v>4.1445826600000002</v>
          </cell>
          <cell r="H93">
            <v>4.1452876099999996</v>
          </cell>
          <cell r="I93">
            <v>4.15149597</v>
          </cell>
          <cell r="J93"/>
          <cell r="K93"/>
        </row>
        <row r="94">
          <cell r="B94" t="str">
            <v>TZXS7</v>
          </cell>
          <cell r="C94">
            <v>1.11720251</v>
          </cell>
          <cell r="D94">
            <v>1.11769702</v>
          </cell>
          <cell r="E94">
            <v>1.1179114699999999</v>
          </cell>
          <cell r="F94">
            <v>1.12251531</v>
          </cell>
          <cell r="G94">
            <v>1.12673896</v>
          </cell>
          <cell r="H94">
            <v>1.1264308700000001</v>
          </cell>
          <cell r="I94">
            <v>1.1262223</v>
          </cell>
          <cell r="J94"/>
          <cell r="K94"/>
        </row>
        <row r="95">
          <cell r="B95" t="str">
            <v>TZXO7</v>
          </cell>
          <cell r="C95"/>
          <cell r="D95"/>
          <cell r="E95">
            <v>1.01900017</v>
          </cell>
          <cell r="F95">
            <v>1.022858</v>
          </cell>
          <cell r="G95">
            <v>1.0166987700000001</v>
          </cell>
          <cell r="H95">
            <v>1.0215940000000001</v>
          </cell>
          <cell r="I95">
            <v>1.0229999999999999</v>
          </cell>
          <cell r="J95"/>
          <cell r="K95"/>
        </row>
        <row r="96">
          <cell r="B96" t="str">
            <v>TZXD7</v>
          </cell>
          <cell r="C96">
            <v>2.8698494600000002</v>
          </cell>
          <cell r="D96">
            <v>2.8709852200000001</v>
          </cell>
          <cell r="E96">
            <v>2.8797034799999999</v>
          </cell>
          <cell r="F96">
            <v>2.8944077400000001</v>
          </cell>
          <cell r="G96">
            <v>2.9025093200000001</v>
          </cell>
          <cell r="H96">
            <v>2.8988112400000001</v>
          </cell>
          <cell r="I96">
            <v>2.9093671799999998</v>
          </cell>
          <cell r="J96"/>
          <cell r="K96"/>
        </row>
        <row r="97">
          <cell r="B97" t="str">
            <v>TZXM8</v>
          </cell>
          <cell r="C97">
            <v>1.0318006099999999</v>
          </cell>
          <cell r="D97">
            <v>1.0349810399999999</v>
          </cell>
          <cell r="E97">
            <v>1.0330397499999999</v>
          </cell>
          <cell r="F97">
            <v>1.0364715200000001</v>
          </cell>
          <cell r="G97">
            <v>1.03936071</v>
          </cell>
          <cell r="H97">
            <v>1.0492393099999999</v>
          </cell>
          <cell r="I97">
            <v>1.0453569700000001</v>
          </cell>
          <cell r="J97"/>
          <cell r="K97"/>
        </row>
        <row r="98">
          <cell r="B98" t="str">
            <v>TZX28</v>
          </cell>
          <cell r="C98">
            <v>3.6202291299999998</v>
          </cell>
          <cell r="D98">
            <v>3.6150677500000001</v>
          </cell>
          <cell r="E98">
            <v>3.6075141899999998</v>
          </cell>
          <cell r="F98">
            <v>3.6288336999999999</v>
          </cell>
          <cell r="G98">
            <v>3.61664108</v>
          </cell>
          <cell r="H98">
            <v>3.6326244999999999</v>
          </cell>
          <cell r="I98">
            <v>3.6433714799999999</v>
          </cell>
          <cell r="J98"/>
          <cell r="K98"/>
        </row>
        <row r="99">
          <cell r="B99" t="str">
            <v>TZXS8</v>
          </cell>
          <cell r="C99">
            <v>0.98119071000000002</v>
          </cell>
          <cell r="D99">
            <v>0.98136414999999999</v>
          </cell>
          <cell r="E99">
            <v>0.98050603999999997</v>
          </cell>
          <cell r="F99">
            <v>0.98391406000000003</v>
          </cell>
          <cell r="G99">
            <v>0.98362095000000005</v>
          </cell>
          <cell r="H99">
            <v>0.98249960000000003</v>
          </cell>
          <cell r="I99">
            <v>0.98438888999999996</v>
          </cell>
          <cell r="J99"/>
          <cell r="K99"/>
        </row>
        <row r="100">
          <cell r="B100" t="str">
            <v>TZXD8</v>
          </cell>
          <cell r="C100">
            <v>0.87646520000000006</v>
          </cell>
          <cell r="D100">
            <v>0.87050196999999996</v>
          </cell>
          <cell r="E100">
            <v>0.87024263000000002</v>
          </cell>
          <cell r="F100">
            <v>0.87450035000000004</v>
          </cell>
          <cell r="G100">
            <v>0.87749999999999995</v>
          </cell>
          <cell r="H100">
            <v>0.87882985000000002</v>
          </cell>
          <cell r="I100">
            <v>0.87983224000000004</v>
          </cell>
          <cell r="J100"/>
          <cell r="K100"/>
        </row>
        <row r="101">
          <cell r="B101" t="str">
            <v>TZXM9</v>
          </cell>
          <cell r="C101">
            <v>0.93078998999999996</v>
          </cell>
          <cell r="D101">
            <v>0.927176</v>
          </cell>
          <cell r="E101">
            <v>0.92350297999999997</v>
          </cell>
          <cell r="F101">
            <v>0.92281038999999998</v>
          </cell>
          <cell r="G101">
            <v>0.93130204000000005</v>
          </cell>
          <cell r="H101">
            <v>0.92414275000000001</v>
          </cell>
          <cell r="I101">
            <v>0.92962405999999997</v>
          </cell>
          <cell r="J101"/>
          <cell r="K101"/>
        </row>
        <row r="102">
          <cell r="B102" t="str">
            <v>DICP</v>
          </cell>
          <cell r="C102">
            <v>493.52011914000002</v>
          </cell>
          <cell r="D102">
            <v>490.22198803999999</v>
          </cell>
          <cell r="E102">
            <v>492.52084660999998</v>
          </cell>
          <cell r="F102">
            <v>493.00786839</v>
          </cell>
          <cell r="G102">
            <v>494.97655530999998</v>
          </cell>
          <cell r="H102">
            <v>493.70228537000003</v>
          </cell>
          <cell r="I102">
            <v>495.02516274999999</v>
          </cell>
          <cell r="J102"/>
          <cell r="K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 t="str">
            <v>Bonos Soberanos Dólar Linked</v>
          </cell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</row>
        <row r="106">
          <cell r="B106" t="str">
            <v>D30O6</v>
          </cell>
          <cell r="C106">
            <v>1510.6740583400001</v>
          </cell>
          <cell r="D106">
            <v>1510.13660411</v>
          </cell>
          <cell r="E106">
            <v>1509.6619639</v>
          </cell>
          <cell r="F106">
            <v>1516.84319138</v>
          </cell>
          <cell r="G106">
            <v>1517.7250771700001</v>
          </cell>
          <cell r="H106">
            <v>1523.44195599</v>
          </cell>
          <cell r="I106">
            <v>1524.06621236</v>
          </cell>
          <cell r="J106"/>
          <cell r="K106"/>
        </row>
        <row r="107">
          <cell r="B107" t="str">
            <v>D30N6</v>
          </cell>
          <cell r="C107">
            <v>1510.3867922300001</v>
          </cell>
          <cell r="D107">
            <v>1506.36603313</v>
          </cell>
          <cell r="E107">
            <v>1506.0263081000001</v>
          </cell>
          <cell r="F107">
            <v>1512.13535409</v>
          </cell>
          <cell r="G107">
            <v>1512.6933507900001</v>
          </cell>
          <cell r="H107">
            <v>1515.92996679</v>
          </cell>
          <cell r="I107">
            <v>1517.5783862876726</v>
          </cell>
          <cell r="J107"/>
          <cell r="K107"/>
        </row>
        <row r="108">
          <cell r="B108" t="str">
            <v>D15E7</v>
          </cell>
          <cell r="C108"/>
          <cell r="D108"/>
          <cell r="E108"/>
          <cell r="F108"/>
          <cell r="G108"/>
          <cell r="H108"/>
          <cell r="I108">
            <v>1519.34405199</v>
          </cell>
          <cell r="J108"/>
          <cell r="K108"/>
        </row>
        <row r="109"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 t="str">
            <v>Bonos Soberanos Dólar Linked - TAMAR</v>
          </cell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/>
          <cell r="C111"/>
          <cell r="D111"/>
          <cell r="E111"/>
          <cell r="F111"/>
          <cell r="G111"/>
          <cell r="H111"/>
          <cell r="I111"/>
          <cell r="J111"/>
          <cell r="K111"/>
        </row>
        <row r="112">
          <cell r="B112" t="str">
            <v>TMVE8</v>
          </cell>
          <cell r="C112">
            <v>1436.15407448</v>
          </cell>
          <cell r="D112">
            <v>1435.2872485299999</v>
          </cell>
          <cell r="E112">
            <v>1439.95640652</v>
          </cell>
          <cell r="F112">
            <v>1444.99797601</v>
          </cell>
          <cell r="G112">
            <v>1447.18070072</v>
          </cell>
          <cell r="H112">
            <v>1445.02764095</v>
          </cell>
          <cell r="I112">
            <v>1451.5325221999999</v>
          </cell>
          <cell r="J112"/>
          <cell r="K112"/>
        </row>
        <row r="113"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 t="str">
            <v>Títulos Provinciales CER</v>
          </cell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</row>
        <row r="116">
          <cell r="B116" t="str">
            <v>COY27</v>
          </cell>
          <cell r="C116">
            <v>2.3437330799999998</v>
          </cell>
          <cell r="D116">
            <v>2.3443107699999999</v>
          </cell>
          <cell r="E116">
            <v>2.3470424200000002</v>
          </cell>
          <cell r="F116">
            <v>2.3526704199999999</v>
          </cell>
          <cell r="G116">
            <v>2.3565880300000002</v>
          </cell>
          <cell r="H116">
            <v>2.3574175899999998</v>
          </cell>
          <cell r="I116">
            <v>2.3589251</v>
          </cell>
          <cell r="J116"/>
          <cell r="K116"/>
        </row>
        <row r="117"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 t="str">
            <v>Títulos Provinciales Tamar</v>
          </cell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</row>
        <row r="120">
          <cell r="B120" t="str">
            <v>CO2D7</v>
          </cell>
          <cell r="C120">
            <v>1.00682308</v>
          </cell>
          <cell r="D120">
            <v>1.011112</v>
          </cell>
          <cell r="E120">
            <v>1.0042496999999999</v>
          </cell>
          <cell r="F120">
            <v>1.0018229299999999</v>
          </cell>
          <cell r="G120">
            <v>1.0054575299999999</v>
          </cell>
          <cell r="H120">
            <v>1.0074071899999999</v>
          </cell>
          <cell r="I120">
            <v>1.0132234899999999</v>
          </cell>
          <cell r="J120"/>
          <cell r="K120"/>
        </row>
        <row r="121"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 t="str">
            <v>Títulos Provinciales Hard USD</v>
          </cell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</row>
        <row r="124">
          <cell r="B124" t="str">
            <v>SJO5D</v>
          </cell>
          <cell r="C124">
            <v>1.0218382500000001</v>
          </cell>
          <cell r="D124">
            <v>1.0340084899999999</v>
          </cell>
          <cell r="E124">
            <v>1.0389999999999999</v>
          </cell>
          <cell r="F124">
            <v>1.0365</v>
          </cell>
          <cell r="G124">
            <v>1.03634497</v>
          </cell>
          <cell r="H124">
            <v>1.03595536</v>
          </cell>
          <cell r="I124">
            <v>1.0355170199999999</v>
          </cell>
          <cell r="J124"/>
          <cell r="K124"/>
        </row>
        <row r="125"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 t="str">
            <v>Títulos Provinciales Hard USD - Contra $</v>
          </cell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</row>
        <row r="128">
          <cell r="B128" t="str">
            <v>SJO35</v>
          </cell>
          <cell r="C128">
            <v>1589.6180757499999</v>
          </cell>
          <cell r="D128">
            <v>1589.1344104899999</v>
          </cell>
          <cell r="E128">
            <v>1591.1037980999999</v>
          </cell>
          <cell r="F128">
            <v>1592.1</v>
          </cell>
          <cell r="G128">
            <v>1592.02612417</v>
          </cell>
          <cell r="H128">
            <v>1603.0854982799999</v>
          </cell>
          <cell r="I128">
            <v>1602.6</v>
          </cell>
          <cell r="J128"/>
          <cell r="K128"/>
        </row>
        <row r="129"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 t="str">
            <v>Obligaciones Negociables Badlar</v>
          </cell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</row>
        <row r="132">
          <cell r="B132" t="str">
            <v>CH9BO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/>
          <cell r="K132"/>
        </row>
        <row r="133">
          <cell r="B133" t="str">
            <v>DRSEO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/>
          <cell r="K133"/>
        </row>
        <row r="134">
          <cell r="B134" t="str">
            <v>DRDCO</v>
          </cell>
          <cell r="C134">
            <v>1.0000000000000001E-9</v>
          </cell>
          <cell r="D134">
            <v>1.0000000000000001E-9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/>
          <cell r="K134"/>
        </row>
        <row r="135">
          <cell r="B135"/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 t="str">
            <v>Obligaciones Negociables Tamar</v>
          </cell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/>
          <cell r="C137"/>
          <cell r="D137"/>
          <cell r="E137"/>
          <cell r="F137"/>
          <cell r="G137"/>
          <cell r="H137"/>
          <cell r="I137"/>
          <cell r="J137"/>
          <cell r="K137"/>
        </row>
        <row r="138">
          <cell r="B138" t="str">
            <v>IP11P</v>
          </cell>
          <cell r="C138">
            <v>0.72347819999999996</v>
          </cell>
          <cell r="D138">
            <v>0.72350983999999996</v>
          </cell>
          <cell r="E138">
            <v>0.72354353999999999</v>
          </cell>
          <cell r="F138">
            <v>0.72539081999999999</v>
          </cell>
          <cell r="G138">
            <v>0.7248464</v>
          </cell>
          <cell r="H138">
            <v>0.72521009000000003</v>
          </cell>
          <cell r="I138">
            <v>0.72579167</v>
          </cell>
          <cell r="J138"/>
          <cell r="K138"/>
        </row>
        <row r="139">
          <cell r="B139" t="str">
            <v>LMS1P</v>
          </cell>
          <cell r="C139">
            <v>0.52572383</v>
          </cell>
          <cell r="D139">
            <v>0.52565543000000003</v>
          </cell>
          <cell r="E139">
            <v>0.52558945999999995</v>
          </cell>
          <cell r="F139">
            <v>0.52710683999999997</v>
          </cell>
          <cell r="G139">
            <v>0.52641916</v>
          </cell>
          <cell r="H139">
            <v>0.52666712999999998</v>
          </cell>
          <cell r="I139">
            <v>0.52713072999999999</v>
          </cell>
          <cell r="J139"/>
          <cell r="K139"/>
        </row>
        <row r="140">
          <cell r="B140" t="str">
            <v>PES1L</v>
          </cell>
          <cell r="C140">
            <v>0.75859759000000004</v>
          </cell>
          <cell r="D140">
            <v>0.75848504000000005</v>
          </cell>
          <cell r="E140">
            <v>0.75841413000000002</v>
          </cell>
          <cell r="F140">
            <v>0.76078657999999999</v>
          </cell>
          <cell r="G140">
            <v>0.75923313000000003</v>
          </cell>
          <cell r="H140">
            <v>0.75964491999999995</v>
          </cell>
          <cell r="I140">
            <v>0.76033709000000005</v>
          </cell>
          <cell r="J140"/>
          <cell r="K140"/>
        </row>
        <row r="141">
          <cell r="B141" t="str">
            <v>FSS1L</v>
          </cell>
          <cell r="C141">
            <v>0.79584991999999999</v>
          </cell>
          <cell r="D141">
            <v>0.79578269999999995</v>
          </cell>
          <cell r="E141">
            <v>0.79576190999999996</v>
          </cell>
          <cell r="F141">
            <v>0.79822181000000003</v>
          </cell>
          <cell r="G141">
            <v>0.79655374000000001</v>
          </cell>
          <cell r="H141">
            <v>0.79700146999999999</v>
          </cell>
          <cell r="I141">
            <v>0.79770914999999998</v>
          </cell>
          <cell r="J141"/>
          <cell r="K141"/>
        </row>
        <row r="142">
          <cell r="B142" t="str">
            <v>DJS1L</v>
          </cell>
          <cell r="C142">
            <v>0.77332666999999999</v>
          </cell>
          <cell r="D142">
            <v>0.77325524999999995</v>
          </cell>
          <cell r="E142">
            <v>0.77325999000000001</v>
          </cell>
          <cell r="F142">
            <v>0.77590689999999995</v>
          </cell>
          <cell r="G142">
            <v>0.77356179000000003</v>
          </cell>
          <cell r="H142">
            <v>0.77404083000000001</v>
          </cell>
          <cell r="I142">
            <v>0.77474957</v>
          </cell>
          <cell r="J142"/>
          <cell r="K142"/>
        </row>
        <row r="143">
          <cell r="B143" t="str">
            <v>CZ11L</v>
          </cell>
          <cell r="C143">
            <v>1.0553835</v>
          </cell>
          <cell r="D143">
            <v>1.05528574</v>
          </cell>
          <cell r="E143">
            <v>1.0552803500000001</v>
          </cell>
          <cell r="F143">
            <v>1.0588335099999999</v>
          </cell>
          <cell r="G143">
            <v>1.0557977000000001</v>
          </cell>
          <cell r="H143">
            <v>1.0564358199999999</v>
          </cell>
          <cell r="I143">
            <v>1.0574014899999999</v>
          </cell>
          <cell r="J143"/>
          <cell r="K143"/>
        </row>
        <row r="144">
          <cell r="B144" t="str">
            <v>AKS1L</v>
          </cell>
          <cell r="C144">
            <v>1.03270832</v>
          </cell>
          <cell r="D144">
            <v>1.03269403</v>
          </cell>
          <cell r="E144">
            <v>1.0328490699999999</v>
          </cell>
          <cell r="F144">
            <v>1.0365567</v>
          </cell>
          <cell r="G144">
            <v>1.03261969</v>
          </cell>
          <cell r="H144">
            <v>1.0333768999999999</v>
          </cell>
          <cell r="I144">
            <v>1.03431655</v>
          </cell>
          <cell r="J144"/>
          <cell r="K144"/>
        </row>
        <row r="145">
          <cell r="B145" t="str">
            <v>SQS1L</v>
          </cell>
          <cell r="C145">
            <v>1.0404317000000001</v>
          </cell>
          <cell r="D145">
            <v>1.04066057</v>
          </cell>
          <cell r="E145">
            <v>1.0409950400000001</v>
          </cell>
          <cell r="F145">
            <v>1.0447749799999999</v>
          </cell>
          <cell r="G145">
            <v>1.04042173</v>
          </cell>
          <cell r="H145">
            <v>1.0411433400000001</v>
          </cell>
          <cell r="I145">
            <v>1.04199723</v>
          </cell>
          <cell r="J145"/>
          <cell r="K145"/>
        </row>
        <row r="146">
          <cell r="B146" t="str">
            <v>CHS1L</v>
          </cell>
          <cell r="C146">
            <v>1.0380264100000001</v>
          </cell>
          <cell r="D146">
            <v>1.0385156</v>
          </cell>
          <cell r="E146">
            <v>1.0391166999999999</v>
          </cell>
          <cell r="F146">
            <v>1.04295012</v>
          </cell>
          <cell r="G146">
            <v>1.0379155</v>
          </cell>
          <cell r="H146">
            <v>1.03869111</v>
          </cell>
          <cell r="I146">
            <v>1.03946871</v>
          </cell>
          <cell r="J146"/>
          <cell r="K146"/>
        </row>
        <row r="147">
          <cell r="B147" t="str">
            <v>GES2L</v>
          </cell>
          <cell r="C147">
            <v>1.01313042</v>
          </cell>
          <cell r="D147">
            <v>1.0138199000000001</v>
          </cell>
          <cell r="E147">
            <v>1.01455333</v>
          </cell>
          <cell r="F147">
            <v>1.0184451999999999</v>
          </cell>
          <cell r="G147">
            <v>1.0128592000000001</v>
          </cell>
          <cell r="H147">
            <v>1.0135879999999999</v>
          </cell>
          <cell r="I147">
            <v>1.01427277</v>
          </cell>
          <cell r="J147"/>
          <cell r="K147"/>
        </row>
        <row r="148">
          <cell r="B148" t="str">
            <v>AKS2L</v>
          </cell>
          <cell r="C148">
            <v>1.0210932500000001</v>
          </cell>
          <cell r="D148">
            <v>1.02183008</v>
          </cell>
          <cell r="E148">
            <v>1.0225688900000001</v>
          </cell>
          <cell r="F148">
            <v>1.0265210899999999</v>
          </cell>
          <cell r="G148">
            <v>1.0207893299999999</v>
          </cell>
          <cell r="H148">
            <v>1.02147864</v>
          </cell>
          <cell r="I148">
            <v>1.0221611100000001</v>
          </cell>
          <cell r="J148"/>
          <cell r="K148"/>
        </row>
        <row r="149">
          <cell r="B149" t="str">
            <v>SXC5O</v>
          </cell>
          <cell r="C149">
            <v>1.0416804399999999</v>
          </cell>
          <cell r="D149">
            <v>1.04211338</v>
          </cell>
          <cell r="E149">
            <v>1.0427256</v>
          </cell>
          <cell r="F149">
            <v>1.04508752</v>
          </cell>
          <cell r="G149">
            <v>1.04565635</v>
          </cell>
          <cell r="H149">
            <v>1.0463433600000001</v>
          </cell>
          <cell r="I149">
            <v>1.04716784</v>
          </cell>
          <cell r="J149"/>
          <cell r="K149"/>
        </row>
        <row r="150">
          <cell r="B150" t="str">
            <v>BF38O</v>
          </cell>
          <cell r="C150">
            <v>1.0427479399999999</v>
          </cell>
          <cell r="D150">
            <v>1.0431640799999999</v>
          </cell>
          <cell r="E150">
            <v>1.0437741599999999</v>
          </cell>
          <cell r="F150">
            <v>1.04614922</v>
          </cell>
          <cell r="G150">
            <v>1.0467120999999999</v>
          </cell>
          <cell r="H150">
            <v>1.04740017</v>
          </cell>
          <cell r="I150">
            <v>1.04823183</v>
          </cell>
          <cell r="J150"/>
          <cell r="K150"/>
        </row>
        <row r="151">
          <cell r="B151" t="str">
            <v>RC3CO</v>
          </cell>
          <cell r="C151">
            <v>1.0229330299999999</v>
          </cell>
          <cell r="D151">
            <v>1.0231831199999999</v>
          </cell>
          <cell r="E151">
            <v>1.0237667399999999</v>
          </cell>
          <cell r="F151">
            <v>1.02617626</v>
          </cell>
          <cell r="G151">
            <v>1.0266301200000001</v>
          </cell>
          <cell r="H151">
            <v>1.02728654</v>
          </cell>
          <cell r="I151">
            <v>1.02817599</v>
          </cell>
          <cell r="J151"/>
          <cell r="K151"/>
        </row>
        <row r="152">
          <cell r="B152" t="str">
            <v>SXC3O</v>
          </cell>
          <cell r="C152">
            <v>1.0418843600000001</v>
          </cell>
          <cell r="D152">
            <v>1.0418474499999999</v>
          </cell>
          <cell r="E152">
            <v>1.0426073899999999</v>
          </cell>
          <cell r="F152">
            <v>1.04507686</v>
          </cell>
          <cell r="G152">
            <v>1.0454507500000001</v>
          </cell>
          <cell r="H152">
            <v>1.04620096</v>
          </cell>
          <cell r="I152">
            <v>1.0472319000000001</v>
          </cell>
          <cell r="J152"/>
          <cell r="K152"/>
        </row>
        <row r="153">
          <cell r="B153" t="str">
            <v>RC4CO</v>
          </cell>
          <cell r="C153">
            <v>1.0399309699999999</v>
          </cell>
          <cell r="D153">
            <v>1.0398908</v>
          </cell>
          <cell r="E153">
            <v>1.0406574900000001</v>
          </cell>
          <cell r="F153">
            <v>1.04311697</v>
          </cell>
          <cell r="G153">
            <v>1.0434868399999999</v>
          </cell>
          <cell r="H153">
            <v>1.0442368399999999</v>
          </cell>
          <cell r="I153">
            <v>1.04526896</v>
          </cell>
          <cell r="J153"/>
          <cell r="K153"/>
        </row>
        <row r="154">
          <cell r="B154" t="str">
            <v>BF41O</v>
          </cell>
          <cell r="C154">
            <v>1.0326270399999999</v>
          </cell>
          <cell r="D154">
            <v>1.03256036</v>
          </cell>
          <cell r="E154">
            <v>1.0333524999999999</v>
          </cell>
          <cell r="F154">
            <v>1.0357871299999999</v>
          </cell>
          <cell r="G154">
            <v>1.03615656</v>
          </cell>
          <cell r="H154">
            <v>1.0369198900000001</v>
          </cell>
          <cell r="I154">
            <v>1.0379537700000001</v>
          </cell>
          <cell r="J154"/>
          <cell r="K154"/>
        </row>
        <row r="155">
          <cell r="B155" t="str">
            <v>ICC5O</v>
          </cell>
          <cell r="C155">
            <v>1.02720042</v>
          </cell>
          <cell r="D155">
            <v>1.0249474700000001</v>
          </cell>
          <cell r="E155">
            <v>1.0276000000000001</v>
          </cell>
          <cell r="F155">
            <v>1.0298</v>
          </cell>
          <cell r="G155">
            <v>1.0298</v>
          </cell>
          <cell r="H155">
            <v>1.0314787700000001</v>
          </cell>
          <cell r="I155">
            <v>1.0325156799999999</v>
          </cell>
          <cell r="J155"/>
          <cell r="K155"/>
        </row>
        <row r="156">
          <cell r="B156" t="str">
            <v>BNCXO</v>
          </cell>
          <cell r="C156">
            <v>1.0585499</v>
          </cell>
          <cell r="D156">
            <v>1.05843607</v>
          </cell>
          <cell r="E156">
            <v>1.0595428499999999</v>
          </cell>
          <cell r="F156">
            <v>1.0618552000000001</v>
          </cell>
          <cell r="G156">
            <v>1.06227867</v>
          </cell>
          <cell r="H156">
            <v>1.06318764</v>
          </cell>
          <cell r="I156">
            <v>1.0642838299999999</v>
          </cell>
          <cell r="J156"/>
          <cell r="K156"/>
        </row>
        <row r="157">
          <cell r="B157" t="str">
            <v>NZC1O</v>
          </cell>
          <cell r="C157">
            <v>1.05490405</v>
          </cell>
          <cell r="D157">
            <v>1.05477927</v>
          </cell>
          <cell r="E157">
            <v>1.0559662299999999</v>
          </cell>
          <cell r="F157">
            <v>1.0582192100000001</v>
          </cell>
          <cell r="G157">
            <v>1.0586518199999999</v>
          </cell>
          <cell r="H157">
            <v>1.0595915600000001</v>
          </cell>
          <cell r="I157">
            <v>1.0603</v>
          </cell>
          <cell r="J157"/>
          <cell r="K157"/>
        </row>
        <row r="158">
          <cell r="B158" t="str">
            <v>SXC6O</v>
          </cell>
          <cell r="C158">
            <v>1.0409401199999999</v>
          </cell>
          <cell r="D158">
            <v>1.0408089199999999</v>
          </cell>
          <cell r="E158">
            <v>1.04203168</v>
          </cell>
          <cell r="F158">
            <v>1.04422477</v>
          </cell>
          <cell r="G158">
            <v>1.04466057</v>
          </cell>
          <cell r="H158">
            <v>1.0456105600000001</v>
          </cell>
          <cell r="I158">
            <v>1.0466868</v>
          </cell>
          <cell r="J158"/>
          <cell r="K158"/>
        </row>
        <row r="159">
          <cell r="B159" t="str">
            <v>BF46O</v>
          </cell>
          <cell r="C159">
            <v>1.0401907500000001</v>
          </cell>
          <cell r="D159">
            <v>1.0400550900000001</v>
          </cell>
          <cell r="E159">
            <v>1.04129808</v>
          </cell>
          <cell r="F159">
            <v>1.0434783599999999</v>
          </cell>
          <cell r="G159">
            <v>1.04391839</v>
          </cell>
          <cell r="H159">
            <v>1.0448779500000001</v>
          </cell>
          <cell r="I159">
            <v>1.0459547199999999</v>
          </cell>
          <cell r="J159"/>
          <cell r="K159"/>
        </row>
        <row r="160">
          <cell r="B160" t="str">
            <v>ICC7O</v>
          </cell>
          <cell r="C160">
            <v>1.0188102699999999</v>
          </cell>
          <cell r="D160">
            <v>1.0186833900000001</v>
          </cell>
          <cell r="E160">
            <v>1.0201025399999999</v>
          </cell>
          <cell r="F160">
            <v>1.0221022900000001</v>
          </cell>
          <cell r="G160">
            <v>1.0225680399999999</v>
          </cell>
          <cell r="H160">
            <v>1.02358441</v>
          </cell>
          <cell r="I160">
            <v>1.0246410699999999</v>
          </cell>
          <cell r="J160"/>
          <cell r="K160"/>
        </row>
        <row r="161">
          <cell r="B161" t="str">
            <v>BNCYO</v>
          </cell>
          <cell r="C161">
            <v>1.01419393</v>
          </cell>
          <cell r="D161">
            <v>1.01407077</v>
          </cell>
          <cell r="E161">
            <v>1.01553128</v>
          </cell>
          <cell r="F161">
            <v>1.0174897199999999</v>
          </cell>
          <cell r="G161">
            <v>1.0179630500000001</v>
          </cell>
          <cell r="H161">
            <v>1.0189932900000001</v>
          </cell>
          <cell r="I161">
            <v>1.0200445499999999</v>
          </cell>
          <cell r="J161"/>
          <cell r="K161"/>
        </row>
        <row r="162">
          <cell r="B162" t="str">
            <v>BYY1O</v>
          </cell>
          <cell r="C162">
            <v>1.02799375</v>
          </cell>
          <cell r="D162">
            <v>1.02785967</v>
          </cell>
          <cell r="E162">
            <v>1.0292133800000001</v>
          </cell>
          <cell r="F162">
            <v>1.03128552</v>
          </cell>
          <cell r="G162">
            <v>1.0317423999999999</v>
          </cell>
          <cell r="H162">
            <v>1.03273975</v>
          </cell>
          <cell r="I162">
            <v>1.03380619</v>
          </cell>
          <cell r="J162"/>
          <cell r="K162"/>
        </row>
        <row r="163">
          <cell r="B163" t="str">
            <v>BF47O</v>
          </cell>
          <cell r="C163">
            <v>1.0242925300000001</v>
          </cell>
          <cell r="D163">
            <v>1.0241639899999999</v>
          </cell>
          <cell r="E163">
            <v>1.02553563</v>
          </cell>
          <cell r="F163">
            <v>1.02758186</v>
          </cell>
          <cell r="G163">
            <v>1.028038</v>
          </cell>
          <cell r="H163">
            <v>1.0290370600000001</v>
          </cell>
          <cell r="I163">
            <v>1.03009971</v>
          </cell>
          <cell r="J163"/>
          <cell r="K163"/>
        </row>
        <row r="164">
          <cell r="B164" t="str">
            <v>NZC4O</v>
          </cell>
          <cell r="C164">
            <v>0.99809844000000003</v>
          </cell>
          <cell r="D164">
            <v>0.99909999999999999</v>
          </cell>
          <cell r="E164">
            <v>0.99960552000000003</v>
          </cell>
          <cell r="F164">
            <v>1.002</v>
          </cell>
          <cell r="G164">
            <v>1.0019171899999999</v>
          </cell>
          <cell r="H164">
            <v>1.0029964099999999</v>
          </cell>
          <cell r="I164">
            <v>1.0058</v>
          </cell>
          <cell r="J164"/>
          <cell r="K164"/>
        </row>
        <row r="165">
          <cell r="B165" t="str">
            <v>SXC8O</v>
          </cell>
          <cell r="C165">
            <v>1.04262736</v>
          </cell>
          <cell r="D165">
            <v>1.04262557</v>
          </cell>
          <cell r="E165">
            <v>1.0445905</v>
          </cell>
          <cell r="F165">
            <v>1.0462603100000001</v>
          </cell>
          <cell r="G165">
            <v>1.0468617099999999</v>
          </cell>
          <cell r="H165">
            <v>1.04808196</v>
          </cell>
          <cell r="I165">
            <v>1.0491191</v>
          </cell>
          <cell r="J165"/>
          <cell r="K165"/>
        </row>
        <row r="166">
          <cell r="B166" t="str">
            <v>PWC1O</v>
          </cell>
          <cell r="C166">
            <v>1.0206278499999999</v>
          </cell>
          <cell r="D166">
            <v>1.02066981</v>
          </cell>
          <cell r="E166">
            <v>1.0228161899999999</v>
          </cell>
          <cell r="F166">
            <v>1.0254000000000001</v>
          </cell>
          <cell r="G166">
            <v>1.0249362200000001</v>
          </cell>
          <cell r="H166">
            <v>1.02620775</v>
          </cell>
          <cell r="I166">
            <v>1.02720604</v>
          </cell>
          <cell r="J166"/>
          <cell r="K166"/>
        </row>
        <row r="167">
          <cell r="B167" t="str">
            <v>T661O</v>
          </cell>
          <cell r="C167">
            <v>1.0376017399999999</v>
          </cell>
          <cell r="D167">
            <v>1.03810056</v>
          </cell>
          <cell r="E167">
            <v>1.0384274099999999</v>
          </cell>
          <cell r="F167">
            <v>1.0409014700000001</v>
          </cell>
          <cell r="G167">
            <v>1.0415809899999999</v>
          </cell>
          <cell r="H167">
            <v>1.0421946900000001</v>
          </cell>
          <cell r="I167">
            <v>1.0467</v>
          </cell>
          <cell r="J167"/>
          <cell r="K167"/>
        </row>
        <row r="168">
          <cell r="B168" t="str">
            <v>PS35O</v>
          </cell>
          <cell r="C168">
            <v>1.0218905899999999</v>
          </cell>
          <cell r="D168">
            <v>1.0223061499999999</v>
          </cell>
          <cell r="E168">
            <v>1.0225028300000001</v>
          </cell>
          <cell r="F168">
            <v>1.02502596</v>
          </cell>
          <cell r="G168">
            <v>1.0257151200000001</v>
          </cell>
          <cell r="H168">
            <v>1.02629226</v>
          </cell>
          <cell r="I168">
            <v>1.0271059499999999</v>
          </cell>
          <cell r="J168"/>
          <cell r="K168"/>
        </row>
        <row r="169">
          <cell r="B169" t="str">
            <v>T671O</v>
          </cell>
          <cell r="C169">
            <v>1.0462758299999999</v>
          </cell>
          <cell r="D169">
            <v>1.0467737100000001</v>
          </cell>
          <cell r="E169">
            <v>1.0468067700000001</v>
          </cell>
          <cell r="F169">
            <v>1.04922439</v>
          </cell>
          <cell r="G169">
            <v>1.0504493399999999</v>
          </cell>
          <cell r="H169">
            <v>1.0511174400000001</v>
          </cell>
          <cell r="I169">
            <v>1.0518825999999999</v>
          </cell>
          <cell r="J169"/>
          <cell r="K169"/>
        </row>
        <row r="170">
          <cell r="B170" t="str">
            <v>PVC6O</v>
          </cell>
          <cell r="C170">
            <v>1.0291127200000001</v>
          </cell>
          <cell r="D170">
            <v>1.0296504200000001</v>
          </cell>
          <cell r="E170">
            <v>1.0297029099999999</v>
          </cell>
          <cell r="F170">
            <v>1.0320201499999999</v>
          </cell>
          <cell r="G170">
            <v>1.03330031</v>
          </cell>
          <cell r="H170">
            <v>1.03397513</v>
          </cell>
          <cell r="I170">
            <v>1.03470554</v>
          </cell>
          <cell r="J170"/>
          <cell r="K170"/>
        </row>
        <row r="171">
          <cell r="B171" t="str">
            <v>DHSLO</v>
          </cell>
          <cell r="C171">
            <v>1.0337551899999999</v>
          </cell>
          <cell r="D171">
            <v>1.0343106</v>
          </cell>
          <cell r="E171">
            <v>1.0355306799999999</v>
          </cell>
          <cell r="F171">
            <v>1.0377476800000001</v>
          </cell>
          <cell r="G171">
            <v>1.0386238800000001</v>
          </cell>
          <cell r="H171">
            <v>1.03934097</v>
          </cell>
          <cell r="I171">
            <v>1.0401437200000001</v>
          </cell>
          <cell r="J171"/>
          <cell r="K171"/>
        </row>
        <row r="172">
          <cell r="B172" t="str">
            <v>DEC3O</v>
          </cell>
          <cell r="C172">
            <v>1.00978598</v>
          </cell>
          <cell r="D172">
            <v>1.0104558699999999</v>
          </cell>
          <cell r="E172">
            <v>1.0119178799999999</v>
          </cell>
          <cell r="F172">
            <v>1.01386971</v>
          </cell>
          <cell r="G172">
            <v>1.0148490699999999</v>
          </cell>
          <cell r="H172">
            <v>1.0156047800000001</v>
          </cell>
          <cell r="I172">
            <v>1.0163267499999999</v>
          </cell>
          <cell r="J172"/>
          <cell r="K172"/>
        </row>
        <row r="173"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 t="str">
            <v>Obligaciones Negociables Tasa Fija - Tamar</v>
          </cell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</row>
        <row r="176">
          <cell r="B176" t="str">
            <v>DHSNO</v>
          </cell>
          <cell r="C176">
            <v>1.04151094</v>
          </cell>
          <cell r="D176">
            <v>1.0423825200000001</v>
          </cell>
          <cell r="E176">
            <v>1.044184</v>
          </cell>
          <cell r="F176">
            <v>1.0459506700000001</v>
          </cell>
          <cell r="G176">
            <v>1.0470983199999999</v>
          </cell>
          <cell r="H176">
            <v>1.04794593</v>
          </cell>
          <cell r="I176">
            <v>1.04860872</v>
          </cell>
          <cell r="J176"/>
          <cell r="K176"/>
        </row>
        <row r="177"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 t="str">
            <v>Obligaciones Negociables UVA</v>
          </cell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/>
          <cell r="C179"/>
          <cell r="D179"/>
          <cell r="E179"/>
          <cell r="F179"/>
          <cell r="G179"/>
          <cell r="H179"/>
          <cell r="I179"/>
          <cell r="J179"/>
          <cell r="K179"/>
        </row>
        <row r="180">
          <cell r="B180" t="str">
            <v>NZC3O</v>
          </cell>
          <cell r="C180">
            <v>2116.3930080199998</v>
          </cell>
          <cell r="D180">
            <v>2113.8288562500002</v>
          </cell>
          <cell r="E180">
            <v>2118.5280772699998</v>
          </cell>
          <cell r="F180">
            <v>2121.5238482999998</v>
          </cell>
          <cell r="G180">
            <v>2126.46305231</v>
          </cell>
          <cell r="H180">
            <v>2128.99918183</v>
          </cell>
          <cell r="I180">
            <v>2131.8126235999998</v>
          </cell>
          <cell r="J180"/>
          <cell r="K180"/>
        </row>
        <row r="181">
          <cell r="B181" t="str">
            <v>COC5O</v>
          </cell>
          <cell r="C181">
            <v>2141.0043724500001</v>
          </cell>
          <cell r="D181">
            <v>2140.5396022999998</v>
          </cell>
          <cell r="E181">
            <v>2146.28289739</v>
          </cell>
          <cell r="F181">
            <v>2149.3259518099999</v>
          </cell>
          <cell r="G181">
            <v>2154.7996356600001</v>
          </cell>
          <cell r="H181">
            <v>2155.6484827700001</v>
          </cell>
          <cell r="I181">
            <v>2159.3362366800002</v>
          </cell>
          <cell r="J181"/>
          <cell r="K181"/>
        </row>
        <row r="182">
          <cell r="B182" t="str">
            <v>SNSDP</v>
          </cell>
          <cell r="C182">
            <v>728.29265477000001</v>
          </cell>
          <cell r="D182">
            <v>728.78515178999999</v>
          </cell>
          <cell r="E182">
            <v>729.26271441999995</v>
          </cell>
          <cell r="F182">
            <v>729.89396164000004</v>
          </cell>
          <cell r="G182">
            <v>730.44239306999998</v>
          </cell>
          <cell r="H182">
            <v>732.14212930999997</v>
          </cell>
          <cell r="I182">
            <v>732.58115440999995</v>
          </cell>
          <cell r="J182"/>
          <cell r="K182"/>
        </row>
        <row r="183"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 t="str">
            <v>Obligaciones Negociables Hard USD - LA</v>
          </cell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</row>
        <row r="186">
          <cell r="B186" t="str">
            <v>VE2LD</v>
          </cell>
          <cell r="C186">
            <v>0.99514579999999997</v>
          </cell>
          <cell r="D186">
            <v>0.99501465</v>
          </cell>
          <cell r="E186">
            <v>0.99539613999999998</v>
          </cell>
          <cell r="F186">
            <v>0.99684158</v>
          </cell>
          <cell r="G186">
            <v>0.99599216000000002</v>
          </cell>
          <cell r="H186">
            <v>0.99661312999999996</v>
          </cell>
          <cell r="I186">
            <v>0.99459571999999996</v>
          </cell>
          <cell r="J186"/>
          <cell r="K186"/>
        </row>
        <row r="187">
          <cell r="B187" t="str">
            <v>NA1LD</v>
          </cell>
          <cell r="C187">
            <v>0.97171328999999995</v>
          </cell>
          <cell r="D187">
            <v>0.97134748000000004</v>
          </cell>
          <cell r="E187">
            <v>0.97145917000000004</v>
          </cell>
          <cell r="F187">
            <v>0.97331555999999997</v>
          </cell>
          <cell r="G187">
            <v>0.97254032000000001</v>
          </cell>
          <cell r="H187">
            <v>0.97315472999999997</v>
          </cell>
          <cell r="I187">
            <v>0.970916</v>
          </cell>
          <cell r="J187"/>
          <cell r="K187"/>
        </row>
        <row r="188">
          <cell r="B188" t="str">
            <v>OR1LD</v>
          </cell>
          <cell r="C188">
            <v>0.98406587999999995</v>
          </cell>
          <cell r="D188">
            <v>0.98376483000000003</v>
          </cell>
          <cell r="E188">
            <v>0.98370358000000002</v>
          </cell>
          <cell r="F188">
            <v>0.98546233000000005</v>
          </cell>
          <cell r="G188">
            <v>0.98491786999999997</v>
          </cell>
          <cell r="H188">
            <v>0.98541674000000001</v>
          </cell>
          <cell r="I188">
            <v>0.98335154000000002</v>
          </cell>
          <cell r="J188"/>
          <cell r="K188"/>
        </row>
        <row r="189">
          <cell r="B189" t="str">
            <v>BYCWD</v>
          </cell>
          <cell r="C189">
            <v>1.0293151300000001</v>
          </cell>
          <cell r="D189">
            <v>1.0299484400000001</v>
          </cell>
          <cell r="E189">
            <v>1.03051501</v>
          </cell>
          <cell r="F189">
            <v>1.0325</v>
          </cell>
          <cell r="G189">
            <v>1.0297530500000001</v>
          </cell>
          <cell r="H189">
            <v>1.0298449300000001</v>
          </cell>
          <cell r="I189">
            <v>1.034</v>
          </cell>
          <cell r="J189"/>
          <cell r="K189"/>
        </row>
        <row r="190">
          <cell r="B190" t="str">
            <v>BYCXD</v>
          </cell>
          <cell r="C190">
            <v>1.0225602499999999</v>
          </cell>
          <cell r="D190">
            <v>1.0234306500000001</v>
          </cell>
          <cell r="E190">
            <v>1.0242492000000001</v>
          </cell>
          <cell r="F190">
            <v>1.0233189199999999</v>
          </cell>
          <cell r="G190">
            <v>1.0230112600000001</v>
          </cell>
          <cell r="H190">
            <v>1.02313495</v>
          </cell>
          <cell r="I190">
            <v>1.02313086</v>
          </cell>
          <cell r="J190"/>
          <cell r="K190"/>
        </row>
        <row r="191">
          <cell r="B191" t="str">
            <v>YM41D</v>
          </cell>
          <cell r="C191">
            <v>1.00259959</v>
          </cell>
          <cell r="D191">
            <v>1.0035715000000001</v>
          </cell>
          <cell r="E191">
            <v>1.00450185</v>
          </cell>
          <cell r="F191">
            <v>1.0037122700000001</v>
          </cell>
          <cell r="G191">
            <v>1.0034311</v>
          </cell>
          <cell r="H191">
            <v>1.0036282299999999</v>
          </cell>
          <cell r="I191">
            <v>1.00365989</v>
          </cell>
          <cell r="J191"/>
          <cell r="K191"/>
        </row>
        <row r="192">
          <cell r="B192" t="str">
            <v>YM37D</v>
          </cell>
          <cell r="C192">
            <v>1.0369999999999999</v>
          </cell>
          <cell r="D192">
            <v>1.0299739699999999</v>
          </cell>
          <cell r="E192">
            <v>1.03122724</v>
          </cell>
          <cell r="F192">
            <v>1.02821992</v>
          </cell>
          <cell r="G192">
            <v>1.02394612</v>
          </cell>
          <cell r="H192">
            <v>1.0184797000000001</v>
          </cell>
          <cell r="I192">
            <v>1.0235465100000001</v>
          </cell>
          <cell r="J192"/>
          <cell r="K192"/>
        </row>
        <row r="193">
          <cell r="B193" t="str">
            <v>YFCMD</v>
          </cell>
          <cell r="C193">
            <v>1.0221838000000001</v>
          </cell>
          <cell r="D193">
            <v>1.0232400699999999</v>
          </cell>
          <cell r="E193">
            <v>1.024551</v>
          </cell>
          <cell r="F193">
            <v>1.0236523399999999</v>
          </cell>
          <cell r="G193">
            <v>1.02277759</v>
          </cell>
          <cell r="H193">
            <v>1.0231621399999999</v>
          </cell>
          <cell r="I193">
            <v>1.0224098800000001</v>
          </cell>
          <cell r="J193"/>
          <cell r="K193"/>
        </row>
        <row r="194">
          <cell r="B194" t="str">
            <v>PFC2D</v>
          </cell>
          <cell r="C194">
            <v>1.0423038600000001</v>
          </cell>
          <cell r="D194">
            <v>1.04314967</v>
          </cell>
          <cell r="E194">
            <v>1.0444200400000001</v>
          </cell>
          <cell r="F194">
            <v>1.04385847</v>
          </cell>
          <cell r="G194">
            <v>1.04277818</v>
          </cell>
          <cell r="H194">
            <v>1.0432568600000001</v>
          </cell>
          <cell r="I194">
            <v>1.0420575700000001</v>
          </cell>
          <cell r="J194"/>
          <cell r="K194"/>
        </row>
        <row r="195">
          <cell r="B195" t="str">
            <v>YM38D</v>
          </cell>
          <cell r="C195">
            <v>1.0470015800000001</v>
          </cell>
          <cell r="D195">
            <v>1.0477477399999999</v>
          </cell>
          <cell r="E195">
            <v>1.0459410099999999</v>
          </cell>
          <cell r="F195">
            <v>1.04539563</v>
          </cell>
          <cell r="G195">
            <v>1.0439805099999999</v>
          </cell>
          <cell r="H195">
            <v>1.04442784</v>
          </cell>
          <cell r="I195">
            <v>1.02071768</v>
          </cell>
          <cell r="J195"/>
          <cell r="K195"/>
        </row>
        <row r="196">
          <cell r="B196" t="str">
            <v>BYZ1D</v>
          </cell>
          <cell r="C196">
            <v>1.0005840699999999</v>
          </cell>
          <cell r="D196">
            <v>1.0013007599999999</v>
          </cell>
          <cell r="E196">
            <v>1.0024897399999999</v>
          </cell>
          <cell r="F196">
            <v>1.00213459</v>
          </cell>
          <cell r="G196">
            <v>1.0010363900000001</v>
          </cell>
          <cell r="H196">
            <v>1.00153783</v>
          </cell>
          <cell r="I196">
            <v>1.0002198099999999</v>
          </cell>
          <cell r="J196"/>
          <cell r="K196"/>
        </row>
        <row r="197">
          <cell r="B197" t="str">
            <v>PN38D</v>
          </cell>
          <cell r="C197">
            <v>1.0308263799999999</v>
          </cell>
          <cell r="D197">
            <v>1.0315222900000001</v>
          </cell>
          <cell r="E197">
            <v>1.0327240200000001</v>
          </cell>
          <cell r="F197">
            <v>1.0324341399999999</v>
          </cell>
          <cell r="G197">
            <v>1.03129077</v>
          </cell>
          <cell r="H197">
            <v>1.0318191299999999</v>
          </cell>
          <cell r="I197">
            <v>1.0304092300000001</v>
          </cell>
          <cell r="J197"/>
          <cell r="K197"/>
        </row>
        <row r="198">
          <cell r="B198" t="str">
            <v>BF40D</v>
          </cell>
          <cell r="C198">
            <v>1.0137636800000001</v>
          </cell>
          <cell r="D198">
            <v>1.0143572599999999</v>
          </cell>
          <cell r="E198">
            <v>1.0154980499999999</v>
          </cell>
          <cell r="F198">
            <v>1.01538164</v>
          </cell>
          <cell r="G198">
            <v>1.01421728</v>
          </cell>
          <cell r="H198">
            <v>1.0147685099999999</v>
          </cell>
          <cell r="I198">
            <v>1.0132486999999999</v>
          </cell>
          <cell r="J198"/>
          <cell r="K198"/>
        </row>
        <row r="199">
          <cell r="B199" t="str">
            <v>PN34D</v>
          </cell>
          <cell r="C199">
            <v>1.0087545099999999</v>
          </cell>
          <cell r="D199">
            <v>1.0091613800000001</v>
          </cell>
          <cell r="E199">
            <v>1.0101973200000001</v>
          </cell>
          <cell r="F199">
            <v>1.0104149099999999</v>
          </cell>
          <cell r="G199">
            <v>1.0091994099999999</v>
          </cell>
          <cell r="H199">
            <v>1.00980103</v>
          </cell>
          <cell r="I199">
            <v>1.0080507000000001</v>
          </cell>
          <cell r="J199"/>
          <cell r="K199"/>
        </row>
        <row r="200">
          <cell r="B200" t="str">
            <v>TTCBD</v>
          </cell>
          <cell r="C200">
            <v>1.0532644099999999</v>
          </cell>
          <cell r="D200">
            <v>1.05355172</v>
          </cell>
          <cell r="E200">
            <v>1.0250121599999999</v>
          </cell>
          <cell r="F200">
            <v>1.0223817900000001</v>
          </cell>
          <cell r="G200">
            <v>1.02112534</v>
          </cell>
          <cell r="H200">
            <v>1.02176494</v>
          </cell>
          <cell r="I200">
            <v>1.01984476</v>
          </cell>
          <cell r="J200"/>
          <cell r="K200"/>
        </row>
        <row r="201">
          <cell r="B201" t="str">
            <v>TTC8D</v>
          </cell>
          <cell r="C201">
            <v>1.0298588</v>
          </cell>
          <cell r="D201">
            <v>1.0300940999999999</v>
          </cell>
          <cell r="E201">
            <v>1.0310238300000001</v>
          </cell>
          <cell r="F201">
            <v>1.03155405</v>
          </cell>
          <cell r="G201">
            <v>1.03030591</v>
          </cell>
          <cell r="H201">
            <v>1.0309501700000001</v>
          </cell>
          <cell r="I201">
            <v>1.02900003</v>
          </cell>
          <cell r="J201"/>
          <cell r="K201"/>
        </row>
        <row r="202">
          <cell r="B202" t="str">
            <v>PLC1D</v>
          </cell>
          <cell r="C202">
            <v>1.044028</v>
          </cell>
          <cell r="D202">
            <v>1.0436826800000001</v>
          </cell>
          <cell r="E202">
            <v>1.0441870600000001</v>
          </cell>
          <cell r="F202">
            <v>1.0435000000000001</v>
          </cell>
          <cell r="G202">
            <v>1.0444626699999999</v>
          </cell>
          <cell r="H202">
            <v>1.0452104099999999</v>
          </cell>
          <cell r="I202">
            <v>1.0426503899999999</v>
          </cell>
          <cell r="J202"/>
          <cell r="K202"/>
        </row>
        <row r="203">
          <cell r="B203" t="str">
            <v>PLC3D</v>
          </cell>
          <cell r="C203">
            <v>1.0400070299999999</v>
          </cell>
          <cell r="D203">
            <v>1.0476852999999999</v>
          </cell>
          <cell r="E203">
            <v>1.04769753</v>
          </cell>
          <cell r="F203">
            <v>1.05016226</v>
          </cell>
          <cell r="G203">
            <v>1.04896955</v>
          </cell>
          <cell r="H203">
            <v>1.04974926</v>
          </cell>
          <cell r="I203">
            <v>1.04672505</v>
          </cell>
          <cell r="J203"/>
          <cell r="K203"/>
        </row>
        <row r="204">
          <cell r="B204" t="str">
            <v>BF44D</v>
          </cell>
          <cell r="C204">
            <v>1.02158723</v>
          </cell>
          <cell r="D204">
            <v>1.0206825399999999</v>
          </cell>
          <cell r="E204">
            <v>1.02062192</v>
          </cell>
          <cell r="F204">
            <v>1.0231387599999999</v>
          </cell>
          <cell r="G204">
            <v>1.0220011099999999</v>
          </cell>
          <cell r="H204">
            <v>1.0227596800000001</v>
          </cell>
          <cell r="I204">
            <v>1.01977213</v>
          </cell>
          <cell r="J204"/>
          <cell r="K204"/>
        </row>
        <row r="205">
          <cell r="B205" t="str">
            <v>YM40D</v>
          </cell>
          <cell r="C205">
            <v>1.05044348</v>
          </cell>
          <cell r="D205">
            <v>1.04916962</v>
          </cell>
          <cell r="E205">
            <v>1.0485289</v>
          </cell>
          <cell r="F205">
            <v>1.0517149100000001</v>
          </cell>
          <cell r="G205">
            <v>1.0508695800000001</v>
          </cell>
          <cell r="H205">
            <v>1.05154569</v>
          </cell>
          <cell r="I205">
            <v>1.0483145899999999</v>
          </cell>
          <cell r="J205"/>
          <cell r="K205"/>
        </row>
        <row r="206">
          <cell r="B206" t="str">
            <v>YMCZD</v>
          </cell>
          <cell r="C206">
            <v>1.06718476</v>
          </cell>
          <cell r="D206">
            <v>1.0657199500000001</v>
          </cell>
          <cell r="E206">
            <v>1.06474717</v>
          </cell>
          <cell r="F206">
            <v>1.0680502199999999</v>
          </cell>
          <cell r="G206">
            <v>1.06731401</v>
          </cell>
          <cell r="H206">
            <v>1.0678835600000001</v>
          </cell>
          <cell r="I206">
            <v>1.06449729</v>
          </cell>
          <cell r="J206"/>
          <cell r="K206"/>
        </row>
        <row r="207">
          <cell r="B207" t="str">
            <v>YMCYD</v>
          </cell>
          <cell r="C207">
            <v>1.0245205799999999</v>
          </cell>
          <cell r="D207">
            <v>1.0230878699999999</v>
          </cell>
          <cell r="E207">
            <v>1.01851012</v>
          </cell>
          <cell r="F207">
            <v>1.01898738</v>
          </cell>
          <cell r="G207">
            <v>1.01809148</v>
          </cell>
          <cell r="H207">
            <v>1.0186890500000001</v>
          </cell>
          <cell r="I207">
            <v>1.0200000499999999</v>
          </cell>
          <cell r="J207"/>
          <cell r="K207"/>
        </row>
        <row r="208">
          <cell r="B208" t="str">
            <v>GN47D</v>
          </cell>
          <cell r="C208">
            <v>1.0410913799999999</v>
          </cell>
          <cell r="D208">
            <v>1.03973067</v>
          </cell>
          <cell r="E208">
            <v>1.0388047600000001</v>
          </cell>
          <cell r="F208">
            <v>1.0120551</v>
          </cell>
          <cell r="G208">
            <v>1.0114439099999999</v>
          </cell>
          <cell r="H208">
            <v>1.0120206199999999</v>
          </cell>
          <cell r="I208">
            <v>1.00885077</v>
          </cell>
          <cell r="J208"/>
          <cell r="K208"/>
        </row>
        <row r="209">
          <cell r="B209" t="str">
            <v>YFCLD</v>
          </cell>
          <cell r="C209">
            <v>1.0431683700000001</v>
          </cell>
          <cell r="D209">
            <v>1.04179154</v>
          </cell>
          <cell r="E209">
            <v>1.0406905</v>
          </cell>
          <cell r="F209">
            <v>1.0440216499999999</v>
          </cell>
          <cell r="G209">
            <v>1.0435559999999999</v>
          </cell>
          <cell r="H209">
            <v>1.0440526299999999</v>
          </cell>
          <cell r="I209">
            <v>1.04091304</v>
          </cell>
          <cell r="J209"/>
          <cell r="K209"/>
        </row>
        <row r="210">
          <cell r="B210" t="str">
            <v>YFCOD</v>
          </cell>
          <cell r="C210">
            <v>1.03358211</v>
          </cell>
          <cell r="D210">
            <v>1.0322310400000001</v>
          </cell>
          <cell r="E210">
            <v>1.0310334800000001</v>
          </cell>
          <cell r="F210">
            <v>1.0343547</v>
          </cell>
          <cell r="G210">
            <v>1.032491</v>
          </cell>
          <cell r="H210">
            <v>1.0328472099999999</v>
          </cell>
          <cell r="I210">
            <v>1.02980095</v>
          </cell>
          <cell r="J210"/>
          <cell r="K210"/>
        </row>
        <row r="211">
          <cell r="B211" t="str">
            <v>PLC6D</v>
          </cell>
          <cell r="C211">
            <v>1.0599897</v>
          </cell>
          <cell r="D211">
            <v>1.05878662</v>
          </cell>
          <cell r="E211">
            <v>1.05696305</v>
          </cell>
          <cell r="F211">
            <v>1.06038619</v>
          </cell>
          <cell r="G211">
            <v>1.06048422</v>
          </cell>
          <cell r="H211">
            <v>1.0539998900000001</v>
          </cell>
          <cell r="I211">
            <v>1.0579604300000001</v>
          </cell>
          <cell r="J211"/>
          <cell r="K211"/>
        </row>
        <row r="212">
          <cell r="B212" t="str">
            <v>YM42D</v>
          </cell>
          <cell r="C212">
            <v>1.0489861</v>
          </cell>
          <cell r="D212">
            <v>1.0481399199999999</v>
          </cell>
          <cell r="E212">
            <v>1.0479981300000001</v>
          </cell>
          <cell r="F212">
            <v>1.0500079200000001</v>
          </cell>
          <cell r="G212">
            <v>1.0501113399999999</v>
          </cell>
          <cell r="H212">
            <v>1.0474964200000001</v>
          </cell>
          <cell r="I212">
            <v>1.0475329200000001</v>
          </cell>
          <cell r="J212"/>
          <cell r="K212"/>
        </row>
        <row r="213">
          <cell r="B213" t="str">
            <v>TLCUD</v>
          </cell>
          <cell r="C213">
            <v>1.02600146</v>
          </cell>
          <cell r="D213">
            <v>1.02480635</v>
          </cell>
          <cell r="E213">
            <v>1.02325087</v>
          </cell>
          <cell r="F213">
            <v>1.0189999999999999</v>
          </cell>
          <cell r="G213">
            <v>1.0264854400000001</v>
          </cell>
          <cell r="H213">
            <v>1.0266827300000001</v>
          </cell>
          <cell r="I213">
            <v>1.02396932</v>
          </cell>
          <cell r="J213"/>
          <cell r="K213"/>
        </row>
        <row r="214">
          <cell r="B214" t="str">
            <v>OLC6D</v>
          </cell>
          <cell r="C214">
            <v>1.0688995999999999</v>
          </cell>
          <cell r="D214">
            <v>1.06812244</v>
          </cell>
          <cell r="E214">
            <v>1.0662363500000001</v>
          </cell>
          <cell r="F214">
            <v>1.06869093</v>
          </cell>
          <cell r="G214">
            <v>1.0694583900000001</v>
          </cell>
          <cell r="H214">
            <v>1.0693014599999999</v>
          </cell>
          <cell r="I214">
            <v>1.0671648499999999</v>
          </cell>
          <cell r="J214"/>
          <cell r="K214"/>
        </row>
        <row r="215">
          <cell r="B215" t="str">
            <v>T672D</v>
          </cell>
          <cell r="C215">
            <v>1.00491715</v>
          </cell>
          <cell r="D215">
            <v>1.0074080599999999</v>
          </cell>
          <cell r="E215">
            <v>1.00805334</v>
          </cell>
          <cell r="F215">
            <v>1.00890244</v>
          </cell>
          <cell r="G215">
            <v>1.0076934799999999</v>
          </cell>
          <cell r="H215">
            <v>1.0083714699999999</v>
          </cell>
          <cell r="I215">
            <v>1.0085868899999999</v>
          </cell>
          <cell r="J215"/>
          <cell r="K215"/>
        </row>
        <row r="216">
          <cell r="B216" t="str">
            <v>CS48D</v>
          </cell>
          <cell r="C216">
            <v>1.06750634</v>
          </cell>
          <cell r="D216">
            <v>1.06635708</v>
          </cell>
          <cell r="E216">
            <v>1.0659785100000001</v>
          </cell>
          <cell r="F216">
            <v>1.0689649800000001</v>
          </cell>
          <cell r="G216">
            <v>1.0679410499999999</v>
          </cell>
          <cell r="H216">
            <v>1.06868612</v>
          </cell>
          <cell r="I216">
            <v>1.06545702</v>
          </cell>
          <cell r="J216"/>
          <cell r="K216"/>
        </row>
        <row r="217">
          <cell r="B217" t="str">
            <v>CS47D</v>
          </cell>
          <cell r="C217">
            <v>1.0595677999999999</v>
          </cell>
          <cell r="D217">
            <v>1.05819804</v>
          </cell>
          <cell r="E217">
            <v>1.0571389200000001</v>
          </cell>
          <cell r="F217">
            <v>1.0605121399999999</v>
          </cell>
          <cell r="G217">
            <v>1.0600206999999999</v>
          </cell>
          <cell r="H217">
            <v>1.0605466400000001</v>
          </cell>
          <cell r="I217">
            <v>1.04999485</v>
          </cell>
          <cell r="J217"/>
          <cell r="K217"/>
        </row>
        <row r="218">
          <cell r="B218" t="str">
            <v>ZZC1D</v>
          </cell>
          <cell r="C218">
            <v>1.0195247999999999</v>
          </cell>
          <cell r="D218">
            <v>1.02207044</v>
          </cell>
          <cell r="E218">
            <v>1.02272831</v>
          </cell>
          <cell r="F218">
            <v>1.02359807</v>
          </cell>
          <cell r="G218">
            <v>1.0223595700000001</v>
          </cell>
          <cell r="H218">
            <v>1.02305286</v>
          </cell>
          <cell r="I218">
            <v>1.0232713099999999</v>
          </cell>
          <cell r="J218"/>
          <cell r="K218"/>
        </row>
        <row r="219">
          <cell r="B219" t="str">
            <v>BVCUD</v>
          </cell>
          <cell r="C219">
            <v>0.99423132000000003</v>
          </cell>
          <cell r="D219">
            <v>0.99744323999999995</v>
          </cell>
          <cell r="E219">
            <v>0.99798759999999997</v>
          </cell>
          <cell r="F219">
            <v>0.99862304000000002</v>
          </cell>
          <cell r="G219">
            <v>0.99677959999999999</v>
          </cell>
          <cell r="H219">
            <v>0.99786176999999998</v>
          </cell>
          <cell r="I219">
            <v>0.99789826000000004</v>
          </cell>
          <cell r="J219"/>
          <cell r="K219"/>
        </row>
        <row r="220">
          <cell r="B220" t="str">
            <v>JNC6D</v>
          </cell>
          <cell r="C220">
            <v>1.01300762</v>
          </cell>
          <cell r="D220">
            <v>1.01714434</v>
          </cell>
          <cell r="E220">
            <v>1.0168476900000001</v>
          </cell>
          <cell r="F220">
            <v>1.01984681</v>
          </cell>
          <cell r="G220">
            <v>1.0167450099999999</v>
          </cell>
          <cell r="H220">
            <v>1.01863572</v>
          </cell>
          <cell r="I220">
            <v>1.0180300600000001</v>
          </cell>
          <cell r="J220"/>
          <cell r="K220"/>
        </row>
        <row r="221">
          <cell r="B221" t="str">
            <v>HVS1D</v>
          </cell>
          <cell r="C221">
            <v>1.00297619</v>
          </cell>
          <cell r="D221">
            <v>1.00822021</v>
          </cell>
          <cell r="E221">
            <v>1.00557399</v>
          </cell>
          <cell r="F221">
            <v>1.0128514200000001</v>
          </cell>
          <cell r="G221">
            <v>1.00859896</v>
          </cell>
          <cell r="H221">
            <v>1.0114374399999999</v>
          </cell>
          <cell r="I221">
            <v>1.0103567</v>
          </cell>
          <cell r="J221"/>
          <cell r="K221"/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>
            <v>9.9999999999999995E-8</v>
          </cell>
          <cell r="H222">
            <v>9.9999999999999995E-8</v>
          </cell>
          <cell r="I222">
            <v>9.9999999999999995E-8</v>
          </cell>
          <cell r="J222"/>
          <cell r="K222"/>
        </row>
        <row r="223"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</row>
        <row r="224">
          <cell r="B224" t="str">
            <v>Obligaciones Negociables Hard USD - LA - Contra $</v>
          </cell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 t="str">
            <v>VES2L</v>
          </cell>
          <cell r="C226">
            <v>1564.0058809899999</v>
          </cell>
          <cell r="D226">
            <v>1572.3514012400001</v>
          </cell>
          <cell r="E226">
            <v>1560.9477959000001</v>
          </cell>
          <cell r="F226">
            <v>1566.9642007299999</v>
          </cell>
          <cell r="G226">
            <v>1574.8629405199999</v>
          </cell>
          <cell r="H226">
            <v>1569.33062559</v>
          </cell>
          <cell r="I226">
            <v>1575.80929756</v>
          </cell>
          <cell r="J226"/>
          <cell r="K226"/>
        </row>
        <row r="227">
          <cell r="B227" t="str">
            <v>NAS1L</v>
          </cell>
          <cell r="C227">
            <v>1532.01550789</v>
          </cell>
          <cell r="D227">
            <v>1541.5381066299999</v>
          </cell>
          <cell r="E227">
            <v>1531.2018898900001</v>
          </cell>
          <cell r="F227">
            <v>1538.08843374</v>
          </cell>
          <cell r="G227">
            <v>1545.6035540099999</v>
          </cell>
          <cell r="H227">
            <v>1537.4229000800001</v>
          </cell>
          <cell r="I227">
            <v>1543.19189151</v>
          </cell>
          <cell r="J227"/>
          <cell r="K227"/>
        </row>
        <row r="228">
          <cell r="B228" t="str">
            <v>ORS1L</v>
          </cell>
          <cell r="C228">
            <v>1553.90771924</v>
          </cell>
          <cell r="D228">
            <v>1563.08569878</v>
          </cell>
          <cell r="E228">
            <v>1553.86025208</v>
          </cell>
          <cell r="F228">
            <v>1562.7738204100001</v>
          </cell>
          <cell r="G228">
            <v>1568.1049487800001</v>
          </cell>
          <cell r="H228">
            <v>1559.3072738000001</v>
          </cell>
          <cell r="I228">
            <v>1564.5936110499999</v>
          </cell>
          <cell r="J228"/>
          <cell r="K228"/>
        </row>
        <row r="229">
          <cell r="B229" t="str">
            <v>BYCWO</v>
          </cell>
          <cell r="C229">
            <v>1590</v>
          </cell>
          <cell r="D229">
            <v>1593</v>
          </cell>
          <cell r="E229">
            <v>1576.06733891</v>
          </cell>
          <cell r="F229">
            <v>1589</v>
          </cell>
          <cell r="G229">
            <v>1589.22083576</v>
          </cell>
          <cell r="H229">
            <v>1592</v>
          </cell>
          <cell r="I229">
            <v>1597</v>
          </cell>
          <cell r="J229"/>
          <cell r="K229"/>
        </row>
        <row r="230">
          <cell r="B230" t="str">
            <v>BYCXO</v>
          </cell>
          <cell r="C230">
            <v>1575.6165328300001</v>
          </cell>
          <cell r="D230">
            <v>1573.7283206100001</v>
          </cell>
          <cell r="E230">
            <v>1564.8672031200001</v>
          </cell>
          <cell r="F230">
            <v>1579.01579515</v>
          </cell>
          <cell r="G230">
            <v>1573.7681581500001</v>
          </cell>
          <cell r="H230">
            <v>1583.0591681000001</v>
          </cell>
          <cell r="I230">
            <v>1586.6583776099999</v>
          </cell>
          <cell r="J230"/>
          <cell r="K230"/>
        </row>
        <row r="231">
          <cell r="B231" t="str">
            <v>YM41O</v>
          </cell>
          <cell r="C231">
            <v>1543.58743314</v>
          </cell>
          <cell r="D231">
            <v>1542.1488781200001</v>
          </cell>
          <cell r="E231">
            <v>1533.02031771</v>
          </cell>
          <cell r="F231">
            <v>1538.8609294800001</v>
          </cell>
          <cell r="G231">
            <v>1542.2097403</v>
          </cell>
          <cell r="H231">
            <v>1549.28736768</v>
          </cell>
          <cell r="I231">
            <v>1555.4750862999999</v>
          </cell>
          <cell r="J231"/>
          <cell r="K231"/>
        </row>
        <row r="232">
          <cell r="B232" t="str">
            <v>YM37O</v>
          </cell>
          <cell r="C232">
            <v>1576.2065465000001</v>
          </cell>
          <cell r="D232">
            <v>1578.6353365699999</v>
          </cell>
          <cell r="E232">
            <v>1564.6174104500001</v>
          </cell>
          <cell r="F232">
            <v>1583.9415953499999</v>
          </cell>
          <cell r="G232">
            <v>1578.37015967</v>
          </cell>
          <cell r="H232">
            <v>1575.9184757</v>
          </cell>
          <cell r="I232">
            <v>1584.01079364</v>
          </cell>
          <cell r="J232"/>
          <cell r="K232"/>
        </row>
        <row r="233">
          <cell r="B233" t="str">
            <v>YFCMO</v>
          </cell>
          <cell r="C233">
            <v>1579.1791371899999</v>
          </cell>
          <cell r="D233">
            <v>1582.0127234700001</v>
          </cell>
          <cell r="E233">
            <v>1567.60753649</v>
          </cell>
          <cell r="F233">
            <v>1572.64249909</v>
          </cell>
          <cell r="G233">
            <v>1577.85656604</v>
          </cell>
          <cell r="H233">
            <v>1583.0537868399999</v>
          </cell>
          <cell r="I233">
            <v>1591.90251994</v>
          </cell>
          <cell r="J233"/>
          <cell r="K233"/>
        </row>
        <row r="234">
          <cell r="B234" t="str">
            <v>PFC2O</v>
          </cell>
          <cell r="C234">
            <v>1602.9202170200001</v>
          </cell>
          <cell r="D234">
            <v>1607.58785642</v>
          </cell>
          <cell r="E234">
            <v>1574</v>
          </cell>
          <cell r="F234">
            <v>1580.5</v>
          </cell>
          <cell r="G234">
            <v>1603.5864684999999</v>
          </cell>
          <cell r="H234">
            <v>1606.8799900199999</v>
          </cell>
          <cell r="I234">
            <v>1616.0624245700001</v>
          </cell>
          <cell r="J234"/>
          <cell r="K234"/>
        </row>
        <row r="235">
          <cell r="B235" t="str">
            <v>YM38O</v>
          </cell>
          <cell r="C235">
            <v>1613.6031400899999</v>
          </cell>
          <cell r="D235">
            <v>1618.30855948</v>
          </cell>
          <cell r="E235">
            <v>1602.95733984</v>
          </cell>
          <cell r="F235">
            <v>1607.4748752999999</v>
          </cell>
          <cell r="G235">
            <v>1614.3513699299999</v>
          </cell>
          <cell r="H235">
            <v>1617.3310423400001</v>
          </cell>
          <cell r="I235">
            <v>1582.2768475600001</v>
          </cell>
          <cell r="J235"/>
          <cell r="K235"/>
        </row>
        <row r="236">
          <cell r="B236" t="str">
            <v>BYZ1O</v>
          </cell>
          <cell r="C236">
            <v>1538.14060485</v>
          </cell>
          <cell r="D236">
            <v>1543.3297003</v>
          </cell>
          <cell r="E236">
            <v>1528.43342405</v>
          </cell>
          <cell r="F236">
            <v>1532.7186010800001</v>
          </cell>
          <cell r="G236">
            <v>1539.6795708899999</v>
          </cell>
          <cell r="H236">
            <v>1541.98831883</v>
          </cell>
          <cell r="I236">
            <v>1550.83332825</v>
          </cell>
          <cell r="J236"/>
          <cell r="K236"/>
        </row>
        <row r="237">
          <cell r="B237" t="str">
            <v>PN38O</v>
          </cell>
          <cell r="C237">
            <v>1584.4094779899999</v>
          </cell>
          <cell r="D237">
            <v>1589.9483668299999</v>
          </cell>
          <cell r="E237">
            <v>1574.64199263</v>
          </cell>
          <cell r="F237">
            <v>1579.0067168999999</v>
          </cell>
          <cell r="G237">
            <v>1586.35763221</v>
          </cell>
          <cell r="H237">
            <v>1588.42012617</v>
          </cell>
          <cell r="I237">
            <v>1597.4814378799999</v>
          </cell>
          <cell r="J237"/>
          <cell r="K237"/>
        </row>
        <row r="238">
          <cell r="B238" t="str">
            <v>BF40O</v>
          </cell>
          <cell r="C238">
            <v>1557.6550982199999</v>
          </cell>
          <cell r="D238">
            <v>1563.6383714399999</v>
          </cell>
          <cell r="E238">
            <v>1548.5510297599999</v>
          </cell>
          <cell r="F238">
            <v>1552.71943149</v>
          </cell>
          <cell r="G238">
            <v>1560.3906701799999</v>
          </cell>
          <cell r="H238">
            <v>1561.6727933</v>
          </cell>
          <cell r="I238">
            <v>1570.53691675</v>
          </cell>
          <cell r="J238"/>
          <cell r="K238"/>
        </row>
        <row r="239">
          <cell r="B239" t="str">
            <v>TTCBO</v>
          </cell>
          <cell r="C239">
            <v>1616.7872359099999</v>
          </cell>
          <cell r="D239">
            <v>1624.1603766600001</v>
          </cell>
          <cell r="E239">
            <v>1559.2390389699999</v>
          </cell>
          <cell r="F239">
            <v>1563.1560132</v>
          </cell>
          <cell r="G239">
            <v>1572.1317157999999</v>
          </cell>
          <cell r="H239">
            <v>1570.99530039</v>
          </cell>
          <cell r="I239">
            <v>1579.5454926699999</v>
          </cell>
          <cell r="J239"/>
          <cell r="K239"/>
        </row>
        <row r="240">
          <cell r="B240" t="str">
            <v>TTC8O</v>
          </cell>
          <cell r="C240">
            <v>1580.5696693800001</v>
          </cell>
          <cell r="D240">
            <v>1588.09962023</v>
          </cell>
          <cell r="E240">
            <v>1578</v>
          </cell>
          <cell r="F240">
            <v>1577.3489235100001</v>
          </cell>
          <cell r="G240">
            <v>1586.47960599</v>
          </cell>
          <cell r="H240">
            <v>1585.0989145999999</v>
          </cell>
          <cell r="I240">
            <v>1593.51709751</v>
          </cell>
          <cell r="J240"/>
          <cell r="K240"/>
        </row>
        <row r="241">
          <cell r="B241" t="str">
            <v>PLC1O</v>
          </cell>
          <cell r="C241">
            <v>1599.5166593199999</v>
          </cell>
          <cell r="D241">
            <v>1609.2516972999999</v>
          </cell>
          <cell r="E241">
            <v>1595.88845913</v>
          </cell>
          <cell r="F241">
            <v>1625.4002305399999</v>
          </cell>
          <cell r="G241">
            <v>1610.7136072599999</v>
          </cell>
          <cell r="H241">
            <v>1604.84797157</v>
          </cell>
          <cell r="I241">
            <v>1615.8903709199999</v>
          </cell>
          <cell r="J241"/>
          <cell r="K241"/>
        </row>
        <row r="242">
          <cell r="B242" t="str">
            <v>BF44O</v>
          </cell>
          <cell r="C242">
            <v>1562.48606786</v>
          </cell>
          <cell r="D242">
            <v>1573.8652325800001</v>
          </cell>
          <cell r="E242">
            <v>1563.09364822</v>
          </cell>
          <cell r="F242">
            <v>1568.16205582</v>
          </cell>
          <cell r="G242">
            <v>1579.0201237700001</v>
          </cell>
          <cell r="H242">
            <v>1568.4352509600001</v>
          </cell>
          <cell r="I242">
            <v>1574.06476301</v>
          </cell>
          <cell r="J242"/>
          <cell r="K242"/>
        </row>
        <row r="243">
          <cell r="B243" t="str">
            <v>YM40O</v>
          </cell>
          <cell r="C243">
            <v>1605.8938536799999</v>
          </cell>
          <cell r="D243">
            <v>1618.53126084</v>
          </cell>
          <cell r="E243">
            <v>1610.28299414</v>
          </cell>
          <cell r="F243">
            <v>1618.1269284499999</v>
          </cell>
          <cell r="G243">
            <v>1627.35966218</v>
          </cell>
          <cell r="H243">
            <v>1612.4304710900001</v>
          </cell>
          <cell r="I243">
            <v>1616.5752691099999</v>
          </cell>
          <cell r="J243"/>
          <cell r="K243"/>
        </row>
        <row r="244">
          <cell r="B244" t="str">
            <v>YMCZO</v>
          </cell>
          <cell r="C244">
            <v>1576.89196167</v>
          </cell>
          <cell r="D244">
            <v>1589.7948576199999</v>
          </cell>
          <cell r="E244">
            <v>1582.89006101</v>
          </cell>
          <cell r="F244">
            <v>1592.1373707600001</v>
          </cell>
          <cell r="G244">
            <v>1599.9198070800001</v>
          </cell>
          <cell r="H244">
            <v>1583.4004936599999</v>
          </cell>
          <cell r="I244">
            <v>1650.4</v>
          </cell>
          <cell r="J244"/>
          <cell r="K244"/>
        </row>
        <row r="245">
          <cell r="B245" t="str">
            <v>YMCYO</v>
          </cell>
          <cell r="C245">
            <v>1555.5539013099999</v>
          </cell>
          <cell r="D245">
            <v>1568.2006222099999</v>
          </cell>
          <cell r="E245">
            <v>1561.42868914</v>
          </cell>
          <cell r="F245">
            <v>1570.5712161700001</v>
          </cell>
          <cell r="G245">
            <v>1578.2348240199999</v>
          </cell>
          <cell r="H245">
            <v>1562.0629495799999</v>
          </cell>
          <cell r="I245">
            <v>1570.3352095400001</v>
          </cell>
          <cell r="J245"/>
          <cell r="K245"/>
        </row>
        <row r="246">
          <cell r="B246" t="str">
            <v>GN47O</v>
          </cell>
          <cell r="C246">
            <v>1590.3859474400001</v>
          </cell>
          <cell r="D246">
            <v>1603.01082253</v>
          </cell>
          <cell r="E246">
            <v>1596.4474352899999</v>
          </cell>
          <cell r="F246">
            <v>1559.7497114800001</v>
          </cell>
          <cell r="G246">
            <v>1567.1127671500001</v>
          </cell>
          <cell r="H246">
            <v>1550.50853712</v>
          </cell>
          <cell r="I246">
            <v>1553.68890566</v>
          </cell>
          <cell r="J246"/>
          <cell r="K246"/>
        </row>
        <row r="247">
          <cell r="B247" t="str">
            <v>YFCLO</v>
          </cell>
          <cell r="C247">
            <v>1584.15074018</v>
          </cell>
          <cell r="D247">
            <v>1596.8834261300001</v>
          </cell>
          <cell r="E247">
            <v>1591.1355220200001</v>
          </cell>
          <cell r="F247">
            <v>1602.05786872</v>
          </cell>
          <cell r="G247">
            <v>1608.07188754</v>
          </cell>
          <cell r="H247">
            <v>1590.68009418</v>
          </cell>
          <cell r="I247">
            <v>1593.5311444500001</v>
          </cell>
          <cell r="J247"/>
          <cell r="K247"/>
        </row>
        <row r="248">
          <cell r="B248" t="str">
            <v>YFCOO</v>
          </cell>
          <cell r="C248">
            <v>1577.3578955200001</v>
          </cell>
          <cell r="D248">
            <v>1590.06847911</v>
          </cell>
          <cell r="E248">
            <v>1584.95079403</v>
          </cell>
          <cell r="F248">
            <v>1596.86256263</v>
          </cell>
          <cell r="G248">
            <v>1601.76627558</v>
          </cell>
          <cell r="H248">
            <v>1583.8193451</v>
          </cell>
          <cell r="I248">
            <v>1586.3699328499999</v>
          </cell>
          <cell r="J248"/>
          <cell r="K248"/>
        </row>
        <row r="249">
          <cell r="B249" t="str">
            <v>PLC6O</v>
          </cell>
          <cell r="C249">
            <v>1619.9688255599999</v>
          </cell>
          <cell r="D249">
            <v>1632.26641307</v>
          </cell>
          <cell r="E249">
            <v>1628.95210339</v>
          </cell>
          <cell r="F249">
            <v>1644.7850358000001</v>
          </cell>
          <cell r="G249">
            <v>1645.5207027599999</v>
          </cell>
          <cell r="H249">
            <v>1628.0001203899999</v>
          </cell>
          <cell r="I249">
            <v>1628.1442969899999</v>
          </cell>
          <cell r="J249"/>
          <cell r="K249"/>
        </row>
        <row r="250">
          <cell r="B250" t="str">
            <v>YM42O</v>
          </cell>
          <cell r="C250">
            <v>1614.86155555</v>
          </cell>
          <cell r="D250">
            <v>1604.9330380399999</v>
          </cell>
          <cell r="E250">
            <v>1610.9999463900001</v>
          </cell>
          <cell r="F250">
            <v>1615.29380952</v>
          </cell>
          <cell r="G250">
            <v>1627.5636362</v>
          </cell>
          <cell r="H250">
            <v>1617.1046836800001</v>
          </cell>
          <cell r="I250">
            <v>1618.7417307200001</v>
          </cell>
          <cell r="J250"/>
          <cell r="K250"/>
        </row>
        <row r="251">
          <cell r="B251" t="str">
            <v>TLCUO</v>
          </cell>
          <cell r="C251">
            <v>1567.7044049399999</v>
          </cell>
          <cell r="D251">
            <v>1580.0703430399999</v>
          </cell>
          <cell r="E251">
            <v>1577.0795183</v>
          </cell>
          <cell r="F251">
            <v>1593.11174267</v>
          </cell>
          <cell r="G251">
            <v>1593.27791045</v>
          </cell>
          <cell r="H251">
            <v>1573.80941846</v>
          </cell>
          <cell r="I251">
            <v>1575.4450668100001</v>
          </cell>
          <cell r="J251"/>
          <cell r="K251"/>
        </row>
        <row r="252">
          <cell r="B252" t="str">
            <v>OLC6O</v>
          </cell>
          <cell r="C252">
            <v>1635.2485359</v>
          </cell>
          <cell r="D252">
            <v>1646.7632024899999</v>
          </cell>
          <cell r="E252">
            <v>1645.6116681599999</v>
          </cell>
          <cell r="F252">
            <v>1667.72205958</v>
          </cell>
          <cell r="G252">
            <v>1661.0454462499999</v>
          </cell>
          <cell r="H252">
            <v>1640.8266271499999</v>
          </cell>
          <cell r="I252">
            <v>1641.9359480200001</v>
          </cell>
          <cell r="J252"/>
          <cell r="K252"/>
        </row>
        <row r="253">
          <cell r="B253" t="str">
            <v>T672O</v>
          </cell>
          <cell r="C253">
            <v>1551.6059846400001</v>
          </cell>
          <cell r="D253">
            <v>1551.6063739000001</v>
          </cell>
          <cell r="E253">
            <v>1540.1068363300001</v>
          </cell>
          <cell r="F253">
            <v>1545.8172713599999</v>
          </cell>
          <cell r="G253">
            <v>1547.3314157899999</v>
          </cell>
          <cell r="H253">
            <v>1554.3264356100001</v>
          </cell>
          <cell r="I253">
            <v>1561.8125656100001</v>
          </cell>
          <cell r="J253"/>
          <cell r="K253"/>
        </row>
        <row r="254">
          <cell r="B254" t="str">
            <v>CS48O</v>
          </cell>
          <cell r="C254">
            <v>1631.7964967099999</v>
          </cell>
          <cell r="D254">
            <v>1644.2466402699999</v>
          </cell>
          <cell r="E254">
            <v>1634.51918596</v>
          </cell>
          <cell r="F254">
            <v>1641.1437293500001</v>
          </cell>
          <cell r="G254">
            <v>1651.5934307800001</v>
          </cell>
          <cell r="H254">
            <v>1638.2769158999999</v>
          </cell>
          <cell r="I254">
            <v>1643.25885505</v>
          </cell>
          <cell r="J254"/>
          <cell r="K254"/>
        </row>
        <row r="255">
          <cell r="B255" t="str">
            <v>CS47O</v>
          </cell>
          <cell r="C255">
            <v>1618.65256905</v>
          </cell>
          <cell r="D255">
            <v>1631.4691969099999</v>
          </cell>
          <cell r="E255">
            <v>1625.4393666999999</v>
          </cell>
          <cell r="F255">
            <v>1636.2458411699999</v>
          </cell>
          <cell r="G255">
            <v>1642.6808191800001</v>
          </cell>
          <cell r="H255">
            <v>1625.35550577</v>
          </cell>
          <cell r="I255">
            <v>1628.3580299600001</v>
          </cell>
          <cell r="J255"/>
          <cell r="K255"/>
        </row>
        <row r="256">
          <cell r="B256" t="str">
            <v>ZZC1O</v>
          </cell>
          <cell r="C256">
            <v>1574.1928343500001</v>
          </cell>
          <cell r="D256">
            <v>1574.23095754</v>
          </cell>
          <cell r="E256">
            <v>1562.49443148</v>
          </cell>
          <cell r="F256">
            <v>1568.2904765000001</v>
          </cell>
          <cell r="G256">
            <v>1569.8069778900001</v>
          </cell>
          <cell r="H256">
            <v>1576.91171401</v>
          </cell>
          <cell r="I256">
            <v>1584.5473650199999</v>
          </cell>
          <cell r="J256"/>
          <cell r="K256"/>
        </row>
        <row r="257">
          <cell r="B257" t="str">
            <v>BVCUO</v>
          </cell>
          <cell r="C257">
            <v>1534.9628493299999</v>
          </cell>
          <cell r="D257">
            <v>1537.41154106</v>
          </cell>
          <cell r="E257">
            <v>1523.77808181</v>
          </cell>
          <cell r="F257">
            <v>1529.1378261299999</v>
          </cell>
          <cell r="G257">
            <v>1530.7596029599999</v>
          </cell>
          <cell r="H257">
            <v>1536.3312721699999</v>
          </cell>
          <cell r="I257">
            <v>1544.9531933999999</v>
          </cell>
          <cell r="J257"/>
          <cell r="K257"/>
        </row>
        <row r="258">
          <cell r="B258" t="str">
            <v>JNC6O</v>
          </cell>
          <cell r="C258">
            <v>1562.8571523799999</v>
          </cell>
          <cell r="D258">
            <v>1570.0112305</v>
          </cell>
          <cell r="E258">
            <v>1555.1862982600001</v>
          </cell>
          <cell r="F258">
            <v>1559.5519923500001</v>
          </cell>
          <cell r="G258">
            <v>1562.41397029</v>
          </cell>
          <cell r="H258">
            <v>1562.18785955</v>
          </cell>
          <cell r="I258">
            <v>1570.9514289399999</v>
          </cell>
          <cell r="J258"/>
          <cell r="K258"/>
        </row>
        <row r="259">
          <cell r="B259" t="str">
            <v>HVS1O</v>
          </cell>
          <cell r="C259">
            <v>1545.8633847900001</v>
          </cell>
          <cell r="D259">
            <v>1557.805728</v>
          </cell>
          <cell r="E259">
            <v>1548.60914583</v>
          </cell>
          <cell r="F259">
            <v>1555.2164050900001</v>
          </cell>
          <cell r="G259">
            <v>1555.23696806</v>
          </cell>
          <cell r="H259">
            <v>1542.91342061</v>
          </cell>
          <cell r="I259">
            <v>1547.8100958299999</v>
          </cell>
          <cell r="J259"/>
          <cell r="K259"/>
        </row>
        <row r="260">
          <cell r="B260" t="str">
            <v>TGCHO</v>
          </cell>
          <cell r="C260">
            <v>0</v>
          </cell>
          <cell r="D260">
            <v>0</v>
          </cell>
          <cell r="E260">
            <v>9.9999999999999995E-8</v>
          </cell>
          <cell r="F260">
            <v>9.9999999999999995E-8</v>
          </cell>
          <cell r="G260">
            <v>9.9999999999999995E-8</v>
          </cell>
          <cell r="H260">
            <v>9.9999999999999995E-8</v>
          </cell>
          <cell r="I260">
            <v>9.9999999999999995E-8</v>
          </cell>
          <cell r="J260"/>
          <cell r="K260"/>
        </row>
        <row r="261">
          <cell r="B261"/>
          <cell r="C261"/>
          <cell r="D261"/>
          <cell r="E261"/>
          <cell r="F261"/>
          <cell r="G261"/>
          <cell r="H261"/>
          <cell r="I261"/>
          <cell r="J261"/>
          <cell r="K261"/>
        </row>
        <row r="262">
          <cell r="B262" t="str">
            <v>Obligaciones Negociables Hard USD - LE</v>
          </cell>
          <cell r="C262"/>
          <cell r="D262"/>
          <cell r="E262"/>
          <cell r="F262"/>
          <cell r="G262"/>
          <cell r="H262"/>
          <cell r="I262"/>
          <cell r="J262"/>
          <cell r="K262"/>
        </row>
        <row r="263"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 t="str">
            <v>PNDCD</v>
          </cell>
          <cell r="C264">
            <v>0.43084436999999998</v>
          </cell>
          <cell r="D264">
            <v>0.43164021000000002</v>
          </cell>
          <cell r="E264">
            <v>0.43170298000000001</v>
          </cell>
          <cell r="F264">
            <v>0.43170924999999999</v>
          </cell>
          <cell r="G264">
            <v>0.4316412</v>
          </cell>
          <cell r="H264">
            <v>0.43166063999999998</v>
          </cell>
          <cell r="I264">
            <v>0.43212627999999997</v>
          </cell>
          <cell r="J264"/>
          <cell r="K264"/>
        </row>
        <row r="265">
          <cell r="B265" t="str">
            <v>YCAMD</v>
          </cell>
          <cell r="C265">
            <v>1.0793749699999999</v>
          </cell>
          <cell r="D265">
            <v>1.08439069</v>
          </cell>
          <cell r="E265">
            <v>1.0851238000000001</v>
          </cell>
          <cell r="F265">
            <v>1.0860500900000001</v>
          </cell>
          <cell r="G265">
            <v>1.0859948100000001</v>
          </cell>
          <cell r="H265">
            <v>1.0864056200000001</v>
          </cell>
          <cell r="I265">
            <v>1.08957689</v>
          </cell>
          <cell r="J265"/>
          <cell r="K265"/>
        </row>
        <row r="266">
          <cell r="B266" t="str">
            <v>AER4D</v>
          </cell>
          <cell r="C266">
            <v>0.76981931000000003</v>
          </cell>
          <cell r="D266">
            <v>0.77459822</v>
          </cell>
          <cell r="E266">
            <v>0.77552712999999995</v>
          </cell>
          <cell r="F266">
            <v>0.77631850999999996</v>
          </cell>
          <cell r="G266">
            <v>0.77646219999999999</v>
          </cell>
          <cell r="H266">
            <v>0.77676003999999998</v>
          </cell>
          <cell r="I266">
            <v>0.7794972</v>
          </cell>
          <cell r="J266"/>
          <cell r="K266"/>
        </row>
        <row r="267">
          <cell r="B267" t="str">
            <v>YMCID</v>
          </cell>
          <cell r="C267">
            <v>0.95326432000000005</v>
          </cell>
          <cell r="D267">
            <v>0.95414409</v>
          </cell>
          <cell r="E267">
            <v>0.96196649000000001</v>
          </cell>
          <cell r="F267">
            <v>0.96089866000000002</v>
          </cell>
          <cell r="G267">
            <v>0.9611904</v>
          </cell>
          <cell r="H267">
            <v>0.96152912999999995</v>
          </cell>
          <cell r="I267">
            <v>0.95791512999999995</v>
          </cell>
          <cell r="J267"/>
          <cell r="K267"/>
        </row>
        <row r="268">
          <cell r="B268" t="str">
            <v>BYCHD</v>
          </cell>
          <cell r="C268">
            <v>1.0826337399999999</v>
          </cell>
          <cell r="D268">
            <v>1.0912477937510801</v>
          </cell>
          <cell r="E268">
            <v>1.0930719652215399</v>
          </cell>
          <cell r="F268">
            <v>1.0945497099999999</v>
          </cell>
          <cell r="G268">
            <v>1.09494593</v>
          </cell>
          <cell r="H268">
            <v>1.0954686199999999</v>
          </cell>
          <cell r="I268">
            <v>1.10028836</v>
          </cell>
          <cell r="J268"/>
          <cell r="K268"/>
        </row>
        <row r="269">
          <cell r="B269" t="str">
            <v>YMCUD</v>
          </cell>
          <cell r="C269">
            <v>1.01100031</v>
          </cell>
          <cell r="D269">
            <v>1.0179880699999999</v>
          </cell>
          <cell r="E269">
            <v>1.0196289700000001</v>
          </cell>
          <cell r="F269">
            <v>1.0204822</v>
          </cell>
          <cell r="G269">
            <v>1.0209309</v>
          </cell>
          <cell r="H269">
            <v>1.0212072999999999</v>
          </cell>
          <cell r="I269">
            <v>1.02475443</v>
          </cell>
          <cell r="J269"/>
          <cell r="K269"/>
        </row>
        <row r="270">
          <cell r="B270" t="str">
            <v>YMC1D</v>
          </cell>
          <cell r="C270">
            <v>1.1151493100000001</v>
          </cell>
          <cell r="D270">
            <v>1.1244573099999999</v>
          </cell>
          <cell r="E270">
            <v>1.1267161299999999</v>
          </cell>
          <cell r="F270">
            <v>1.1279593400000001</v>
          </cell>
          <cell r="G270">
            <v>1.1286233699999999</v>
          </cell>
          <cell r="H270">
            <v>1.1289986400000001</v>
          </cell>
          <cell r="I270">
            <v>1.13370839</v>
          </cell>
          <cell r="J270"/>
          <cell r="K270"/>
        </row>
        <row r="271">
          <cell r="B271" t="str">
            <v>ARC1D</v>
          </cell>
          <cell r="C271">
            <v>1.0718163199999999</v>
          </cell>
          <cell r="D271">
            <v>1.0798014300000001</v>
          </cell>
          <cell r="E271">
            <v>1.08184904</v>
          </cell>
          <cell r="F271">
            <v>1.0826493100000001</v>
          </cell>
          <cell r="G271">
            <v>1.0833087699999999</v>
          </cell>
          <cell r="H271">
            <v>1.0835328799999999</v>
          </cell>
          <cell r="I271">
            <v>1.0719955800000001</v>
          </cell>
          <cell r="J271"/>
          <cell r="K271"/>
        </row>
        <row r="272">
          <cell r="B272" t="str">
            <v>TTCDD</v>
          </cell>
          <cell r="C272">
            <v>1.0885</v>
          </cell>
          <cell r="D272">
            <v>1.0900512</v>
          </cell>
          <cell r="E272">
            <v>1.0935317899999999</v>
          </cell>
          <cell r="F272">
            <v>1.0945</v>
          </cell>
          <cell r="G272">
            <v>1.08810611740631</v>
          </cell>
          <cell r="H272">
            <v>1.0881002099999999</v>
          </cell>
          <cell r="I272">
            <v>1.09161639</v>
          </cell>
          <cell r="J272"/>
          <cell r="K272"/>
        </row>
        <row r="273">
          <cell r="B273" t="str">
            <v>YMCXD</v>
          </cell>
          <cell r="C273">
            <v>1.0868810600000001</v>
          </cell>
          <cell r="D273">
            <v>1.0890453</v>
          </cell>
          <cell r="E273">
            <v>1.0906684200000001</v>
          </cell>
          <cell r="F273">
            <v>1.09914058</v>
          </cell>
          <cell r="G273">
            <v>1.1024478143607399</v>
          </cell>
          <cell r="H273">
            <v>1.0935763700000001</v>
          </cell>
          <cell r="I273">
            <v>1.0941359399999999</v>
          </cell>
          <cell r="J273"/>
          <cell r="K273"/>
        </row>
        <row r="274">
          <cell r="B274" t="str">
            <v>PNXCD</v>
          </cell>
          <cell r="C274">
            <v>1.1084459099999999</v>
          </cell>
          <cell r="D274">
            <v>1.11737555</v>
          </cell>
          <cell r="E274">
            <v>1.1202698900000001</v>
          </cell>
          <cell r="F274">
            <v>1.1203626600000001</v>
          </cell>
          <cell r="G274">
            <v>1.1216116899999999</v>
          </cell>
          <cell r="H274">
            <v>1.12149835</v>
          </cell>
          <cell r="I274">
            <v>1.12468835814082</v>
          </cell>
          <cell r="J274"/>
          <cell r="K274"/>
        </row>
        <row r="275">
          <cell r="B275" t="str">
            <v>PLC5D</v>
          </cell>
          <cell r="C275">
            <v>1.09001697</v>
          </cell>
          <cell r="D275">
            <v>1.0946808400000001</v>
          </cell>
          <cell r="E275">
            <v>1.0975870999999999</v>
          </cell>
          <cell r="F275">
            <v>1.0976373100000001</v>
          </cell>
          <cell r="G275">
            <v>1.0940000000000001</v>
          </cell>
          <cell r="H275">
            <v>1.09876811</v>
          </cell>
          <cell r="I275">
            <v>1.101863</v>
          </cell>
          <cell r="J275"/>
          <cell r="K275"/>
        </row>
        <row r="276">
          <cell r="B276" t="str">
            <v>TSC3D</v>
          </cell>
          <cell r="C276">
            <v>1.085574</v>
          </cell>
          <cell r="D276">
            <v>1.09446431</v>
          </cell>
          <cell r="E276">
            <v>1.09744953</v>
          </cell>
          <cell r="F276">
            <v>1.0974056000000001</v>
          </cell>
          <cell r="G276">
            <v>1.09873727</v>
          </cell>
          <cell r="H276">
            <v>1.0985631</v>
          </cell>
          <cell r="I276">
            <v>1.10156057</v>
          </cell>
          <cell r="J276"/>
          <cell r="K276"/>
        </row>
        <row r="277">
          <cell r="B277" t="str">
            <v>YFCJD</v>
          </cell>
          <cell r="C277">
            <v>1.08450118</v>
          </cell>
          <cell r="D277">
            <v>1.0864000300000001</v>
          </cell>
          <cell r="E277">
            <v>1.04998645</v>
          </cell>
          <cell r="F277">
            <v>1.0497772700000001</v>
          </cell>
          <cell r="G277">
            <v>1.0511492644901499</v>
          </cell>
          <cell r="H277">
            <v>1.05092355</v>
          </cell>
          <cell r="I277">
            <v>1.0412870700000001</v>
          </cell>
          <cell r="J277"/>
          <cell r="K277"/>
        </row>
        <row r="278">
          <cell r="B278" t="str">
            <v>MGCMD</v>
          </cell>
          <cell r="C278">
            <v>1.0917025899999999</v>
          </cell>
          <cell r="D278">
            <v>1.0825</v>
          </cell>
          <cell r="E278">
            <v>1.06108117</v>
          </cell>
          <cell r="F278">
            <v>1.0609363106699199</v>
          </cell>
          <cell r="G278">
            <v>1.0622910299999999</v>
          </cell>
          <cell r="H278">
            <v>1.06208088132838</v>
          </cell>
          <cell r="I278">
            <v>1.06486864</v>
          </cell>
          <cell r="J278"/>
          <cell r="K278"/>
        </row>
        <row r="279">
          <cell r="B279" t="str">
            <v>TTCAD</v>
          </cell>
          <cell r="C279">
            <v>1.04833964</v>
          </cell>
          <cell r="D279">
            <v>1.05109439</v>
          </cell>
          <cell r="E279">
            <v>1.0549999999999999</v>
          </cell>
          <cell r="F279">
            <v>1.0537085100000001</v>
          </cell>
          <cell r="G279">
            <v>1.05513911</v>
          </cell>
          <cell r="H279">
            <v>1.05484888</v>
          </cell>
          <cell r="I279">
            <v>1.06</v>
          </cell>
          <cell r="J279"/>
          <cell r="K279"/>
        </row>
        <row r="280">
          <cell r="B280" t="str">
            <v>PLC4D</v>
          </cell>
          <cell r="C280">
            <v>1.10598888</v>
          </cell>
          <cell r="D280">
            <v>1.10145662</v>
          </cell>
          <cell r="E280">
            <v>1.10597477</v>
          </cell>
          <cell r="F280">
            <v>1.1053315800000001</v>
          </cell>
          <cell r="G280">
            <v>1.1045507800000001</v>
          </cell>
          <cell r="H280">
            <v>1.1026623900000001</v>
          </cell>
          <cell r="I280">
            <v>1.1075363300000001</v>
          </cell>
          <cell r="J280"/>
          <cell r="K280"/>
        </row>
        <row r="281">
          <cell r="B281" t="str">
            <v>VSCVD</v>
          </cell>
          <cell r="C281">
            <v>1.10997543</v>
          </cell>
          <cell r="D281">
            <v>1.10985983</v>
          </cell>
          <cell r="E281">
            <v>1.11698634</v>
          </cell>
          <cell r="F281">
            <v>1.1195138899999999</v>
          </cell>
          <cell r="G281">
            <v>1.1130073300000001</v>
          </cell>
          <cell r="H281">
            <v>1.1143361199999999</v>
          </cell>
          <cell r="I281">
            <v>1.1150267599999999</v>
          </cell>
          <cell r="J281"/>
          <cell r="K281"/>
        </row>
        <row r="282">
          <cell r="B282" t="str">
            <v>YM34D</v>
          </cell>
          <cell r="C282">
            <v>1.07740013</v>
          </cell>
          <cell r="D282">
            <v>1.0809056500000001</v>
          </cell>
          <cell r="E282">
            <v>1.08691721</v>
          </cell>
          <cell r="F282">
            <v>1.08293584</v>
          </cell>
          <cell r="G282">
            <v>1.0870091500000001</v>
          </cell>
          <cell r="H282">
            <v>1.08398755</v>
          </cell>
          <cell r="I282">
            <v>1.08811101</v>
          </cell>
          <cell r="J282"/>
          <cell r="K282"/>
        </row>
        <row r="283">
          <cell r="B283" t="str">
            <v>YMCJD</v>
          </cell>
          <cell r="C283">
            <v>1.0146640600000001</v>
          </cell>
          <cell r="D283">
            <v>1.0157951300000001</v>
          </cell>
          <cell r="E283">
            <v>1.02360344</v>
          </cell>
          <cell r="F283">
            <v>1.0295049300000001</v>
          </cell>
          <cell r="G283">
            <v>1.03184912</v>
          </cell>
          <cell r="H283">
            <v>1.0235983799999999</v>
          </cell>
          <cell r="I283">
            <v>1.0203624</v>
          </cell>
          <cell r="J283"/>
          <cell r="K283"/>
        </row>
        <row r="284">
          <cell r="B284" t="str">
            <v>CAC5D</v>
          </cell>
          <cell r="C284">
            <v>0.54661514</v>
          </cell>
          <cell r="D284">
            <v>0.54959164999999999</v>
          </cell>
          <cell r="E284">
            <v>0.55012819999999996</v>
          </cell>
          <cell r="F284">
            <v>0.55079745999999996</v>
          </cell>
          <cell r="G284">
            <v>0.55075048999999998</v>
          </cell>
          <cell r="H284">
            <v>0.55104337000000003</v>
          </cell>
          <cell r="I284">
            <v>0.55284555999999996</v>
          </cell>
          <cell r="J284"/>
          <cell r="K284"/>
        </row>
        <row r="285">
          <cell r="B285" t="str">
            <v>TLCMD</v>
          </cell>
          <cell r="C285">
            <v>1.12282159</v>
          </cell>
          <cell r="D285">
            <v>1.12294355</v>
          </cell>
          <cell r="E285">
            <v>1.12747284</v>
          </cell>
          <cell r="F285">
            <v>1.1244096100000001</v>
          </cell>
          <cell r="G285">
            <v>1.12049486</v>
          </cell>
          <cell r="H285">
            <v>1.1247802600000001</v>
          </cell>
          <cell r="I285">
            <v>1.1285401399999999</v>
          </cell>
          <cell r="J285"/>
          <cell r="K285"/>
        </row>
        <row r="286">
          <cell r="B286" t="str">
            <v>TLCPD</v>
          </cell>
          <cell r="C286">
            <v>1.10850268</v>
          </cell>
          <cell r="D286">
            <v>1.11700822</v>
          </cell>
          <cell r="E286">
            <v>1.1201880799999999</v>
          </cell>
          <cell r="F286">
            <v>1.11986282</v>
          </cell>
          <cell r="G286">
            <v>1.11464301</v>
          </cell>
          <cell r="H286">
            <v>1.1190256300000001</v>
          </cell>
          <cell r="I286">
            <v>1.1198961199999999</v>
          </cell>
          <cell r="J286"/>
          <cell r="K286"/>
        </row>
        <row r="287">
          <cell r="B287" t="str">
            <v>AEC2D</v>
          </cell>
          <cell r="C287">
            <v>0.53172193000000001</v>
          </cell>
          <cell r="D287">
            <v>0.53377374</v>
          </cell>
          <cell r="E287">
            <v>0.53396489000000003</v>
          </cell>
          <cell r="F287">
            <v>0.53435493999999994</v>
          </cell>
          <cell r="G287">
            <v>0.53432318999999995</v>
          </cell>
          <cell r="H287">
            <v>0.53442624999999999</v>
          </cell>
          <cell r="I287">
            <v>0.53566875999999997</v>
          </cell>
          <cell r="J287"/>
          <cell r="K287"/>
        </row>
        <row r="288">
          <cell r="B288"/>
          <cell r="C288"/>
          <cell r="D288"/>
          <cell r="E288"/>
          <cell r="F288"/>
          <cell r="G288"/>
          <cell r="H288"/>
          <cell r="I288"/>
          <cell r="J288"/>
          <cell r="K288"/>
        </row>
        <row r="289">
          <cell r="B289" t="str">
            <v>Obligaciones Negociables Hard USD - LE - Contra $</v>
          </cell>
          <cell r="C289"/>
          <cell r="D289"/>
          <cell r="E289"/>
          <cell r="F289"/>
          <cell r="G289"/>
          <cell r="H289"/>
          <cell r="I289"/>
          <cell r="J289"/>
          <cell r="K289"/>
        </row>
        <row r="290"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 t="str">
            <v>PNDCO</v>
          </cell>
          <cell r="C291">
            <v>674.47513164999998</v>
          </cell>
          <cell r="D291">
            <v>677.49887257</v>
          </cell>
          <cell r="E291">
            <v>677.50654621000001</v>
          </cell>
          <cell r="F291">
            <v>679.39219269</v>
          </cell>
          <cell r="G291">
            <v>681.93756589999998</v>
          </cell>
          <cell r="H291">
            <v>684.41677733999995</v>
          </cell>
          <cell r="I291">
            <v>686.23777085999996</v>
          </cell>
          <cell r="J291"/>
          <cell r="K291"/>
        </row>
        <row r="292">
          <cell r="B292" t="str">
            <v>YCAMO</v>
          </cell>
          <cell r="C292">
            <v>1633.73603619</v>
          </cell>
          <cell r="D292">
            <v>1641.03602925</v>
          </cell>
          <cell r="E292">
            <v>1641.0518640600001</v>
          </cell>
          <cell r="F292">
            <v>1645.7125263400001</v>
          </cell>
          <cell r="G292">
            <v>1651.88548975</v>
          </cell>
          <cell r="H292">
            <v>1658.0595218399999</v>
          </cell>
          <cell r="I292">
            <v>1661.55726091</v>
          </cell>
          <cell r="J292"/>
          <cell r="K292"/>
        </row>
        <row r="293">
          <cell r="B293" t="str">
            <v>AER4O</v>
          </cell>
          <cell r="C293">
            <v>1165.6023578700001</v>
          </cell>
          <cell r="D293">
            <v>1170.81319816</v>
          </cell>
          <cell r="E293">
            <v>1170.89048258</v>
          </cell>
          <cell r="F293">
            <v>1174.2388880200001</v>
          </cell>
          <cell r="G293">
            <v>1178.6820378899999</v>
          </cell>
          <cell r="H293">
            <v>1183.0359857399999</v>
          </cell>
          <cell r="I293">
            <v>1185.3707557299999</v>
          </cell>
          <cell r="J293"/>
          <cell r="K293"/>
        </row>
        <row r="294">
          <cell r="B294" t="str">
            <v>YMCIO</v>
          </cell>
          <cell r="C294">
            <v>1462.8308891199999</v>
          </cell>
          <cell r="D294">
            <v>1468.58118848</v>
          </cell>
          <cell r="E294">
            <v>1479.9957526200001</v>
          </cell>
          <cell r="F294">
            <v>1457.4392785800001</v>
          </cell>
          <cell r="G294">
            <v>1477.8306483700001</v>
          </cell>
          <cell r="H294">
            <v>1468.3303789199999</v>
          </cell>
          <cell r="I294">
            <v>1471.3055220700001</v>
          </cell>
          <cell r="J294"/>
          <cell r="K294"/>
        </row>
        <row r="295">
          <cell r="B295" t="str">
            <v>BYCHO</v>
          </cell>
          <cell r="C295">
            <v>1623.9837661199999</v>
          </cell>
          <cell r="D295">
            <v>1631.2388888200001</v>
          </cell>
          <cell r="E295">
            <v>1631.4062638099999</v>
          </cell>
          <cell r="F295">
            <v>1636.11834466</v>
          </cell>
          <cell r="G295">
            <v>1642.3455753200001</v>
          </cell>
          <cell r="H295">
            <v>1648.4129270999999</v>
          </cell>
          <cell r="I295">
            <v>1651.26174315</v>
          </cell>
          <cell r="J295"/>
          <cell r="K295"/>
        </row>
        <row r="296">
          <cell r="B296" t="str">
            <v>YMCUO</v>
          </cell>
          <cell r="C296">
            <v>1542.4532736399999</v>
          </cell>
          <cell r="D296">
            <v>1541.58013951</v>
          </cell>
          <cell r="E296">
            <v>1540.2658062099999</v>
          </cell>
          <cell r="F296">
            <v>1547.92641295</v>
          </cell>
          <cell r="G296">
            <v>1548.03847309</v>
          </cell>
          <cell r="H296">
            <v>1551.6814049</v>
          </cell>
          <cell r="I296">
            <v>1556.00797347</v>
          </cell>
          <cell r="J296"/>
          <cell r="K296"/>
        </row>
        <row r="297">
          <cell r="B297" t="str">
            <v>YMC1O</v>
          </cell>
          <cell r="C297">
            <v>1691.08940319</v>
          </cell>
          <cell r="D297">
            <v>1698.6443021600001</v>
          </cell>
          <cell r="E297">
            <v>1698.9831938299999</v>
          </cell>
          <cell r="F297">
            <v>1703.854004</v>
          </cell>
          <cell r="G297">
            <v>1710.37908634</v>
          </cell>
          <cell r="H297">
            <v>1716.47348519</v>
          </cell>
          <cell r="I297">
            <v>1719.67993469</v>
          </cell>
          <cell r="J297"/>
          <cell r="K297"/>
        </row>
        <row r="298">
          <cell r="B298" t="str">
            <v>ARC1O</v>
          </cell>
          <cell r="C298">
            <v>1615.1881081900001</v>
          </cell>
          <cell r="D298">
            <v>1632</v>
          </cell>
          <cell r="E298">
            <v>1644.1431799100001</v>
          </cell>
          <cell r="F298">
            <v>1648.78359819</v>
          </cell>
          <cell r="G298">
            <v>1655.0791069899999</v>
          </cell>
          <cell r="H298">
            <v>1660.80826346</v>
          </cell>
          <cell r="I298">
            <v>1664.34102246</v>
          </cell>
          <cell r="J298"/>
          <cell r="K298"/>
        </row>
        <row r="299">
          <cell r="B299" t="str">
            <v>TTCDO</v>
          </cell>
          <cell r="C299">
            <v>1665.1080989500001</v>
          </cell>
          <cell r="D299">
            <v>1677.4569559700001</v>
          </cell>
          <cell r="E299">
            <v>1678.83908703</v>
          </cell>
          <cell r="F299">
            <v>1682.3153434000001</v>
          </cell>
          <cell r="G299">
            <v>1675</v>
          </cell>
          <cell r="H299">
            <v>1689.2725700200001</v>
          </cell>
          <cell r="I299">
            <v>1690.2214273899999</v>
          </cell>
          <cell r="J299"/>
          <cell r="K299"/>
        </row>
        <row r="300">
          <cell r="B300" t="str">
            <v>YMCXO</v>
          </cell>
          <cell r="C300">
            <v>1665.31696182</v>
          </cell>
          <cell r="D300">
            <v>1667.95465175</v>
          </cell>
          <cell r="E300">
            <v>1670.9626485399999</v>
          </cell>
          <cell r="F300">
            <v>1688.11333539</v>
          </cell>
          <cell r="G300">
            <v>1695.7869122300001</v>
          </cell>
          <cell r="H300">
            <v>1697.3649620000001</v>
          </cell>
          <cell r="I300">
            <v>1694.2253003999999</v>
          </cell>
          <cell r="J300"/>
          <cell r="K300"/>
        </row>
        <row r="301">
          <cell r="B301" t="str">
            <v>PNXCO</v>
          </cell>
          <cell r="C301">
            <v>1714.6403582</v>
          </cell>
          <cell r="D301">
            <v>1722.2535623900001</v>
          </cell>
          <cell r="E301">
            <v>1723.1841516500001</v>
          </cell>
          <cell r="F301">
            <v>1727.89269745</v>
          </cell>
          <cell r="G301">
            <v>1734.52952559</v>
          </cell>
          <cell r="H301">
            <v>1739.89784573</v>
          </cell>
          <cell r="I301">
            <v>1744.33866803</v>
          </cell>
          <cell r="J301"/>
          <cell r="K301"/>
        </row>
        <row r="302">
          <cell r="B302" t="str">
            <v>PLC5O</v>
          </cell>
          <cell r="C302">
            <v>1676.0605709199999</v>
          </cell>
          <cell r="D302">
            <v>1690.55055941</v>
          </cell>
          <cell r="E302">
            <v>1691.4888791000001</v>
          </cell>
          <cell r="F302">
            <v>1696.1076631799999</v>
          </cell>
          <cell r="G302">
            <v>1702.63112514</v>
          </cell>
          <cell r="H302">
            <v>1688.69113122</v>
          </cell>
          <cell r="I302">
            <v>1693.8818180599999</v>
          </cell>
          <cell r="J302"/>
          <cell r="K302"/>
        </row>
        <row r="303">
          <cell r="B303" t="str">
            <v>TSC3O</v>
          </cell>
          <cell r="C303">
            <v>1682.96466562</v>
          </cell>
          <cell r="D303">
            <v>1690.43008824</v>
          </cell>
          <cell r="E303">
            <v>1691.43646644</v>
          </cell>
          <cell r="F303">
            <v>1696.0294940000001</v>
          </cell>
          <cell r="G303">
            <v>1702.55140972</v>
          </cell>
          <cell r="H303">
            <v>1705.2639337799999</v>
          </cell>
          <cell r="I303">
            <v>1712.19175002</v>
          </cell>
          <cell r="J303"/>
          <cell r="K303"/>
        </row>
        <row r="304">
          <cell r="B304" t="str">
            <v>YFCJO</v>
          </cell>
          <cell r="C304">
            <v>1672.7289968699999</v>
          </cell>
          <cell r="D304">
            <v>1680.1371829699999</v>
          </cell>
          <cell r="E304">
            <v>1617.56210599</v>
          </cell>
          <cell r="F304">
            <v>1621.9065422900001</v>
          </cell>
          <cell r="G304">
            <v>1628.1365433999999</v>
          </cell>
          <cell r="H304">
            <v>1632.91163185</v>
          </cell>
          <cell r="I304">
            <v>1610.4085667500001</v>
          </cell>
          <cell r="J304"/>
          <cell r="K304"/>
        </row>
        <row r="305">
          <cell r="B305" t="str">
            <v>MGCMO</v>
          </cell>
          <cell r="C305">
            <v>1676.3967856500001</v>
          </cell>
          <cell r="D305">
            <v>1635.5775711399999</v>
          </cell>
          <cell r="E305">
            <v>1636.61951374</v>
          </cell>
          <cell r="F305">
            <v>1675.66706043</v>
          </cell>
          <cell r="G305">
            <v>1647.3492497699999</v>
          </cell>
          <cell r="H305">
            <v>1675.2</v>
          </cell>
          <cell r="I305">
            <v>1656.69890803</v>
          </cell>
          <cell r="J305"/>
          <cell r="K305"/>
        </row>
        <row r="306">
          <cell r="B306" t="str">
            <v>TTCAO</v>
          </cell>
          <cell r="C306">
            <v>1618.6239282199999</v>
          </cell>
          <cell r="D306">
            <v>1625.77815493</v>
          </cell>
          <cell r="E306">
            <v>1626.9427610099999</v>
          </cell>
          <cell r="F306">
            <v>1631.2710692600001</v>
          </cell>
          <cell r="G306">
            <v>1637.5289484499999</v>
          </cell>
          <cell r="H306">
            <v>1642.2186624000001</v>
          </cell>
          <cell r="I306">
            <v>1639.7</v>
          </cell>
          <cell r="J306"/>
          <cell r="K306"/>
        </row>
        <row r="307">
          <cell r="B307" t="str">
            <v>PLC4O</v>
          </cell>
          <cell r="C307">
            <v>1700.2275896900001</v>
          </cell>
          <cell r="D307">
            <v>1693.01597339</v>
          </cell>
          <cell r="E307">
            <v>1697.84403505</v>
          </cell>
          <cell r="F307">
            <v>1698.4309017999999</v>
          </cell>
          <cell r="G307">
            <v>1700.18411896</v>
          </cell>
          <cell r="H307">
            <v>1724.9148917699999</v>
          </cell>
          <cell r="I307">
            <v>1715.8</v>
          </cell>
          <cell r="J307"/>
          <cell r="K307"/>
        </row>
        <row r="308">
          <cell r="B308" t="str">
            <v>VSCVO</v>
          </cell>
          <cell r="C308">
            <v>1709.3668225199999</v>
          </cell>
          <cell r="D308">
            <v>1706.22275498</v>
          </cell>
          <cell r="E308">
            <v>1714.64636933</v>
          </cell>
          <cell r="F308">
            <v>1732.5</v>
          </cell>
          <cell r="G308">
            <v>1715.69996436</v>
          </cell>
          <cell r="H308">
            <v>1721.4375542800001</v>
          </cell>
          <cell r="I308">
            <v>1724.35224053</v>
          </cell>
          <cell r="J308"/>
          <cell r="K308"/>
        </row>
        <row r="309">
          <cell r="B309" t="str">
            <v>YM34O</v>
          </cell>
          <cell r="C309">
            <v>1656.42586622</v>
          </cell>
          <cell r="D309">
            <v>1660.02525657</v>
          </cell>
          <cell r="E309">
            <v>1664.5701995500001</v>
          </cell>
          <cell r="F309">
            <v>1667.61094194</v>
          </cell>
          <cell r="G309">
            <v>1674.07171294</v>
          </cell>
          <cell r="H309">
            <v>1675.7515981900001</v>
          </cell>
          <cell r="I309">
            <v>1686.9925699400001</v>
          </cell>
          <cell r="J309"/>
          <cell r="K309"/>
        </row>
        <row r="310">
          <cell r="B310" t="str">
            <v>YMCJO</v>
          </cell>
          <cell r="C310">
            <v>1560.33051387</v>
          </cell>
          <cell r="D310">
            <v>1559.90754943</v>
          </cell>
          <cell r="E310">
            <v>1566.6988351099999</v>
          </cell>
          <cell r="F310">
            <v>1580.2615596400001</v>
          </cell>
          <cell r="G310">
            <v>1596.1889217299999</v>
          </cell>
          <cell r="H310">
            <v>1581.34195845</v>
          </cell>
          <cell r="I310">
            <v>1586.2104284300001</v>
          </cell>
          <cell r="J310"/>
          <cell r="K310"/>
        </row>
        <row r="311">
          <cell r="B311" t="str">
            <v>CAC5O</v>
          </cell>
          <cell r="C311">
            <v>825.61724356000002</v>
          </cell>
          <cell r="D311">
            <v>829.51440943</v>
          </cell>
          <cell r="E311">
            <v>829.52357602999996</v>
          </cell>
          <cell r="F311">
            <v>832.01691690999996</v>
          </cell>
          <cell r="G311">
            <v>835.04713602000004</v>
          </cell>
          <cell r="H311">
            <v>838.27072482000005</v>
          </cell>
          <cell r="I311">
            <v>839.90902028000005</v>
          </cell>
          <cell r="J311"/>
          <cell r="K311"/>
        </row>
        <row r="312">
          <cell r="B312" t="str">
            <v>TLCMO</v>
          </cell>
          <cell r="C312">
            <v>1723.0319344699999</v>
          </cell>
          <cell r="D312">
            <v>1709.9214901</v>
          </cell>
          <cell r="E312">
            <v>1729.5727799199999</v>
          </cell>
          <cell r="F312">
            <v>1715.7647423400001</v>
          </cell>
          <cell r="G312">
            <v>1721.6350084200001</v>
          </cell>
          <cell r="H312">
            <v>1740.5678430999999</v>
          </cell>
          <cell r="I312">
            <v>1746.6058293000001</v>
          </cell>
          <cell r="J312"/>
          <cell r="K312"/>
        </row>
        <row r="313">
          <cell r="B313" t="str">
            <v>TLCPO</v>
          </cell>
          <cell r="C313">
            <v>1704.0721578099999</v>
          </cell>
          <cell r="D313">
            <v>1712.87403993</v>
          </cell>
          <cell r="E313">
            <v>1719.81274031</v>
          </cell>
          <cell r="F313">
            <v>1720.3308317799999</v>
          </cell>
          <cell r="G313">
            <v>1707.7538793900001</v>
          </cell>
          <cell r="H313">
            <v>1728.59777839</v>
          </cell>
          <cell r="I313">
            <v>1734.9631246199999</v>
          </cell>
          <cell r="J313"/>
          <cell r="K313"/>
        </row>
        <row r="314">
          <cell r="B314" t="str">
            <v>AEC2O</v>
          </cell>
          <cell r="C314">
            <v>811.72890115999996</v>
          </cell>
          <cell r="D314">
            <v>815.35395503999996</v>
          </cell>
          <cell r="E314">
            <v>815.25067676000003</v>
          </cell>
          <cell r="F314">
            <v>817.67475632000003</v>
          </cell>
          <cell r="G314">
            <v>820.71224224000002</v>
          </cell>
          <cell r="H314">
            <v>823.69402353999999</v>
          </cell>
          <cell r="I314">
            <v>825.50025211000002</v>
          </cell>
          <cell r="J314"/>
          <cell r="K314"/>
        </row>
        <row r="315">
          <cell r="B315"/>
          <cell r="C315"/>
          <cell r="D315"/>
          <cell r="E315"/>
          <cell r="F315"/>
          <cell r="G315"/>
          <cell r="H315"/>
          <cell r="I315"/>
          <cell r="J315"/>
          <cell r="K315"/>
        </row>
        <row r="316">
          <cell r="B316" t="str">
            <v>Obligaciones Negociables Dólar linked</v>
          </cell>
          <cell r="C316"/>
          <cell r="D316"/>
          <cell r="E316"/>
          <cell r="F316"/>
          <cell r="G316"/>
          <cell r="H316"/>
          <cell r="I316"/>
          <cell r="J316"/>
          <cell r="K316"/>
        </row>
        <row r="317"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 t="str">
            <v>GE22P</v>
          </cell>
          <cell r="C318">
            <v>516.94365468000001</v>
          </cell>
          <cell r="D318">
            <v>516.58008455000004</v>
          </cell>
          <cell r="E318">
            <v>520.63846892000004</v>
          </cell>
          <cell r="F318">
            <v>519.74120073999995</v>
          </cell>
          <cell r="G318">
            <v>522.87686119</v>
          </cell>
          <cell r="H318">
            <v>522.63075667999999</v>
          </cell>
          <cell r="I318">
            <v>523.32009315000005</v>
          </cell>
          <cell r="J318"/>
          <cell r="K318"/>
        </row>
        <row r="319">
          <cell r="B319" t="str">
            <v>HA12L</v>
          </cell>
          <cell r="C319">
            <v>1579.8947735500001</v>
          </cell>
          <cell r="D319">
            <v>1580.7632803700001</v>
          </cell>
          <cell r="E319">
            <v>1565.6435914599999</v>
          </cell>
          <cell r="F319">
            <v>1562.53264857</v>
          </cell>
          <cell r="G319">
            <v>1562.81540167</v>
          </cell>
          <cell r="H319">
            <v>1558.0375375000001</v>
          </cell>
          <cell r="I319">
            <v>1556.6194728600001</v>
          </cell>
          <cell r="J319"/>
          <cell r="K319"/>
        </row>
        <row r="320">
          <cell r="B320" t="str">
            <v>APS1L</v>
          </cell>
          <cell r="C320">
            <v>1521.6195374900001</v>
          </cell>
          <cell r="D320">
            <v>1520.60780383</v>
          </cell>
          <cell r="E320">
            <v>1534.71398712</v>
          </cell>
          <cell r="F320">
            <v>1536.40897047</v>
          </cell>
          <cell r="G320">
            <v>1545.9597967100001</v>
          </cell>
          <cell r="H320">
            <v>1544.5333370599999</v>
          </cell>
          <cell r="I320">
            <v>1546.6492369600001</v>
          </cell>
          <cell r="J320"/>
          <cell r="K320"/>
        </row>
        <row r="321">
          <cell r="B321" t="str">
            <v>GN37O</v>
          </cell>
          <cell r="C321">
            <v>504.20587346999997</v>
          </cell>
          <cell r="D321">
            <v>503.82137089999998</v>
          </cell>
          <cell r="E321">
            <v>504.76104951999997</v>
          </cell>
          <cell r="F321">
            <v>504.63588195</v>
          </cell>
          <cell r="G321">
            <v>507.59137991</v>
          </cell>
          <cell r="H321">
            <v>507.93667001</v>
          </cell>
          <cell r="I321">
            <v>508.56876714999999</v>
          </cell>
          <cell r="J321"/>
          <cell r="K321"/>
        </row>
        <row r="322">
          <cell r="B322" t="str">
            <v>VSCIO</v>
          </cell>
          <cell r="C322">
            <v>1508.42451065</v>
          </cell>
          <cell r="D322">
            <v>1507.28657985</v>
          </cell>
          <cell r="E322">
            <v>1513.17288596</v>
          </cell>
          <cell r="F322">
            <v>1511.85229478</v>
          </cell>
          <cell r="G322">
            <v>1520.7735996399999</v>
          </cell>
          <cell r="H322">
            <v>1521.22302534</v>
          </cell>
          <cell r="I322">
            <v>1523.13597757</v>
          </cell>
          <cell r="J322"/>
          <cell r="K322"/>
        </row>
        <row r="323">
          <cell r="B323" t="str">
            <v>PNJCO</v>
          </cell>
          <cell r="C323">
            <v>1508.40711874</v>
          </cell>
          <cell r="D323">
            <v>1507.2930065999999</v>
          </cell>
          <cell r="E323">
            <v>1518.2443563700001</v>
          </cell>
          <cell r="F323">
            <v>1515.6322462600001</v>
          </cell>
          <cell r="G323">
            <v>1524.70251304</v>
          </cell>
          <cell r="H323">
            <v>1524.1202967700001</v>
          </cell>
          <cell r="I323">
            <v>1519.5</v>
          </cell>
          <cell r="J323"/>
          <cell r="K323"/>
        </row>
        <row r="324">
          <cell r="B324" t="str">
            <v>VSCJO</v>
          </cell>
          <cell r="C324">
            <v>1494.9226670800001</v>
          </cell>
          <cell r="D324">
            <v>1493.8265848599999</v>
          </cell>
          <cell r="E324">
            <v>1507.50283233</v>
          </cell>
          <cell r="F324">
            <v>1503.26730535</v>
          </cell>
          <cell r="G324">
            <v>1512.3057636399999</v>
          </cell>
          <cell r="H324">
            <v>1511.4141686400001</v>
          </cell>
          <cell r="I324">
            <v>1513.3641474599999</v>
          </cell>
          <cell r="J324"/>
          <cell r="K324"/>
        </row>
        <row r="325">
          <cell r="B325" t="str">
            <v>TLCDO</v>
          </cell>
          <cell r="C325">
            <v>1501.3099210299999</v>
          </cell>
          <cell r="D325">
            <v>1500.2110716</v>
          </cell>
          <cell r="E325">
            <v>1512.7</v>
          </cell>
          <cell r="F325">
            <v>1509.96118422</v>
          </cell>
          <cell r="G325">
            <v>1519.04982812</v>
          </cell>
          <cell r="H325">
            <v>1518.08366093</v>
          </cell>
          <cell r="I325">
            <v>1520.0451372699999</v>
          </cell>
          <cell r="J325"/>
          <cell r="K325"/>
        </row>
        <row r="326">
          <cell r="B326" t="str">
            <v>PNZCO</v>
          </cell>
          <cell r="C326">
            <v>1471.0919609</v>
          </cell>
          <cell r="D326">
            <v>1470.04774236</v>
          </cell>
          <cell r="E326">
            <v>1485.89258187</v>
          </cell>
          <cell r="F326">
            <v>1483.62681806</v>
          </cell>
          <cell r="G326">
            <v>1492.72089289</v>
          </cell>
          <cell r="H326">
            <v>1489.59</v>
          </cell>
          <cell r="I326">
            <v>1492.8255118699999</v>
          </cell>
          <cell r="J326"/>
          <cell r="K326"/>
        </row>
        <row r="327">
          <cell r="B327" t="str">
            <v>OLC3O</v>
          </cell>
          <cell r="C327">
            <v>1469.6394851800001</v>
          </cell>
          <cell r="D327">
            <v>1468.59788948</v>
          </cell>
          <cell r="E327">
            <v>1483.24</v>
          </cell>
          <cell r="F327">
            <v>1477.90832639</v>
          </cell>
          <cell r="G327">
            <v>1491.4248024599999</v>
          </cell>
          <cell r="H327">
            <v>1489.17</v>
          </cell>
          <cell r="I327">
            <v>1491.50581515</v>
          </cell>
          <cell r="J327"/>
          <cell r="K327"/>
        </row>
        <row r="328">
          <cell r="B328" t="str">
            <v>MGCEO</v>
          </cell>
          <cell r="C328">
            <v>1434.07401615</v>
          </cell>
          <cell r="D328">
            <v>1433.0854109899999</v>
          </cell>
          <cell r="E328">
            <v>1447.04122654</v>
          </cell>
          <cell r="F328">
            <v>1448.92541585</v>
          </cell>
          <cell r="G328">
            <v>1457.94019996</v>
          </cell>
          <cell r="H328">
            <v>1456.24817065</v>
          </cell>
          <cell r="I328">
            <v>1458.2117179100001</v>
          </cell>
          <cell r="J328"/>
          <cell r="K328"/>
        </row>
        <row r="329">
          <cell r="B329" t="str">
            <v>OLC2O</v>
          </cell>
          <cell r="C329">
            <v>1418.80857186</v>
          </cell>
          <cell r="D329">
            <v>1417.8463737</v>
          </cell>
          <cell r="E329">
            <v>1429.25</v>
          </cell>
          <cell r="F329">
            <v>1434.7264678900001</v>
          </cell>
          <cell r="G329">
            <v>1443.708742</v>
          </cell>
          <cell r="H329">
            <v>1443.4602023499999</v>
          </cell>
          <cell r="I329">
            <v>1445.4189690799999</v>
          </cell>
          <cell r="J329"/>
          <cell r="K329"/>
        </row>
        <row r="330">
          <cell r="B330" t="str">
            <v>MR43O</v>
          </cell>
          <cell r="C330">
            <v>454.75628999999998</v>
          </cell>
          <cell r="D330">
            <v>454.36964999999998</v>
          </cell>
          <cell r="E330">
            <v>454.17923999999999</v>
          </cell>
          <cell r="F330">
            <v>454.36964999999998</v>
          </cell>
          <cell r="G330">
            <v>457.00398000000001</v>
          </cell>
          <cell r="H330">
            <v>457.45202999999998</v>
          </cell>
          <cell r="I330">
            <v>457.99991999999997</v>
          </cell>
          <cell r="J330"/>
          <cell r="K330"/>
        </row>
        <row r="331">
          <cell r="B331" t="str">
            <v>DRSAO</v>
          </cell>
          <cell r="C331">
            <v>9.9999999999999995E-8</v>
          </cell>
          <cell r="D331">
            <v>9.9999999999999995E-8</v>
          </cell>
          <cell r="E331">
            <v>9.9999999999999995E-8</v>
          </cell>
          <cell r="F331">
            <v>9.9999999999999995E-8</v>
          </cell>
          <cell r="G331">
            <v>9.9999999999999995E-8</v>
          </cell>
          <cell r="H331">
            <v>9.9999999999999995E-8</v>
          </cell>
          <cell r="I331">
            <v>9.9999999999999995E-8</v>
          </cell>
          <cell r="J331"/>
          <cell r="K331"/>
        </row>
        <row r="332">
          <cell r="B332"/>
          <cell r="C332"/>
          <cell r="D332"/>
          <cell r="E332"/>
          <cell r="F332"/>
          <cell r="G332"/>
          <cell r="H332"/>
          <cell r="I332"/>
          <cell r="J332"/>
          <cell r="K332"/>
        </row>
        <row r="333">
          <cell r="B333" t="str">
            <v>Fideicomisos Financieros Tamar</v>
          </cell>
          <cell r="C333"/>
          <cell r="D333"/>
          <cell r="E333"/>
          <cell r="F333"/>
          <cell r="G333"/>
          <cell r="H333"/>
          <cell r="I333"/>
          <cell r="J333"/>
          <cell r="K333"/>
        </row>
        <row r="334">
          <cell r="B334"/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 t="str">
            <v>CO18A</v>
          </cell>
          <cell r="C335">
            <v>0.25090884000000002</v>
          </cell>
          <cell r="D335">
            <v>0.25110321000000002</v>
          </cell>
          <cell r="E335">
            <v>0.25131713999999999</v>
          </cell>
          <cell r="F335">
            <v>0.25186530000000001</v>
          </cell>
          <cell r="G335">
            <v>0.18375765999999999</v>
          </cell>
          <cell r="H335">
            <v>0.18388591000000001</v>
          </cell>
          <cell r="I335">
            <v>0.18401857999999999</v>
          </cell>
          <cell r="J335"/>
          <cell r="K335"/>
        </row>
        <row r="336">
          <cell r="B336" t="str">
            <v>CO17A</v>
          </cell>
          <cell r="C336">
            <v>0.25789625999999999</v>
          </cell>
          <cell r="D336">
            <v>0.25809604000000003</v>
          </cell>
          <cell r="E336">
            <v>0.25831591999999998</v>
          </cell>
          <cell r="F336">
            <v>0.25887936</v>
          </cell>
          <cell r="G336">
            <v>0.20025925999999999</v>
          </cell>
          <cell r="H336">
            <v>0.20039903000000001</v>
          </cell>
          <cell r="I336">
            <v>0.20054361000000001</v>
          </cell>
          <cell r="J336"/>
          <cell r="K336"/>
        </row>
        <row r="337">
          <cell r="B337" t="str">
            <v>CO19A</v>
          </cell>
          <cell r="C337">
            <v>0.88711264999999995</v>
          </cell>
          <cell r="D337">
            <v>0.88801664999999996</v>
          </cell>
          <cell r="E337">
            <v>0.88615838999999996</v>
          </cell>
          <cell r="F337">
            <v>0.88909039999999995</v>
          </cell>
          <cell r="G337">
            <v>0.82763434999999996</v>
          </cell>
          <cell r="H337">
            <v>0.82829483999999998</v>
          </cell>
          <cell r="I337">
            <v>0.82892387000000001</v>
          </cell>
          <cell r="J337"/>
          <cell r="K337"/>
        </row>
        <row r="338">
          <cell r="B338" t="str">
            <v>CO20A</v>
          </cell>
          <cell r="C338">
            <v>1.0079268400000001</v>
          </cell>
          <cell r="D338">
            <v>1.00896915</v>
          </cell>
          <cell r="E338">
            <v>1.0052874599999999</v>
          </cell>
          <cell r="F338">
            <v>1.0085335099999999</v>
          </cell>
          <cell r="G338">
            <v>1.00953973</v>
          </cell>
          <cell r="H338">
            <v>1.0104022500000001</v>
          </cell>
          <cell r="I338">
            <v>1.0111486999999999</v>
          </cell>
          <cell r="J338"/>
          <cell r="K338"/>
        </row>
        <row r="339">
          <cell r="B339" t="str">
            <v>CF82A</v>
          </cell>
          <cell r="C339">
            <v>6.7369719999999994E-2</v>
          </cell>
          <cell r="D339">
            <v>6.7421930000000005E-2</v>
          </cell>
          <cell r="E339">
            <v>6.7479380000000005E-2</v>
          </cell>
          <cell r="F339">
            <v>6.7626610000000004E-2</v>
          </cell>
          <cell r="G339">
            <v>1.87002E-2</v>
          </cell>
          <cell r="H339">
            <v>1.8712929999999999E-2</v>
          </cell>
          <cell r="I339">
            <v>1.8726949999999999E-2</v>
          </cell>
          <cell r="J339"/>
          <cell r="K339"/>
        </row>
        <row r="340">
          <cell r="B340" t="str">
            <v>M333A</v>
          </cell>
          <cell r="C340">
            <v>0.19060743999999999</v>
          </cell>
          <cell r="D340">
            <v>0.19076082</v>
          </cell>
          <cell r="E340">
            <v>0.19095110000000001</v>
          </cell>
          <cell r="F340">
            <v>0.19139523999999999</v>
          </cell>
          <cell r="G340">
            <v>0.19152807999999999</v>
          </cell>
          <cell r="H340">
            <v>0.19165983</v>
          </cell>
          <cell r="I340">
            <v>0.19179492000000001</v>
          </cell>
          <cell r="J340"/>
          <cell r="K340"/>
        </row>
        <row r="341">
          <cell r="B341" t="str">
            <v>M331A</v>
          </cell>
          <cell r="C341">
            <v>9.6819630000000004E-2</v>
          </cell>
          <cell r="D341">
            <v>9.6897540000000004E-2</v>
          </cell>
          <cell r="E341">
            <v>9.6994200000000003E-2</v>
          </cell>
          <cell r="F341">
            <v>9.7219799999999995E-2</v>
          </cell>
          <cell r="G341">
            <v>9.7287280000000004E-2</v>
          </cell>
          <cell r="H341">
            <v>9.7354200000000002E-2</v>
          </cell>
          <cell r="I341">
            <v>9.7422819999999993E-2</v>
          </cell>
          <cell r="J341"/>
          <cell r="K341"/>
        </row>
        <row r="342">
          <cell r="B342" t="str">
            <v>M327A</v>
          </cell>
          <cell r="C342">
            <v>2.6709210000000001E-2</v>
          </cell>
          <cell r="D342">
            <v>2.67307E-2</v>
          </cell>
          <cell r="E342">
            <v>2.6757369999999999E-2</v>
          </cell>
          <cell r="F342">
            <v>2.6819599999999999E-2</v>
          </cell>
          <cell r="G342">
            <v>2.6838219999999999E-2</v>
          </cell>
          <cell r="H342">
            <v>2.6856680000000001E-2</v>
          </cell>
          <cell r="I342">
            <v>2.6875610000000001E-2</v>
          </cell>
          <cell r="J342"/>
          <cell r="K342"/>
        </row>
        <row r="343">
          <cell r="B343" t="str">
            <v>M329A</v>
          </cell>
          <cell r="C343">
            <v>5.927528E-2</v>
          </cell>
          <cell r="D343">
            <v>5.9322979999999997E-2</v>
          </cell>
          <cell r="E343">
            <v>5.9382160000000003E-2</v>
          </cell>
          <cell r="F343">
            <v>5.9520280000000002E-2</v>
          </cell>
          <cell r="G343">
            <v>5.9561589999999998E-2</v>
          </cell>
          <cell r="H343">
            <v>5.9602559999999999E-2</v>
          </cell>
          <cell r="I343">
            <v>5.9644570000000001E-2</v>
          </cell>
          <cell r="J343"/>
          <cell r="K343"/>
        </row>
        <row r="344">
          <cell r="B344" t="str">
            <v>M322A</v>
          </cell>
          <cell r="C344">
            <v>7.8810179999999994E-2</v>
          </cell>
          <cell r="D344">
            <v>7.8873990000000005E-2</v>
          </cell>
          <cell r="E344">
            <v>7.8954440000000001E-2</v>
          </cell>
          <cell r="F344">
            <v>7.9139920000000002E-2</v>
          </cell>
          <cell r="G344">
            <v>7.9194829999999994E-2</v>
          </cell>
          <cell r="H344">
            <v>7.9249169999999994E-2</v>
          </cell>
          <cell r="I344">
            <v>7.9305139999999996E-2</v>
          </cell>
          <cell r="J344"/>
          <cell r="K344"/>
        </row>
        <row r="345">
          <cell r="B345" t="str">
            <v>M320A</v>
          </cell>
          <cell r="C345">
            <v>2.4081439999999999E-2</v>
          </cell>
          <cell r="D345">
            <v>2.4100940000000001E-2</v>
          </cell>
          <cell r="E345">
            <v>2.4125520000000001E-2</v>
          </cell>
          <cell r="F345">
            <v>2.4182200000000001E-2</v>
          </cell>
          <cell r="G345">
            <v>2.4198979999999998E-2</v>
          </cell>
          <cell r="H345">
            <v>2.421558E-2</v>
          </cell>
          <cell r="I345">
            <v>2.4232679999999999E-2</v>
          </cell>
          <cell r="J345"/>
          <cell r="K345"/>
        </row>
        <row r="346">
          <cell r="B346" t="str">
            <v>C199A</v>
          </cell>
          <cell r="C346">
            <v>2.5386100000000002E-2</v>
          </cell>
          <cell r="D346">
            <v>2.5406519999999998E-2</v>
          </cell>
          <cell r="E346">
            <v>2.5431869999999999E-2</v>
          </cell>
          <cell r="F346">
            <v>2.549102E-2</v>
          </cell>
          <cell r="G346">
            <v>2.550871E-2</v>
          </cell>
          <cell r="H346">
            <v>2.5526259999999999E-2</v>
          </cell>
          <cell r="I346">
            <v>2.5544250000000001E-2</v>
          </cell>
          <cell r="J346"/>
          <cell r="K346"/>
        </row>
        <row r="347">
          <cell r="B347" t="str">
            <v>CF83A</v>
          </cell>
          <cell r="C347">
            <v>0.24853217999999999</v>
          </cell>
          <cell r="D347">
            <v>0.24872477000000001</v>
          </cell>
          <cell r="E347">
            <v>0.24893672</v>
          </cell>
          <cell r="F347">
            <v>0.24947985</v>
          </cell>
          <cell r="G347">
            <v>0.18170379</v>
          </cell>
          <cell r="H347">
            <v>0.18182081999999999</v>
          </cell>
          <cell r="I347">
            <v>0.18195500000000001</v>
          </cell>
          <cell r="J347"/>
          <cell r="K347"/>
        </row>
        <row r="348">
          <cell r="B348" t="str">
            <v>CU57A</v>
          </cell>
          <cell r="C348">
            <v>0.21502315999999999</v>
          </cell>
          <cell r="D348">
            <v>0.21519680999999999</v>
          </cell>
          <cell r="E348">
            <v>0.21543802000000001</v>
          </cell>
          <cell r="F348">
            <v>0.21598149</v>
          </cell>
          <cell r="G348">
            <v>0.11956522999999999</v>
          </cell>
          <cell r="H348">
            <v>0.11964234</v>
          </cell>
          <cell r="I348">
            <v>0.11973072999999999</v>
          </cell>
          <cell r="J348"/>
          <cell r="K348"/>
        </row>
        <row r="349">
          <cell r="B349" t="str">
            <v>CU58A</v>
          </cell>
          <cell r="C349">
            <v>0.30277133000000001</v>
          </cell>
          <cell r="D349">
            <v>0.30302244</v>
          </cell>
          <cell r="E349">
            <v>0.30340075999999999</v>
          </cell>
          <cell r="F349">
            <v>0.30423043</v>
          </cell>
          <cell r="G349">
            <v>0.20654782999999999</v>
          </cell>
          <cell r="H349">
            <v>0.20668197999999999</v>
          </cell>
          <cell r="I349">
            <v>0.20683561</v>
          </cell>
          <cell r="J349"/>
          <cell r="K349"/>
        </row>
        <row r="350">
          <cell r="B350" t="str">
            <v>DT44A</v>
          </cell>
          <cell r="C350">
            <v>0.32175555</v>
          </cell>
          <cell r="D350">
            <v>0.16030923999999999</v>
          </cell>
          <cell r="E350">
            <v>0.16052791999999999</v>
          </cell>
          <cell r="F350">
            <v>0.16098144</v>
          </cell>
          <cell r="G350">
            <v>0.16110131</v>
          </cell>
          <cell r="H350">
            <v>0.16121506999999999</v>
          </cell>
          <cell r="I350">
            <v>0.16133057000000001</v>
          </cell>
          <cell r="J350"/>
          <cell r="K350"/>
        </row>
        <row r="351">
          <cell r="B351" t="str">
            <v>DT45A</v>
          </cell>
          <cell r="C351">
            <v>0.46192144000000002</v>
          </cell>
          <cell r="D351">
            <v>0.26520081000000001</v>
          </cell>
          <cell r="E351">
            <v>0.26557682999999999</v>
          </cell>
          <cell r="F351">
            <v>0.26636841</v>
          </cell>
          <cell r="G351">
            <v>0.26657177999999998</v>
          </cell>
          <cell r="H351">
            <v>0.26676229000000001</v>
          </cell>
          <cell r="I351">
            <v>0.26695523999999998</v>
          </cell>
          <cell r="J351"/>
          <cell r="K351"/>
        </row>
        <row r="352">
          <cell r="B352" t="str">
            <v>CU59A</v>
          </cell>
          <cell r="C352">
            <v>0.63041493000000004</v>
          </cell>
          <cell r="D352">
            <v>0.63095027999999997</v>
          </cell>
          <cell r="E352">
            <v>0.63172737000000001</v>
          </cell>
          <cell r="F352">
            <v>0.63355298999999998</v>
          </cell>
          <cell r="G352">
            <v>0.41081056999999999</v>
          </cell>
          <cell r="H352">
            <v>0.41108277999999998</v>
          </cell>
          <cell r="I352">
            <v>0.41139313999999999</v>
          </cell>
          <cell r="J352"/>
          <cell r="K352"/>
        </row>
        <row r="353">
          <cell r="B353" t="str">
            <v>M341A</v>
          </cell>
          <cell r="C353">
            <v>0.23392262</v>
          </cell>
          <cell r="D353">
            <v>0.23413233</v>
          </cell>
          <cell r="E353">
            <v>0.23469999999999999</v>
          </cell>
          <cell r="F353">
            <v>0.23520160000000001</v>
          </cell>
          <cell r="G353">
            <v>0.23529636000000001</v>
          </cell>
          <cell r="H353">
            <v>0.23546453000000001</v>
          </cell>
          <cell r="I353">
            <v>0.23563685000000001</v>
          </cell>
          <cell r="J353"/>
          <cell r="K353"/>
        </row>
        <row r="354">
          <cell r="B354" t="str">
            <v>C200A</v>
          </cell>
          <cell r="C354">
            <v>0.36378385000000002</v>
          </cell>
          <cell r="D354">
            <v>0.36410178999999998</v>
          </cell>
          <cell r="E354">
            <v>0.36456897999999999</v>
          </cell>
          <cell r="F354">
            <v>0.36565166999999998</v>
          </cell>
          <cell r="G354">
            <v>0.36593144</v>
          </cell>
          <cell r="H354">
            <v>0.36619369000000002</v>
          </cell>
          <cell r="I354">
            <v>0.36646242000000001</v>
          </cell>
          <cell r="J354"/>
          <cell r="K354"/>
        </row>
        <row r="355">
          <cell r="B355" t="str">
            <v>M343A</v>
          </cell>
          <cell r="C355">
            <v>0.35075334000000002</v>
          </cell>
          <cell r="D355">
            <v>0.35106135999999999</v>
          </cell>
          <cell r="E355">
            <v>0.35151437000000002</v>
          </cell>
          <cell r="F355">
            <v>0.35261068000000001</v>
          </cell>
          <cell r="G355">
            <v>0.35288603000000002</v>
          </cell>
          <cell r="H355">
            <v>0.35314131999999998</v>
          </cell>
          <cell r="I355">
            <v>0.35340254999999998</v>
          </cell>
          <cell r="J355"/>
          <cell r="K355"/>
        </row>
        <row r="356">
          <cell r="B356" t="str">
            <v>C201A</v>
          </cell>
          <cell r="C356">
            <v>0.40433445000000001</v>
          </cell>
          <cell r="D356">
            <v>0.40469168</v>
          </cell>
          <cell r="E356">
            <v>0.40520201</v>
          </cell>
          <cell r="F356">
            <v>0.40643519</v>
          </cell>
          <cell r="G356">
            <v>0.40675031</v>
          </cell>
          <cell r="H356">
            <v>0.40704368000000002</v>
          </cell>
          <cell r="I356">
            <v>0.40734380999999997</v>
          </cell>
          <cell r="J356"/>
          <cell r="K356"/>
        </row>
        <row r="357">
          <cell r="B357" t="str">
            <v>CF86A</v>
          </cell>
          <cell r="C357">
            <v>0.53525060999999996</v>
          </cell>
          <cell r="D357">
            <v>0.53571482000000004</v>
          </cell>
          <cell r="E357">
            <v>0.53638481999999998</v>
          </cell>
          <cell r="F357">
            <v>0.53802231</v>
          </cell>
          <cell r="G357">
            <v>0.36743710000000002</v>
          </cell>
          <cell r="H357">
            <v>0.36770594000000001</v>
          </cell>
          <cell r="I357">
            <v>0.36798687000000002</v>
          </cell>
          <cell r="J357"/>
          <cell r="K357"/>
        </row>
        <row r="358">
          <cell r="B358" t="str">
            <v>DT46A</v>
          </cell>
          <cell r="C358">
            <v>1.0167199200000001</v>
          </cell>
          <cell r="D358">
            <v>0.62513430999999997</v>
          </cell>
          <cell r="E358">
            <v>0.62601167999999996</v>
          </cell>
          <cell r="F358">
            <v>0.62804340000000003</v>
          </cell>
          <cell r="G358">
            <v>0.62854463000000005</v>
          </cell>
          <cell r="H358">
            <v>0.62900338</v>
          </cell>
          <cell r="I358">
            <v>0.62946606999999999</v>
          </cell>
          <cell r="J358"/>
          <cell r="K358"/>
        </row>
        <row r="359">
          <cell r="B359" t="str">
            <v>M345A</v>
          </cell>
          <cell r="C359">
            <v>0.42736681999999998</v>
          </cell>
          <cell r="D359">
            <v>0.42775018999999997</v>
          </cell>
          <cell r="E359">
            <v>0.42826718000000003</v>
          </cell>
          <cell r="F359">
            <v>0.42965768999999998</v>
          </cell>
          <cell r="G359">
            <v>0.43000118999999998</v>
          </cell>
          <cell r="H359">
            <v>0.43031574</v>
          </cell>
          <cell r="I359">
            <v>0.43063678999999999</v>
          </cell>
          <cell r="J359"/>
          <cell r="K359"/>
        </row>
        <row r="360">
          <cell r="B360" t="str">
            <v>CU60A</v>
          </cell>
          <cell r="C360">
            <v>1.0168219300000001</v>
          </cell>
          <cell r="D360">
            <v>1.01770268</v>
          </cell>
          <cell r="E360">
            <v>1.0188719399999999</v>
          </cell>
          <cell r="F360">
            <v>1.02192569</v>
          </cell>
          <cell r="G360">
            <v>0.70053321999999996</v>
          </cell>
          <cell r="H360">
            <v>0.70099979000000001</v>
          </cell>
          <cell r="I360">
            <v>0.70153069999999995</v>
          </cell>
          <cell r="J360"/>
          <cell r="K360"/>
        </row>
        <row r="361">
          <cell r="B361" t="str">
            <v>CU61A</v>
          </cell>
          <cell r="C361">
            <v>0.99295317999999999</v>
          </cell>
          <cell r="D361">
            <v>0.99393103000000005</v>
          </cell>
          <cell r="E361">
            <v>0.99550000000000005</v>
          </cell>
          <cell r="F361">
            <v>0.99839175000000002</v>
          </cell>
          <cell r="G361">
            <v>0.99913220999999997</v>
          </cell>
          <cell r="H361">
            <v>0.99979963999999999</v>
          </cell>
          <cell r="I361">
            <v>1.00055776</v>
          </cell>
          <cell r="J361"/>
          <cell r="K361"/>
        </row>
        <row r="362">
          <cell r="B362" t="str">
            <v>M347A</v>
          </cell>
          <cell r="C362">
            <v>0.52068219999999998</v>
          </cell>
          <cell r="D362">
            <v>0.52116324999999997</v>
          </cell>
          <cell r="E362">
            <v>0.52167286000000002</v>
          </cell>
          <cell r="F362">
            <v>0.52344632000000002</v>
          </cell>
          <cell r="G362">
            <v>0.52387894000000002</v>
          </cell>
          <cell r="H362">
            <v>0.52426865</v>
          </cell>
          <cell r="I362">
            <v>0.52466400999999996</v>
          </cell>
          <cell r="J362"/>
          <cell r="K362"/>
        </row>
        <row r="363">
          <cell r="B363" t="str">
            <v>C202A</v>
          </cell>
          <cell r="C363">
            <v>0.71849492000000004</v>
          </cell>
          <cell r="D363">
            <v>0.71918325000000005</v>
          </cell>
          <cell r="E363">
            <v>0.71952355000000001</v>
          </cell>
          <cell r="F363">
            <v>0.72199400999999996</v>
          </cell>
          <cell r="G363">
            <v>0.72260913000000004</v>
          </cell>
          <cell r="H363">
            <v>0.72315660000000004</v>
          </cell>
          <cell r="I363">
            <v>0.72370508</v>
          </cell>
          <cell r="J363"/>
          <cell r="K363"/>
        </row>
        <row r="364">
          <cell r="B364" t="str">
            <v>SK01A</v>
          </cell>
          <cell r="C364">
            <v>0.41625359000000001</v>
          </cell>
          <cell r="D364">
            <v>0.32026729999999998</v>
          </cell>
          <cell r="E364">
            <v>0.32060068000000003</v>
          </cell>
          <cell r="F364">
            <v>0.32173695000000002</v>
          </cell>
          <cell r="G364">
            <v>0.32201277</v>
          </cell>
          <cell r="H364">
            <v>0.32225827000000001</v>
          </cell>
          <cell r="I364">
            <v>0.32249972999999998</v>
          </cell>
          <cell r="J364"/>
          <cell r="K364"/>
        </row>
        <row r="365">
          <cell r="B365" t="str">
            <v>DT47A</v>
          </cell>
          <cell r="C365">
            <v>1.01311522</v>
          </cell>
          <cell r="D365">
            <v>0.99341031000000002</v>
          </cell>
          <cell r="E365">
            <v>0.99454737000000004</v>
          </cell>
          <cell r="F365">
            <v>0.99799011999999998</v>
          </cell>
          <cell r="G365">
            <v>0.99882298999999997</v>
          </cell>
          <cell r="H365">
            <v>0.99956884999999995</v>
          </cell>
          <cell r="I365">
            <v>1.0003151299999999</v>
          </cell>
          <cell r="J365"/>
          <cell r="K365"/>
        </row>
        <row r="366">
          <cell r="B366" t="str">
            <v>M349A</v>
          </cell>
          <cell r="C366">
            <v>0.63130010999999997</v>
          </cell>
          <cell r="D366">
            <v>0.63189753999999998</v>
          </cell>
          <cell r="E366">
            <v>0.63228983999999999</v>
          </cell>
          <cell r="F366">
            <v>0.63448892999999995</v>
          </cell>
          <cell r="G366">
            <v>0.63502709000000002</v>
          </cell>
          <cell r="H366">
            <v>0.63550618999999997</v>
          </cell>
          <cell r="I366">
            <v>0.63598865000000004</v>
          </cell>
          <cell r="J366"/>
          <cell r="K366"/>
        </row>
        <row r="367">
          <cell r="B367" t="str">
            <v>M351A</v>
          </cell>
          <cell r="C367">
            <v>0.69363041999999997</v>
          </cell>
          <cell r="D367">
            <v>0.69429116999999996</v>
          </cell>
          <cell r="E367">
            <v>0.69463675999999996</v>
          </cell>
          <cell r="F367">
            <v>0.69706279000000004</v>
          </cell>
          <cell r="G367">
            <v>0.69765812000000005</v>
          </cell>
          <cell r="H367">
            <v>0.69818652000000003</v>
          </cell>
          <cell r="I367">
            <v>0.69871738999999999</v>
          </cell>
          <cell r="J367"/>
          <cell r="K367"/>
        </row>
        <row r="368">
          <cell r="B368" t="str">
            <v>M353A</v>
          </cell>
          <cell r="C368">
            <v>0.78849597999999999</v>
          </cell>
          <cell r="D368">
            <v>0.78925034999999999</v>
          </cell>
          <cell r="E368">
            <v>0.78953068999999998</v>
          </cell>
          <cell r="F368">
            <v>0.79228166</v>
          </cell>
          <cell r="G368">
            <v>0.79296124000000001</v>
          </cell>
          <cell r="H368">
            <v>0.79356351000000003</v>
          </cell>
          <cell r="I368">
            <v>0.79416704000000005</v>
          </cell>
          <cell r="J368"/>
          <cell r="K368"/>
        </row>
        <row r="369">
          <cell r="B369" t="str">
            <v>M355A</v>
          </cell>
          <cell r="C369">
            <v>0.91740557</v>
          </cell>
          <cell r="D369">
            <v>0.91829477999999998</v>
          </cell>
          <cell r="E369">
            <v>0.91834532000000002</v>
          </cell>
          <cell r="F369">
            <v>0.92155686999999997</v>
          </cell>
          <cell r="G369">
            <v>0.92235787000000002</v>
          </cell>
          <cell r="H369">
            <v>0.92306387000000001</v>
          </cell>
          <cell r="I369">
            <v>0.92376754000000005</v>
          </cell>
          <cell r="J369"/>
          <cell r="K369"/>
        </row>
        <row r="370">
          <cell r="B370" t="str">
            <v>DT48A</v>
          </cell>
          <cell r="C370">
            <v>1.0111099400000001</v>
          </cell>
          <cell r="D370">
            <v>0.99144527000000005</v>
          </cell>
          <cell r="E370">
            <v>0.99227204000000002</v>
          </cell>
          <cell r="F370">
            <v>0.99597301000000005</v>
          </cell>
          <cell r="G370">
            <v>0.99684930000000005</v>
          </cell>
          <cell r="H370">
            <v>0.99761480000000002</v>
          </cell>
          <cell r="I370">
            <v>0.99837310999999995</v>
          </cell>
          <cell r="J370"/>
          <cell r="K370"/>
        </row>
        <row r="371">
          <cell r="B371" t="str">
            <v>DT49A</v>
          </cell>
          <cell r="C371">
            <v>1.00904014</v>
          </cell>
          <cell r="D371">
            <v>0.98940744000000003</v>
          </cell>
          <cell r="E371">
            <v>0.98976476999999996</v>
          </cell>
          <cell r="F371">
            <v>0.99359967000000005</v>
          </cell>
          <cell r="G371">
            <v>0.99450782999999998</v>
          </cell>
          <cell r="H371">
            <v>0.9952879</v>
          </cell>
          <cell r="I371">
            <v>0.99605297000000004</v>
          </cell>
          <cell r="J371"/>
          <cell r="K371"/>
        </row>
        <row r="372">
          <cell r="B372" t="str">
            <v>M357A</v>
          </cell>
          <cell r="C372">
            <v>1.04066547</v>
          </cell>
          <cell r="D372">
            <v>1.04169661</v>
          </cell>
          <cell r="E372">
            <v>1.04114968</v>
          </cell>
          <cell r="F372">
            <v>1.0448016600000001</v>
          </cell>
          <cell r="G372">
            <v>1.0457326300000001</v>
          </cell>
          <cell r="H372">
            <v>1.0465458999999999</v>
          </cell>
          <cell r="I372">
            <v>1.0473464100000001</v>
          </cell>
          <cell r="J372"/>
          <cell r="K372"/>
        </row>
        <row r="373">
          <cell r="B373" t="str">
            <v>DT50A</v>
          </cell>
          <cell r="C373">
            <v>1.00841636</v>
          </cell>
          <cell r="D373">
            <v>0.98878944999999996</v>
          </cell>
          <cell r="E373">
            <v>0.98895407999999996</v>
          </cell>
          <cell r="F373">
            <v>0.99277937999999999</v>
          </cell>
          <cell r="G373">
            <v>0.99369213999999995</v>
          </cell>
          <cell r="H373">
            <v>0.99447443000000002</v>
          </cell>
          <cell r="I373">
            <v>0.99523936999999996</v>
          </cell>
          <cell r="J373"/>
          <cell r="K373"/>
        </row>
        <row r="374">
          <cell r="B374" t="str">
            <v>WC08A</v>
          </cell>
          <cell r="C374">
            <v>0.91917406000000001</v>
          </cell>
          <cell r="D374">
            <v>0.81826155</v>
          </cell>
          <cell r="E374">
            <v>0.8171851</v>
          </cell>
          <cell r="F374">
            <v>0.82004131999999996</v>
          </cell>
          <cell r="G374">
            <v>0.82075540000000002</v>
          </cell>
          <cell r="H374">
            <v>0.82136439999999999</v>
          </cell>
          <cell r="I374">
            <v>0.82200236000000004</v>
          </cell>
          <cell r="J374"/>
          <cell r="K374"/>
        </row>
        <row r="375">
          <cell r="B375" t="str">
            <v>M359A</v>
          </cell>
          <cell r="C375">
            <v>1.0122099499999999</v>
          </cell>
          <cell r="D375">
            <v>1.01324367</v>
          </cell>
          <cell r="E375">
            <v>1.01241041</v>
          </cell>
          <cell r="F375">
            <v>1.0161020599999999</v>
          </cell>
          <cell r="G375">
            <v>1.01704415</v>
          </cell>
          <cell r="H375">
            <v>1.01785393</v>
          </cell>
          <cell r="I375">
            <v>1.01862981</v>
          </cell>
          <cell r="J375"/>
          <cell r="K375"/>
        </row>
        <row r="376">
          <cell r="B376" t="str">
            <v>SK02A</v>
          </cell>
          <cell r="C376">
            <v>0.76983424</v>
          </cell>
          <cell r="D376">
            <v>0.69091265999999996</v>
          </cell>
          <cell r="E376">
            <v>0.68951382000000006</v>
          </cell>
          <cell r="F376">
            <v>0.69188320999999997</v>
          </cell>
          <cell r="G376">
            <v>0.69253854999999997</v>
          </cell>
          <cell r="H376">
            <v>0.69310198999999995</v>
          </cell>
          <cell r="I376">
            <v>0.69362570999999995</v>
          </cell>
          <cell r="J376"/>
          <cell r="K376"/>
        </row>
        <row r="377">
          <cell r="B377" t="str">
            <v>DT54A</v>
          </cell>
          <cell r="C377">
            <v>0.98302480000000003</v>
          </cell>
          <cell r="D377">
            <v>0.98065654000000002</v>
          </cell>
          <cell r="E377">
            <v>0.97740302999999995</v>
          </cell>
          <cell r="F377">
            <v>0.98092436999999999</v>
          </cell>
          <cell r="G377">
            <v>0.98190966999999996</v>
          </cell>
          <cell r="H377">
            <v>0.98273295999999999</v>
          </cell>
          <cell r="I377">
            <v>0.98348944000000005</v>
          </cell>
          <cell r="J377"/>
          <cell r="K377"/>
        </row>
        <row r="378">
          <cell r="B378" t="str">
            <v>DT55A</v>
          </cell>
          <cell r="C378"/>
          <cell r="D378"/>
          <cell r="E378">
            <v>0.95487200000000005</v>
          </cell>
          <cell r="F378">
            <v>0.96048602000000005</v>
          </cell>
          <cell r="G378">
            <v>0.96142488000000004</v>
          </cell>
          <cell r="H378">
            <v>0.96220240999999995</v>
          </cell>
          <cell r="I378">
            <v>0.96295463000000003</v>
          </cell>
          <cell r="J378"/>
          <cell r="K378"/>
        </row>
        <row r="379"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</row>
        <row r="380">
          <cell r="B380" t="str">
            <v>Acciones en Pesos</v>
          </cell>
          <cell r="C380"/>
          <cell r="D380"/>
          <cell r="E380"/>
          <cell r="F380"/>
          <cell r="G380"/>
          <cell r="H380"/>
          <cell r="I380"/>
          <cell r="J380"/>
          <cell r="K380"/>
        </row>
        <row r="381"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</row>
        <row r="382">
          <cell r="B382" t="str">
            <v>GGAL</v>
          </cell>
          <cell r="C382">
            <v>5940</v>
          </cell>
          <cell r="D382">
            <v>5750</v>
          </cell>
          <cell r="E382">
            <v>5900</v>
          </cell>
          <cell r="F382">
            <v>5805</v>
          </cell>
          <cell r="G382">
            <v>5690</v>
          </cell>
          <cell r="H382">
            <v>5765</v>
          </cell>
          <cell r="I382">
            <v>6015</v>
          </cell>
          <cell r="J382"/>
          <cell r="K382"/>
        </row>
        <row r="383">
          <cell r="B383" t="str">
            <v>TXAR</v>
          </cell>
          <cell r="C383">
            <v>702.5</v>
          </cell>
          <cell r="D383">
            <v>698.5</v>
          </cell>
          <cell r="E383">
            <v>723.5</v>
          </cell>
          <cell r="F383">
            <v>709</v>
          </cell>
          <cell r="G383">
            <v>693</v>
          </cell>
          <cell r="H383">
            <v>717.5</v>
          </cell>
          <cell r="I383">
            <v>767</v>
          </cell>
          <cell r="J383"/>
          <cell r="K383"/>
        </row>
        <row r="384">
          <cell r="B384" t="str">
            <v>YPFD</v>
          </cell>
          <cell r="C384">
            <v>8330</v>
          </cell>
          <cell r="D384">
            <v>8460</v>
          </cell>
          <cell r="E384">
            <v>8270</v>
          </cell>
          <cell r="F384">
            <v>8430</v>
          </cell>
          <cell r="G384">
            <v>8235</v>
          </cell>
          <cell r="H384">
            <v>8220</v>
          </cell>
          <cell r="I384">
            <v>8240</v>
          </cell>
          <cell r="J384"/>
          <cell r="K384"/>
        </row>
        <row r="385">
          <cell r="B385" t="str">
            <v>PAMP</v>
          </cell>
          <cell r="C385">
            <v>5235</v>
          </cell>
          <cell r="D385">
            <v>5220</v>
          </cell>
          <cell r="E385">
            <v>5205</v>
          </cell>
          <cell r="F385">
            <v>5240</v>
          </cell>
          <cell r="G385">
            <v>5165</v>
          </cell>
          <cell r="H385">
            <v>5080</v>
          </cell>
          <cell r="I385">
            <v>5100</v>
          </cell>
          <cell r="J385"/>
          <cell r="K385"/>
        </row>
        <row r="386">
          <cell r="B386" t="str">
            <v>BBAR</v>
          </cell>
          <cell r="C386">
            <v>6965</v>
          </cell>
          <cell r="D386">
            <v>6760</v>
          </cell>
          <cell r="E386">
            <v>6980</v>
          </cell>
          <cell r="F386">
            <v>6950</v>
          </cell>
          <cell r="G386">
            <v>6820</v>
          </cell>
          <cell r="H386">
            <v>6785</v>
          </cell>
          <cell r="I386">
            <v>6940</v>
          </cell>
          <cell r="J386"/>
          <cell r="K386"/>
        </row>
        <row r="387">
          <cell r="B387" t="str">
            <v>ALUA</v>
          </cell>
          <cell r="C387">
            <v>849.5</v>
          </cell>
          <cell r="D387">
            <v>830</v>
          </cell>
          <cell r="E387">
            <v>845</v>
          </cell>
          <cell r="F387">
            <v>833</v>
          </cell>
          <cell r="G387">
            <v>816.5</v>
          </cell>
          <cell r="H387">
            <v>821</v>
          </cell>
          <cell r="I387">
            <v>835</v>
          </cell>
          <cell r="J387"/>
          <cell r="K387"/>
        </row>
        <row r="388">
          <cell r="B388" t="str">
            <v>LOMA</v>
          </cell>
          <cell r="C388">
            <v>3222.5</v>
          </cell>
          <cell r="D388">
            <v>3215</v>
          </cell>
          <cell r="E388">
            <v>3257.5</v>
          </cell>
          <cell r="F388">
            <v>3257.5</v>
          </cell>
          <cell r="G388">
            <v>3232.5</v>
          </cell>
          <cell r="H388">
            <v>3142.5</v>
          </cell>
          <cell r="I388">
            <v>3152.5</v>
          </cell>
          <cell r="J388"/>
          <cell r="K388"/>
        </row>
        <row r="389">
          <cell r="B389" t="str">
            <v>CEPU</v>
          </cell>
          <cell r="C389">
            <v>2119</v>
          </cell>
          <cell r="D389">
            <v>2056</v>
          </cell>
          <cell r="E389">
            <v>2071</v>
          </cell>
          <cell r="F389">
            <v>2078</v>
          </cell>
          <cell r="G389">
            <v>2034</v>
          </cell>
          <cell r="H389">
            <v>1993</v>
          </cell>
          <cell r="I389">
            <v>1995</v>
          </cell>
          <cell r="J389"/>
          <cell r="K389"/>
        </row>
        <row r="390">
          <cell r="B390" t="str">
            <v>BYMA</v>
          </cell>
          <cell r="C390">
            <v>257.75</v>
          </cell>
          <cell r="D390">
            <v>256.75</v>
          </cell>
          <cell r="E390">
            <v>257.25</v>
          </cell>
          <cell r="F390">
            <v>252</v>
          </cell>
          <cell r="G390">
            <v>242</v>
          </cell>
          <cell r="H390">
            <v>234.75</v>
          </cell>
          <cell r="I390">
            <v>240</v>
          </cell>
          <cell r="J390"/>
          <cell r="K390"/>
        </row>
        <row r="391">
          <cell r="B391" t="str">
            <v>SUPV</v>
          </cell>
          <cell r="C391">
            <v>2331</v>
          </cell>
          <cell r="D391">
            <v>2273</v>
          </cell>
          <cell r="E391">
            <v>2386</v>
          </cell>
          <cell r="F391">
            <v>2352</v>
          </cell>
          <cell r="G391">
            <v>2333</v>
          </cell>
          <cell r="H391">
            <v>2333</v>
          </cell>
          <cell r="I391">
            <v>2426</v>
          </cell>
          <cell r="J391"/>
          <cell r="K391"/>
        </row>
        <row r="392">
          <cell r="B392" t="str">
            <v>TGNO4</v>
          </cell>
          <cell r="C392">
            <v>3252.5</v>
          </cell>
          <cell r="D392">
            <v>3195</v>
          </cell>
          <cell r="E392">
            <v>3265</v>
          </cell>
          <cell r="F392">
            <v>3160</v>
          </cell>
          <cell r="G392">
            <v>3122.5</v>
          </cell>
          <cell r="H392">
            <v>3022.5</v>
          </cell>
          <cell r="I392">
            <v>2972.5</v>
          </cell>
          <cell r="J392"/>
          <cell r="K392"/>
        </row>
        <row r="393">
          <cell r="B393" t="str">
            <v>CRES</v>
          </cell>
          <cell r="C393">
            <v>1851</v>
          </cell>
          <cell r="D393">
            <v>1793</v>
          </cell>
          <cell r="E393">
            <v>1840</v>
          </cell>
          <cell r="F393">
            <v>1860</v>
          </cell>
          <cell r="G393">
            <v>1842</v>
          </cell>
          <cell r="H393">
            <v>1811</v>
          </cell>
          <cell r="I393">
            <v>1818</v>
          </cell>
          <cell r="J393"/>
          <cell r="K393"/>
        </row>
        <row r="394">
          <cell r="B394" t="str">
            <v>TECO2</v>
          </cell>
          <cell r="C394">
            <v>3977.5</v>
          </cell>
          <cell r="D394">
            <v>4017.5</v>
          </cell>
          <cell r="E394">
            <v>4052.5</v>
          </cell>
          <cell r="F394">
            <v>4042.5</v>
          </cell>
          <cell r="G394">
            <v>3960</v>
          </cell>
          <cell r="H394">
            <v>4045</v>
          </cell>
          <cell r="I394">
            <v>4275</v>
          </cell>
          <cell r="J394"/>
          <cell r="K394"/>
        </row>
        <row r="395">
          <cell r="B395" t="str">
            <v>VALO</v>
          </cell>
          <cell r="C395">
            <v>540.5</v>
          </cell>
          <cell r="D395">
            <v>529.5</v>
          </cell>
          <cell r="E395">
            <v>525</v>
          </cell>
          <cell r="F395">
            <v>529</v>
          </cell>
          <cell r="G395">
            <v>523</v>
          </cell>
          <cell r="H395">
            <v>527</v>
          </cell>
          <cell r="I395">
            <v>525</v>
          </cell>
          <cell r="J395"/>
          <cell r="K395"/>
        </row>
        <row r="396">
          <cell r="B396" t="str">
            <v>TGSU2</v>
          </cell>
          <cell r="C396">
            <v>8415</v>
          </cell>
          <cell r="D396">
            <v>8395</v>
          </cell>
          <cell r="E396">
            <v>8370</v>
          </cell>
          <cell r="F396">
            <v>8445</v>
          </cell>
          <cell r="G396">
            <v>8365</v>
          </cell>
          <cell r="H396">
            <v>8435</v>
          </cell>
          <cell r="I396">
            <v>8560</v>
          </cell>
          <cell r="J396"/>
          <cell r="K396"/>
        </row>
        <row r="397">
          <cell r="B397" t="str">
            <v>AUSO</v>
          </cell>
          <cell r="C397">
            <v>2900</v>
          </cell>
          <cell r="D397">
            <v>2855</v>
          </cell>
          <cell r="E397">
            <v>2790</v>
          </cell>
          <cell r="F397">
            <v>2760</v>
          </cell>
          <cell r="G397">
            <v>2770</v>
          </cell>
          <cell r="H397">
            <v>2740</v>
          </cell>
          <cell r="I397">
            <v>2785</v>
          </cell>
          <cell r="J397"/>
          <cell r="K397"/>
        </row>
        <row r="398">
          <cell r="B398" t="str">
            <v>METR</v>
          </cell>
          <cell r="C398">
            <v>2358</v>
          </cell>
          <cell r="D398">
            <v>2335</v>
          </cell>
          <cell r="E398">
            <v>2351</v>
          </cell>
          <cell r="F398">
            <v>2345</v>
          </cell>
          <cell r="G398">
            <v>2345</v>
          </cell>
          <cell r="H398">
            <v>2341</v>
          </cell>
          <cell r="I398">
            <v>2354</v>
          </cell>
          <cell r="J398"/>
          <cell r="K398"/>
        </row>
        <row r="399">
          <cell r="B399" t="str">
            <v>ECOG</v>
          </cell>
          <cell r="C399">
            <v>2433</v>
          </cell>
          <cell r="D399">
            <v>2391</v>
          </cell>
          <cell r="E399">
            <v>2380</v>
          </cell>
          <cell r="F399">
            <v>2370</v>
          </cell>
          <cell r="G399">
            <v>2358</v>
          </cell>
          <cell r="H399">
            <v>2292</v>
          </cell>
          <cell r="I399">
            <v>2288</v>
          </cell>
          <cell r="J399"/>
          <cell r="K399"/>
        </row>
        <row r="400">
          <cell r="B400" t="str">
            <v>COME</v>
          </cell>
          <cell r="C400">
            <v>39.07</v>
          </cell>
          <cell r="D400">
            <v>38.43</v>
          </cell>
          <cell r="E400">
            <v>38.28</v>
          </cell>
          <cell r="F400">
            <v>37.700000000000003</v>
          </cell>
          <cell r="G400">
            <v>36.33</v>
          </cell>
          <cell r="H400">
            <v>37.68</v>
          </cell>
          <cell r="I400">
            <v>37.590000000000003</v>
          </cell>
          <cell r="J400"/>
          <cell r="K400"/>
        </row>
        <row r="401">
          <cell r="B401" t="str">
            <v>MIRG</v>
          </cell>
          <cell r="C401">
            <v>1740</v>
          </cell>
          <cell r="D401">
            <v>1745</v>
          </cell>
          <cell r="E401">
            <v>1710</v>
          </cell>
          <cell r="F401">
            <v>1705</v>
          </cell>
          <cell r="G401">
            <v>1710</v>
          </cell>
          <cell r="H401">
            <v>1710</v>
          </cell>
          <cell r="I401">
            <v>1745</v>
          </cell>
          <cell r="J401"/>
          <cell r="K401"/>
        </row>
        <row r="402">
          <cell r="B402" t="str">
            <v>CVH</v>
          </cell>
          <cell r="C402">
            <v>9260</v>
          </cell>
          <cell r="D402">
            <v>9250</v>
          </cell>
          <cell r="E402">
            <v>9220</v>
          </cell>
          <cell r="F402">
            <v>9200</v>
          </cell>
          <cell r="G402">
            <v>9090</v>
          </cell>
          <cell r="H402">
            <v>9140</v>
          </cell>
          <cell r="I402">
            <v>9400</v>
          </cell>
          <cell r="J402"/>
          <cell r="K402"/>
        </row>
        <row r="403">
          <cell r="B403" t="str">
            <v>TRAN</v>
          </cell>
          <cell r="C403">
            <v>2705</v>
          </cell>
          <cell r="D403">
            <v>2682.5</v>
          </cell>
          <cell r="E403">
            <v>2700</v>
          </cell>
          <cell r="F403">
            <v>2560</v>
          </cell>
          <cell r="G403">
            <v>2419</v>
          </cell>
          <cell r="H403">
            <v>2408</v>
          </cell>
          <cell r="I403">
            <v>2415</v>
          </cell>
          <cell r="J403"/>
          <cell r="K403"/>
        </row>
        <row r="404">
          <cell r="B404" t="str">
            <v>HARG</v>
          </cell>
          <cell r="C404">
            <v>1330</v>
          </cell>
          <cell r="D404">
            <v>1340</v>
          </cell>
          <cell r="E404">
            <v>1320</v>
          </cell>
          <cell r="F404">
            <v>1300</v>
          </cell>
          <cell r="G404">
            <v>1260</v>
          </cell>
          <cell r="H404">
            <v>1260</v>
          </cell>
          <cell r="I404">
            <v>1285</v>
          </cell>
          <cell r="J404"/>
          <cell r="K404"/>
        </row>
        <row r="405">
          <cell r="B405" t="str">
            <v>EDN</v>
          </cell>
          <cell r="C405">
            <v>1653</v>
          </cell>
          <cell r="D405">
            <v>1660</v>
          </cell>
          <cell r="E405">
            <v>1672</v>
          </cell>
          <cell r="F405">
            <v>1660</v>
          </cell>
          <cell r="G405">
            <v>1575</v>
          </cell>
          <cell r="H405">
            <v>1549</v>
          </cell>
          <cell r="I405">
            <v>1542</v>
          </cell>
          <cell r="J405"/>
          <cell r="K405"/>
        </row>
        <row r="406">
          <cell r="B406" t="str">
            <v>MASU</v>
          </cell>
          <cell r="C406">
            <v>0.01</v>
          </cell>
          <cell r="D406">
            <v>0.01</v>
          </cell>
          <cell r="E406">
            <v>0.01</v>
          </cell>
          <cell r="F406">
            <v>0.01</v>
          </cell>
          <cell r="G406">
            <v>0.01</v>
          </cell>
          <cell r="H406">
            <v>0.01</v>
          </cell>
          <cell r="I406">
            <v>0.01</v>
          </cell>
          <cell r="J406"/>
          <cell r="K406"/>
        </row>
        <row r="407">
          <cell r="B407" t="str">
            <v>INVJ</v>
          </cell>
          <cell r="C407">
            <v>389.5</v>
          </cell>
          <cell r="D407">
            <v>388</v>
          </cell>
          <cell r="E407">
            <v>385.5</v>
          </cell>
          <cell r="F407">
            <v>379</v>
          </cell>
          <cell r="G407">
            <v>381</v>
          </cell>
          <cell r="H407">
            <v>369</v>
          </cell>
          <cell r="I407">
            <v>374.5</v>
          </cell>
          <cell r="J407"/>
          <cell r="K407"/>
        </row>
        <row r="408">
          <cell r="B408" t="str">
            <v>IRSA</v>
          </cell>
          <cell r="C408">
            <v>2290</v>
          </cell>
          <cell r="D408">
            <v>2225</v>
          </cell>
          <cell r="E408">
            <v>2270</v>
          </cell>
          <cell r="F408">
            <v>2285</v>
          </cell>
          <cell r="G408">
            <v>2305</v>
          </cell>
          <cell r="H408">
            <v>2270</v>
          </cell>
          <cell r="I408">
            <v>2305</v>
          </cell>
          <cell r="J408"/>
          <cell r="K408"/>
        </row>
        <row r="409">
          <cell r="B409" t="str">
            <v>DGCE</v>
          </cell>
          <cell r="C409">
            <v>1850</v>
          </cell>
          <cell r="D409">
            <v>1850</v>
          </cell>
          <cell r="E409">
            <v>1850</v>
          </cell>
          <cell r="F409">
            <v>1850</v>
          </cell>
          <cell r="G409">
            <v>1850</v>
          </cell>
          <cell r="H409">
            <v>1850</v>
          </cell>
          <cell r="I409">
            <v>1850</v>
          </cell>
          <cell r="J409"/>
          <cell r="K409"/>
        </row>
        <row r="410">
          <cell r="B410" t="str">
            <v>BHIP</v>
          </cell>
          <cell r="C410">
            <v>259</v>
          </cell>
          <cell r="D410">
            <v>251</v>
          </cell>
          <cell r="E410">
            <v>253.5</v>
          </cell>
          <cell r="F410">
            <v>246.5</v>
          </cell>
          <cell r="G410">
            <v>243.5</v>
          </cell>
          <cell r="H410">
            <v>240.5</v>
          </cell>
          <cell r="I410">
            <v>241</v>
          </cell>
          <cell r="J410"/>
          <cell r="K410"/>
        </row>
        <row r="411">
          <cell r="B411"/>
          <cell r="C411"/>
          <cell r="D411"/>
          <cell r="E411"/>
          <cell r="F411"/>
          <cell r="G411"/>
          <cell r="H411"/>
          <cell r="I411"/>
          <cell r="J411"/>
          <cell r="K411"/>
        </row>
        <row r="412">
          <cell r="B412" t="str">
            <v>Acciones en USD</v>
          </cell>
          <cell r="C412"/>
          <cell r="D412"/>
          <cell r="E412"/>
          <cell r="F412"/>
          <cell r="G412"/>
          <cell r="H412"/>
          <cell r="I412"/>
          <cell r="J412"/>
          <cell r="K412"/>
        </row>
        <row r="413"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</row>
        <row r="414">
          <cell r="B414" t="str">
            <v>YPFDD</v>
          </cell>
          <cell r="C414">
            <v>5.43</v>
          </cell>
          <cell r="D414">
            <v>5.51</v>
          </cell>
          <cell r="E414">
            <v>5.38</v>
          </cell>
          <cell r="F414">
            <v>5.48</v>
          </cell>
          <cell r="G414">
            <v>5.36</v>
          </cell>
          <cell r="H414">
            <v>5.31</v>
          </cell>
          <cell r="I414">
            <v>5.29</v>
          </cell>
          <cell r="J414"/>
          <cell r="K414"/>
        </row>
        <row r="415">
          <cell r="B415" t="str">
            <v>VALOD</v>
          </cell>
          <cell r="C415">
            <v>0.34899999999999998</v>
          </cell>
          <cell r="D415">
            <v>0.34599999999999997</v>
          </cell>
          <cell r="E415">
            <v>0.34300000000000003</v>
          </cell>
          <cell r="F415">
            <v>0.34499999999999997</v>
          </cell>
          <cell r="G415">
            <v>0.34399999999999997</v>
          </cell>
          <cell r="H415">
            <v>0.33700000000000002</v>
          </cell>
          <cell r="I415">
            <v>0.34200000000000003</v>
          </cell>
          <cell r="J415"/>
          <cell r="K415"/>
        </row>
        <row r="416">
          <cell r="B416" t="str">
            <v>LOMAD</v>
          </cell>
          <cell r="C416">
            <v>2.085</v>
          </cell>
          <cell r="D416">
            <v>2.085</v>
          </cell>
          <cell r="E416">
            <v>2.1349999999999998</v>
          </cell>
          <cell r="F416">
            <v>2.1150000000000002</v>
          </cell>
          <cell r="G416">
            <v>2.09</v>
          </cell>
          <cell r="H416">
            <v>2.0299999999999998</v>
          </cell>
          <cell r="I416">
            <v>2.0099999999999998</v>
          </cell>
          <cell r="J416"/>
          <cell r="K416"/>
        </row>
        <row r="417">
          <cell r="B417" t="str">
            <v>PAMPD</v>
          </cell>
          <cell r="C417">
            <v>3.4</v>
          </cell>
          <cell r="D417">
            <v>3.39</v>
          </cell>
          <cell r="E417">
            <v>3.4</v>
          </cell>
          <cell r="F417">
            <v>3.4049999999999998</v>
          </cell>
          <cell r="G417">
            <v>3.36</v>
          </cell>
          <cell r="H417">
            <v>3.3</v>
          </cell>
          <cell r="I417">
            <v>3.2749999999999999</v>
          </cell>
          <cell r="J417"/>
          <cell r="K417"/>
        </row>
        <row r="418">
          <cell r="B418" t="str">
            <v>EDND</v>
          </cell>
          <cell r="C418">
            <v>1.085</v>
          </cell>
          <cell r="D418">
            <v>1.07</v>
          </cell>
          <cell r="E418">
            <v>1.0900000000000001</v>
          </cell>
          <cell r="F418">
            <v>1.07</v>
          </cell>
          <cell r="G418">
            <v>1.02</v>
          </cell>
          <cell r="H418">
            <v>1.0049999999999999</v>
          </cell>
          <cell r="I418">
            <v>1</v>
          </cell>
          <cell r="J418"/>
          <cell r="K418"/>
        </row>
        <row r="419">
          <cell r="B419" t="str">
            <v>BBARD</v>
          </cell>
          <cell r="C419">
            <v>4.5350000000000001</v>
          </cell>
          <cell r="D419">
            <v>4.4050000000000002</v>
          </cell>
          <cell r="E419">
            <v>4.5449999999999999</v>
          </cell>
          <cell r="F419">
            <v>4.49</v>
          </cell>
          <cell r="G419">
            <v>4.45</v>
          </cell>
          <cell r="H419">
            <v>4.41</v>
          </cell>
          <cell r="I419">
            <v>4.4450000000000003</v>
          </cell>
          <cell r="J419"/>
          <cell r="K419"/>
        </row>
        <row r="420">
          <cell r="B420" t="str">
            <v>GGALD</v>
          </cell>
          <cell r="C420">
            <v>3.87</v>
          </cell>
          <cell r="D420">
            <v>3.75</v>
          </cell>
          <cell r="E420">
            <v>3.84</v>
          </cell>
          <cell r="F420">
            <v>3.77</v>
          </cell>
          <cell r="G420">
            <v>3.7050000000000001</v>
          </cell>
          <cell r="H420">
            <v>3.75</v>
          </cell>
          <cell r="I420">
            <v>3.8849999999999998</v>
          </cell>
          <cell r="J420"/>
          <cell r="K420"/>
        </row>
        <row r="421">
          <cell r="B421" t="str">
            <v>SUPVD</v>
          </cell>
          <cell r="C421">
            <v>1.5349999999999999</v>
          </cell>
          <cell r="D421">
            <v>1.4850000000000001</v>
          </cell>
          <cell r="E421">
            <v>1.55</v>
          </cell>
          <cell r="F421">
            <v>1.5349999999999999</v>
          </cell>
          <cell r="G421">
            <v>1.5149999999999999</v>
          </cell>
          <cell r="H421">
            <v>1.52</v>
          </cell>
          <cell r="I421">
            <v>1.57</v>
          </cell>
          <cell r="J421"/>
          <cell r="K421"/>
        </row>
        <row r="422">
          <cell r="B422"/>
          <cell r="C422"/>
          <cell r="D422"/>
          <cell r="E422"/>
          <cell r="F422"/>
          <cell r="G422"/>
          <cell r="H422"/>
          <cell r="I422"/>
          <cell r="J422"/>
          <cell r="K422"/>
        </row>
        <row r="423">
          <cell r="B423" t="str">
            <v>Cedears en Pesos</v>
          </cell>
          <cell r="C423"/>
          <cell r="D423"/>
          <cell r="E423"/>
          <cell r="F423"/>
          <cell r="G423"/>
          <cell r="H423"/>
          <cell r="I423"/>
          <cell r="J423"/>
          <cell r="K423"/>
        </row>
        <row r="424"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</row>
        <row r="425">
          <cell r="B425" t="str">
            <v>MELI</v>
          </cell>
          <cell r="C425">
            <v>25220</v>
          </cell>
          <cell r="D425">
            <v>24690</v>
          </cell>
          <cell r="E425">
            <v>24970</v>
          </cell>
          <cell r="F425">
            <v>24740</v>
          </cell>
          <cell r="G425">
            <v>24890</v>
          </cell>
          <cell r="H425">
            <v>25460</v>
          </cell>
          <cell r="I425">
            <v>25280</v>
          </cell>
          <cell r="J425"/>
          <cell r="K425"/>
        </row>
        <row r="426">
          <cell r="B426" t="str">
            <v>NU</v>
          </cell>
          <cell r="C426">
            <v>12550</v>
          </cell>
          <cell r="D426">
            <v>11990</v>
          </cell>
          <cell r="E426">
            <v>11970</v>
          </cell>
          <cell r="F426">
            <v>11820</v>
          </cell>
          <cell r="G426">
            <v>11810</v>
          </cell>
          <cell r="H426">
            <v>12300</v>
          </cell>
          <cell r="I426">
            <v>12340</v>
          </cell>
          <cell r="J426"/>
          <cell r="K426"/>
        </row>
        <row r="427">
          <cell r="B427" t="str">
            <v>VALE</v>
          </cell>
          <cell r="C427">
            <v>10800</v>
          </cell>
          <cell r="D427">
            <v>10710</v>
          </cell>
          <cell r="E427">
            <v>10540</v>
          </cell>
          <cell r="F427">
            <v>10590</v>
          </cell>
          <cell r="G427">
            <v>10680</v>
          </cell>
          <cell r="H427">
            <v>10630</v>
          </cell>
          <cell r="I427">
            <v>10400</v>
          </cell>
          <cell r="J427"/>
          <cell r="K427"/>
        </row>
        <row r="428">
          <cell r="B428" t="str">
            <v>BBDC3</v>
          </cell>
          <cell r="C428">
            <v>6100</v>
          </cell>
          <cell r="D428">
            <v>6100</v>
          </cell>
          <cell r="E428">
            <v>5995</v>
          </cell>
          <cell r="F428">
            <v>5795</v>
          </cell>
          <cell r="G428">
            <v>5725</v>
          </cell>
          <cell r="H428">
            <v>5960</v>
          </cell>
          <cell r="I428">
            <v>5870</v>
          </cell>
          <cell r="J428"/>
          <cell r="K428"/>
        </row>
        <row r="429">
          <cell r="B429" t="str">
            <v>VALE3</v>
          </cell>
          <cell r="C429">
            <v>21610</v>
          </cell>
          <cell r="D429">
            <v>21350</v>
          </cell>
          <cell r="E429">
            <v>21080</v>
          </cell>
          <cell r="F429">
            <v>21240</v>
          </cell>
          <cell r="G429">
            <v>21480</v>
          </cell>
          <cell r="H429">
            <v>21300</v>
          </cell>
          <cell r="I429">
            <v>20710</v>
          </cell>
          <cell r="J429"/>
          <cell r="K429"/>
        </row>
        <row r="430">
          <cell r="B430" t="str">
            <v>ITUB3</v>
          </cell>
          <cell r="C430">
            <v>17400</v>
          </cell>
          <cell r="D430">
            <v>17070</v>
          </cell>
          <cell r="E430">
            <v>18320</v>
          </cell>
          <cell r="F430">
            <v>16780</v>
          </cell>
          <cell r="G430">
            <v>16650</v>
          </cell>
          <cell r="H430">
            <v>17230</v>
          </cell>
          <cell r="I430">
            <v>17430</v>
          </cell>
          <cell r="J430"/>
          <cell r="K430"/>
        </row>
        <row r="431">
          <cell r="B431" t="str">
            <v>PETR3</v>
          </cell>
          <cell r="C431">
            <v>20480</v>
          </cell>
          <cell r="D431">
            <v>20890</v>
          </cell>
          <cell r="E431">
            <v>20780</v>
          </cell>
          <cell r="F431">
            <v>21240</v>
          </cell>
          <cell r="G431">
            <v>22260</v>
          </cell>
          <cell r="H431">
            <v>21090</v>
          </cell>
          <cell r="I431">
            <v>21340</v>
          </cell>
          <cell r="J431"/>
          <cell r="K431"/>
        </row>
        <row r="432">
          <cell r="B432" t="str">
            <v>SUZB3</v>
          </cell>
          <cell r="C432">
            <v>13950</v>
          </cell>
          <cell r="D432">
            <v>13830</v>
          </cell>
          <cell r="E432">
            <v>13590</v>
          </cell>
          <cell r="F432">
            <v>13590</v>
          </cell>
          <cell r="G432">
            <v>13840</v>
          </cell>
          <cell r="H432">
            <v>13830</v>
          </cell>
          <cell r="I432">
            <v>13920</v>
          </cell>
          <cell r="J432"/>
          <cell r="K432"/>
        </row>
        <row r="433">
          <cell r="B433" t="str">
            <v>SBSP3</v>
          </cell>
          <cell r="C433">
            <v>10520</v>
          </cell>
          <cell r="D433">
            <v>10540</v>
          </cell>
          <cell r="E433">
            <v>10280</v>
          </cell>
          <cell r="F433">
            <v>10140</v>
          </cell>
          <cell r="G433">
            <v>10310</v>
          </cell>
          <cell r="H433">
            <v>10650</v>
          </cell>
          <cell r="I433">
            <v>10520</v>
          </cell>
          <cell r="J433"/>
          <cell r="K433"/>
        </row>
        <row r="434">
          <cell r="B434" t="str">
            <v>ABEV3</v>
          </cell>
          <cell r="C434">
            <v>5175</v>
          </cell>
          <cell r="D434">
            <v>5320</v>
          </cell>
          <cell r="E434">
            <v>5290</v>
          </cell>
          <cell r="F434">
            <v>5390</v>
          </cell>
          <cell r="G434">
            <v>5280</v>
          </cell>
          <cell r="H434">
            <v>5500</v>
          </cell>
          <cell r="I434">
            <v>5385</v>
          </cell>
          <cell r="J434"/>
          <cell r="K434"/>
        </row>
        <row r="435">
          <cell r="B435" t="str">
            <v>MSFT</v>
          </cell>
          <cell r="C435">
            <v>29200</v>
          </cell>
          <cell r="D435">
            <v>28700</v>
          </cell>
          <cell r="E435">
            <v>29060</v>
          </cell>
          <cell r="F435">
            <v>28520</v>
          </cell>
          <cell r="G435">
            <v>28860</v>
          </cell>
          <cell r="H435">
            <v>28840</v>
          </cell>
          <cell r="I435">
            <v>29000</v>
          </cell>
          <cell r="J435"/>
          <cell r="K435"/>
        </row>
        <row r="436">
          <cell r="B436" t="str">
            <v>META</v>
          </cell>
          <cell r="C436">
            <v>51250</v>
          </cell>
          <cell r="D436">
            <v>49680</v>
          </cell>
          <cell r="E436">
            <v>49640</v>
          </cell>
          <cell r="F436">
            <v>47680</v>
          </cell>
          <cell r="G436">
            <v>47720</v>
          </cell>
          <cell r="H436">
            <v>47040</v>
          </cell>
          <cell r="I436">
            <v>47740</v>
          </cell>
          <cell r="J436"/>
          <cell r="K436"/>
        </row>
        <row r="437">
          <cell r="B437" t="str">
            <v>ITUB</v>
          </cell>
          <cell r="C437">
            <v>15980</v>
          </cell>
          <cell r="D437">
            <v>15640</v>
          </cell>
          <cell r="E437">
            <v>15370</v>
          </cell>
          <cell r="F437">
            <v>15310</v>
          </cell>
          <cell r="G437">
            <v>15380</v>
          </cell>
          <cell r="H437">
            <v>15870</v>
          </cell>
          <cell r="I437">
            <v>15870</v>
          </cell>
          <cell r="J437"/>
          <cell r="K437"/>
        </row>
        <row r="438">
          <cell r="B438" t="str">
            <v>PBR</v>
          </cell>
          <cell r="C438">
            <v>40980</v>
          </cell>
          <cell r="D438">
            <v>41800</v>
          </cell>
          <cell r="E438">
            <v>40840</v>
          </cell>
          <cell r="F438">
            <v>42160</v>
          </cell>
          <cell r="G438">
            <v>41480</v>
          </cell>
          <cell r="H438">
            <v>41900</v>
          </cell>
          <cell r="I438">
            <v>42020</v>
          </cell>
          <cell r="J438"/>
          <cell r="K438"/>
        </row>
        <row r="439">
          <cell r="B439" t="str">
            <v>VIST</v>
          </cell>
          <cell r="C439">
            <v>37120</v>
          </cell>
          <cell r="D439">
            <v>37700</v>
          </cell>
          <cell r="E439">
            <v>37760</v>
          </cell>
          <cell r="F439">
            <v>38900</v>
          </cell>
          <cell r="G439">
            <v>38420</v>
          </cell>
          <cell r="H439">
            <v>38460</v>
          </cell>
          <cell r="I439">
            <v>38940</v>
          </cell>
          <cell r="J439"/>
          <cell r="K439"/>
        </row>
        <row r="440">
          <cell r="B440" t="str">
            <v>PAGS</v>
          </cell>
          <cell r="C440"/>
          <cell r="D440"/>
          <cell r="E440">
            <v>5975</v>
          </cell>
          <cell r="F440">
            <v>5910</v>
          </cell>
          <cell r="G440">
            <v>6000</v>
          </cell>
          <cell r="H440">
            <v>6340</v>
          </cell>
          <cell r="I440">
            <v>6230</v>
          </cell>
          <cell r="J440"/>
          <cell r="K440"/>
        </row>
        <row r="441">
          <cell r="B441" t="str">
            <v>BBD</v>
          </cell>
          <cell r="C441"/>
          <cell r="D441"/>
          <cell r="E441">
            <v>6490</v>
          </cell>
          <cell r="F441">
            <v>6440</v>
          </cell>
          <cell r="G441">
            <v>6415</v>
          </cell>
          <cell r="H441">
            <v>6690</v>
          </cell>
          <cell r="I441">
            <v>6670</v>
          </cell>
          <cell r="J441"/>
          <cell r="K441"/>
        </row>
        <row r="442">
          <cell r="B442" t="str">
            <v>SID</v>
          </cell>
          <cell r="C442"/>
          <cell r="D442"/>
          <cell r="E442">
            <v>14930</v>
          </cell>
          <cell r="F442">
            <v>14440</v>
          </cell>
          <cell r="G442">
            <v>14870</v>
          </cell>
          <cell r="H442">
            <v>14950</v>
          </cell>
          <cell r="I442">
            <v>14450</v>
          </cell>
          <cell r="J442"/>
          <cell r="K442"/>
        </row>
        <row r="443">
          <cell r="B443" t="str">
            <v>SMH</v>
          </cell>
          <cell r="C443">
            <v>18930</v>
          </cell>
          <cell r="D443">
            <v>18320</v>
          </cell>
          <cell r="E443">
            <v>18080</v>
          </cell>
          <cell r="F443">
            <v>17510</v>
          </cell>
          <cell r="G443">
            <v>17880</v>
          </cell>
          <cell r="H443">
            <v>17810</v>
          </cell>
          <cell r="I443">
            <v>18220</v>
          </cell>
          <cell r="J443"/>
          <cell r="K443"/>
        </row>
        <row r="444">
          <cell r="B444" t="str">
            <v>GOOGL</v>
          </cell>
          <cell r="C444">
            <v>9870</v>
          </cell>
          <cell r="D444">
            <v>9715</v>
          </cell>
          <cell r="E444">
            <v>9755</v>
          </cell>
          <cell r="F444">
            <v>9530</v>
          </cell>
          <cell r="G444">
            <v>9670</v>
          </cell>
          <cell r="H444">
            <v>9550</v>
          </cell>
          <cell r="I444">
            <v>9460</v>
          </cell>
          <cell r="J444"/>
          <cell r="K444"/>
        </row>
        <row r="445"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</row>
        <row r="446">
          <cell r="B446" t="str">
            <v>Cedears en USD</v>
          </cell>
          <cell r="C446"/>
          <cell r="D446"/>
          <cell r="E446"/>
          <cell r="F446"/>
          <cell r="G446"/>
          <cell r="H446"/>
          <cell r="I446"/>
          <cell r="J446"/>
          <cell r="K446"/>
        </row>
        <row r="447"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</row>
        <row r="448">
          <cell r="B448" t="str">
            <v>VALED</v>
          </cell>
          <cell r="C448">
            <v>7.04</v>
          </cell>
          <cell r="D448">
            <v>6.95</v>
          </cell>
          <cell r="E448">
            <v>6.87</v>
          </cell>
          <cell r="F448">
            <v>6.86</v>
          </cell>
          <cell r="G448">
            <v>6.94</v>
          </cell>
          <cell r="H448">
            <v>6.93</v>
          </cell>
          <cell r="I448">
            <v>6.73</v>
          </cell>
          <cell r="J448"/>
          <cell r="K448"/>
        </row>
        <row r="449">
          <cell r="B449" t="str">
            <v>PBRD</v>
          </cell>
          <cell r="C449">
            <v>26.69</v>
          </cell>
          <cell r="D449">
            <v>27.27</v>
          </cell>
          <cell r="E449">
            <v>26.61</v>
          </cell>
          <cell r="F449">
            <v>27.52</v>
          </cell>
          <cell r="G449">
            <v>26.97</v>
          </cell>
          <cell r="H449">
            <v>27.06</v>
          </cell>
          <cell r="I449">
            <v>27.19</v>
          </cell>
          <cell r="J449"/>
          <cell r="K449"/>
        </row>
        <row r="450">
          <cell r="B450" t="str">
            <v>PAGSD</v>
          </cell>
          <cell r="C450">
            <v>3.855</v>
          </cell>
          <cell r="D450">
            <v>3.7749999999999999</v>
          </cell>
          <cell r="E450">
            <v>3.88</v>
          </cell>
          <cell r="F450">
            <v>3.8849999999999998</v>
          </cell>
          <cell r="G450">
            <v>3.9</v>
          </cell>
          <cell r="H450">
            <v>4.1050000000000004</v>
          </cell>
          <cell r="I450">
            <v>4.04</v>
          </cell>
          <cell r="J450"/>
          <cell r="K450"/>
        </row>
        <row r="451">
          <cell r="B451" t="str">
            <v>VISTD</v>
          </cell>
          <cell r="C451">
            <v>24.21</v>
          </cell>
          <cell r="D451">
            <v>24.48</v>
          </cell>
          <cell r="E451">
            <v>24.63</v>
          </cell>
          <cell r="F451">
            <v>25.39</v>
          </cell>
          <cell r="G451">
            <v>24.94</v>
          </cell>
          <cell r="H451">
            <v>24.9</v>
          </cell>
          <cell r="I451">
            <v>25.19</v>
          </cell>
          <cell r="J451"/>
          <cell r="K451"/>
        </row>
        <row r="452">
          <cell r="B452" t="str">
            <v>BBDD</v>
          </cell>
          <cell r="C452">
            <v>4.3899999999999997</v>
          </cell>
          <cell r="D452">
            <v>4.33</v>
          </cell>
          <cell r="E452">
            <v>4.2300000000000004</v>
          </cell>
          <cell r="F452">
            <v>4.1900000000000004</v>
          </cell>
          <cell r="G452">
            <v>4.1749999999999998</v>
          </cell>
          <cell r="H452">
            <v>4.34</v>
          </cell>
          <cell r="I452">
            <v>4.32</v>
          </cell>
          <cell r="J452"/>
          <cell r="K452"/>
        </row>
        <row r="453">
          <cell r="B453" t="str">
            <v>SIDD</v>
          </cell>
          <cell r="C453">
            <v>10.6</v>
          </cell>
          <cell r="D453">
            <v>9.99</v>
          </cell>
          <cell r="E453">
            <v>9.7799999999999994</v>
          </cell>
          <cell r="F453">
            <v>9.4600000000000009</v>
          </cell>
          <cell r="G453">
            <v>9.65</v>
          </cell>
          <cell r="H453">
            <v>9.65</v>
          </cell>
          <cell r="I453">
            <v>9.48</v>
          </cell>
          <cell r="J453"/>
          <cell r="K453"/>
        </row>
        <row r="454"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</row>
        <row r="455">
          <cell r="B455" t="str">
            <v>ADR</v>
          </cell>
          <cell r="C455"/>
          <cell r="D455"/>
          <cell r="E455"/>
          <cell r="F455"/>
          <cell r="G455"/>
          <cell r="H455"/>
          <cell r="I455"/>
          <cell r="J455"/>
          <cell r="K455"/>
        </row>
        <row r="456">
          <cell r="B456"/>
          <cell r="C456"/>
          <cell r="D456"/>
          <cell r="E456"/>
          <cell r="F456"/>
          <cell r="G456"/>
          <cell r="H456"/>
          <cell r="I456"/>
          <cell r="J456"/>
          <cell r="K456"/>
        </row>
        <row r="457">
          <cell r="B457" t="str">
            <v>BBD US</v>
          </cell>
          <cell r="C457">
            <v>4.1900000000000004</v>
          </cell>
          <cell r="D457">
            <v>4.1399999999999997</v>
          </cell>
          <cell r="E457">
            <v>4.03</v>
          </cell>
          <cell r="F457">
            <v>3.96</v>
          </cell>
          <cell r="G457">
            <v>3.94</v>
          </cell>
          <cell r="H457">
            <v>4.08</v>
          </cell>
          <cell r="I457">
            <v>4.05</v>
          </cell>
          <cell r="J457"/>
          <cell r="K457"/>
        </row>
        <row r="458">
          <cell r="B458" t="str">
            <v>PAGS US</v>
          </cell>
          <cell r="C458">
            <v>10.99</v>
          </cell>
          <cell r="D458">
            <v>10.83</v>
          </cell>
          <cell r="E458">
            <v>11.12</v>
          </cell>
          <cell r="F458">
            <v>11</v>
          </cell>
          <cell r="G458">
            <v>11.13</v>
          </cell>
          <cell r="H458">
            <v>11.72</v>
          </cell>
          <cell r="I458">
            <v>11.44</v>
          </cell>
          <cell r="J458"/>
          <cell r="K458"/>
        </row>
        <row r="459">
          <cell r="B459" t="str">
            <v>NIO US</v>
          </cell>
          <cell r="C459">
            <v>3.56</v>
          </cell>
          <cell r="D459">
            <v>3.41</v>
          </cell>
          <cell r="E459">
            <v>3.5</v>
          </cell>
          <cell r="F459">
            <v>3.43</v>
          </cell>
          <cell r="G459">
            <v>3.39</v>
          </cell>
          <cell r="H459">
            <v>3.43</v>
          </cell>
          <cell r="I459">
            <v>3.36</v>
          </cell>
          <cell r="J459"/>
          <cell r="K459"/>
        </row>
        <row r="460">
          <cell r="B460" t="str">
            <v>JD US</v>
          </cell>
          <cell r="C460">
            <v>26.78</v>
          </cell>
          <cell r="D460">
            <v>26.68</v>
          </cell>
          <cell r="E460">
            <v>27.39</v>
          </cell>
          <cell r="F460">
            <v>27.01</v>
          </cell>
          <cell r="G460">
            <v>26.78</v>
          </cell>
          <cell r="H460">
            <v>26.76</v>
          </cell>
          <cell r="I460">
            <v>25.79</v>
          </cell>
          <cell r="J460"/>
          <cell r="K460"/>
        </row>
        <row r="461">
          <cell r="B461" t="str">
            <v>BDORY US</v>
          </cell>
          <cell r="C461">
            <v>4.92</v>
          </cell>
          <cell r="D461">
            <v>4.75</v>
          </cell>
          <cell r="E461">
            <v>4.6500000000000004</v>
          </cell>
          <cell r="F461">
            <v>4.68</v>
          </cell>
          <cell r="G461">
            <v>4.79</v>
          </cell>
          <cell r="H461">
            <v>4.9000000000000004</v>
          </cell>
          <cell r="I461">
            <v>4.8730000000000002</v>
          </cell>
          <cell r="J461"/>
          <cell r="K461"/>
        </row>
        <row r="462">
          <cell r="B462" t="str">
            <v>GGAL US</v>
          </cell>
          <cell r="C462">
            <v>36.79</v>
          </cell>
          <cell r="D462">
            <v>35.549999999999997</v>
          </cell>
          <cell r="E462">
            <v>36.47</v>
          </cell>
          <cell r="F462">
            <v>36.020000000000003</v>
          </cell>
          <cell r="G462">
            <v>35.090000000000003</v>
          </cell>
          <cell r="H462">
            <v>35.46</v>
          </cell>
          <cell r="I462">
            <v>36.82</v>
          </cell>
          <cell r="J462"/>
          <cell r="K462"/>
        </row>
        <row r="463">
          <cell r="B463" t="str">
            <v>VALE US</v>
          </cell>
          <cell r="C463">
            <v>13.37</v>
          </cell>
          <cell r="D463">
            <v>13.21</v>
          </cell>
          <cell r="E463">
            <v>13.02</v>
          </cell>
          <cell r="F463">
            <v>13.06</v>
          </cell>
          <cell r="G463">
            <v>13.11</v>
          </cell>
          <cell r="H463">
            <v>13.02</v>
          </cell>
          <cell r="I463">
            <v>12.7</v>
          </cell>
          <cell r="J463"/>
          <cell r="K463"/>
        </row>
        <row r="464">
          <cell r="B464" t="str">
            <v>PBR US</v>
          </cell>
          <cell r="C464">
            <v>25.5</v>
          </cell>
          <cell r="D464">
            <v>25.94</v>
          </cell>
          <cell r="E464">
            <v>25.3</v>
          </cell>
          <cell r="F464">
            <v>26</v>
          </cell>
          <cell r="G464">
            <v>25.56</v>
          </cell>
          <cell r="H464">
            <v>25.7</v>
          </cell>
          <cell r="I464">
            <v>25.66</v>
          </cell>
          <cell r="J464"/>
          <cell r="K464"/>
        </row>
        <row r="465">
          <cell r="B465" t="str">
            <v>VIST US</v>
          </cell>
          <cell r="C465">
            <v>69.02</v>
          </cell>
          <cell r="D465">
            <v>69.94</v>
          </cell>
          <cell r="E465">
            <v>69.989999999999995</v>
          </cell>
          <cell r="F465">
            <v>71.95</v>
          </cell>
          <cell r="G465">
            <v>70.86</v>
          </cell>
          <cell r="H465">
            <v>70.66</v>
          </cell>
          <cell r="I465">
            <v>71.44</v>
          </cell>
          <cell r="J465"/>
          <cell r="K465"/>
        </row>
        <row r="466">
          <cell r="B466" t="str">
            <v>AMD US</v>
          </cell>
          <cell r="C466">
            <v>605.53</v>
          </cell>
          <cell r="D466">
            <v>570.82000000000005</v>
          </cell>
          <cell r="E466">
            <v>562.23</v>
          </cell>
          <cell r="F466">
            <v>528.75</v>
          </cell>
          <cell r="G466">
            <v>538.04999999999995</v>
          </cell>
          <cell r="H466">
            <v>534.74</v>
          </cell>
          <cell r="I466">
            <v>552.72</v>
          </cell>
          <cell r="J466"/>
          <cell r="K466"/>
        </row>
        <row r="467">
          <cell r="B467" t="str">
            <v>SID US</v>
          </cell>
          <cell r="C467">
            <v>1.24</v>
          </cell>
          <cell r="D467">
            <v>1.21</v>
          </cell>
          <cell r="E467">
            <v>1.1499999999999999</v>
          </cell>
          <cell r="F467">
            <v>1.1100000000000001</v>
          </cell>
          <cell r="G467">
            <v>1.1299999999999999</v>
          </cell>
          <cell r="H467">
            <v>1.1599999999999999</v>
          </cell>
          <cell r="I467">
            <v>1.1000000000000001</v>
          </cell>
          <cell r="J467"/>
          <cell r="K467"/>
        </row>
        <row r="468">
          <cell r="B468" t="str">
            <v>MSFT US</v>
          </cell>
          <cell r="C468">
            <v>543.45000000000005</v>
          </cell>
          <cell r="D468">
            <v>533.69000000000005</v>
          </cell>
          <cell r="E468">
            <v>539.44000000000005</v>
          </cell>
          <cell r="F468">
            <v>529.04999999999995</v>
          </cell>
          <cell r="G468">
            <v>533.52</v>
          </cell>
          <cell r="H468">
            <v>531.87</v>
          </cell>
          <cell r="I468">
            <v>532.95000000000005</v>
          </cell>
          <cell r="J468"/>
          <cell r="K468"/>
        </row>
        <row r="469">
          <cell r="B469" t="str">
            <v>NU US</v>
          </cell>
          <cell r="C469">
            <v>15.58</v>
          </cell>
          <cell r="D469">
            <v>14.93</v>
          </cell>
          <cell r="E469">
            <v>14.73</v>
          </cell>
          <cell r="F469">
            <v>14.56</v>
          </cell>
          <cell r="G469">
            <v>14.51</v>
          </cell>
          <cell r="H469">
            <v>15.09</v>
          </cell>
          <cell r="I469">
            <v>15.05</v>
          </cell>
          <cell r="J469"/>
          <cell r="K469"/>
        </row>
        <row r="470">
          <cell r="B470" t="str">
            <v>YPF US</v>
          </cell>
          <cell r="C470">
            <v>51.79</v>
          </cell>
          <cell r="D470">
            <v>52.25</v>
          </cell>
          <cell r="E470">
            <v>51.11</v>
          </cell>
          <cell r="F470">
            <v>52.1</v>
          </cell>
          <cell r="G470">
            <v>50.69</v>
          </cell>
          <cell r="H470">
            <v>50.78</v>
          </cell>
          <cell r="I470">
            <v>50.37</v>
          </cell>
          <cell r="J470"/>
          <cell r="K470"/>
        </row>
        <row r="471">
          <cell r="B471" t="str">
            <v>TSLA US</v>
          </cell>
          <cell r="C471"/>
          <cell r="D471"/>
          <cell r="E471">
            <v>362.44</v>
          </cell>
          <cell r="F471">
            <v>354.72</v>
          </cell>
          <cell r="G471">
            <v>368.06</v>
          </cell>
          <cell r="H471">
            <v>373.71</v>
          </cell>
          <cell r="I471">
            <v>386.47</v>
          </cell>
          <cell r="J471"/>
          <cell r="K471"/>
        </row>
        <row r="472"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</row>
        <row r="473">
          <cell r="B473" t="str">
            <v>ETF</v>
          </cell>
          <cell r="C473"/>
          <cell r="D473"/>
          <cell r="E473"/>
          <cell r="F473"/>
          <cell r="G473"/>
          <cell r="H473"/>
          <cell r="I473"/>
          <cell r="J473"/>
          <cell r="K473"/>
        </row>
        <row r="474">
          <cell r="B474"/>
          <cell r="C474"/>
          <cell r="D474"/>
          <cell r="E474"/>
          <cell r="F474"/>
          <cell r="G474"/>
          <cell r="H474"/>
          <cell r="I474"/>
          <cell r="J474"/>
          <cell r="K474"/>
        </row>
        <row r="475">
          <cell r="B475" t="str">
            <v>EWZ US</v>
          </cell>
          <cell r="C475">
            <v>42.87</v>
          </cell>
          <cell r="D475">
            <v>42.6</v>
          </cell>
          <cell r="E475">
            <v>41.58</v>
          </cell>
          <cell r="F475">
            <v>41.83</v>
          </cell>
          <cell r="G475">
            <v>41.93</v>
          </cell>
          <cell r="H475">
            <v>42.94</v>
          </cell>
          <cell r="I475">
            <v>42.51</v>
          </cell>
          <cell r="J475"/>
          <cell r="K475"/>
        </row>
        <row r="476">
          <cell r="B476" t="str">
            <v>FLRN US</v>
          </cell>
          <cell r="C476">
            <v>30.77</v>
          </cell>
          <cell r="D476">
            <v>30.77</v>
          </cell>
          <cell r="E476">
            <v>30.78</v>
          </cell>
          <cell r="F476">
            <v>30.79</v>
          </cell>
          <cell r="G476">
            <v>30.8</v>
          </cell>
          <cell r="H476">
            <v>30.79</v>
          </cell>
          <cell r="I476">
            <v>30.8</v>
          </cell>
          <cell r="J476"/>
          <cell r="K476"/>
        </row>
        <row r="477">
          <cell r="B477" t="str">
            <v>SDIA LN</v>
          </cell>
          <cell r="C477">
            <v>6.3550000000000004</v>
          </cell>
          <cell r="D477">
            <v>6.3570000000000002</v>
          </cell>
          <cell r="E477">
            <v>6.3609999999999998</v>
          </cell>
          <cell r="F477">
            <v>6.3780000000000001</v>
          </cell>
          <cell r="G477">
            <v>6.3559999999999999</v>
          </cell>
          <cell r="H477">
            <v>6.383</v>
          </cell>
          <cell r="I477">
            <v>6.3689999999999998</v>
          </cell>
          <cell r="J477"/>
          <cell r="K477"/>
        </row>
        <row r="478">
          <cell r="B478" t="str">
            <v>EMCA LN</v>
          </cell>
          <cell r="C478">
            <v>6.6779999999999999</v>
          </cell>
          <cell r="D478">
            <v>6.6630000000000003</v>
          </cell>
          <cell r="E478">
            <v>6.6929999999999996</v>
          </cell>
          <cell r="F478">
            <v>6.7039999999999997</v>
          </cell>
          <cell r="G478">
            <v>6.6859999999999999</v>
          </cell>
          <cell r="H478">
            <v>6.6950000000000003</v>
          </cell>
          <cell r="I478">
            <v>6.69</v>
          </cell>
          <cell r="J478"/>
          <cell r="K478"/>
        </row>
        <row r="479">
          <cell r="B479" t="str">
            <v>IGV US</v>
          </cell>
          <cell r="C479">
            <v>110.98</v>
          </cell>
          <cell r="D479">
            <v>107.65</v>
          </cell>
          <cell r="E479">
            <v>109.6</v>
          </cell>
          <cell r="F479">
            <v>104.34</v>
          </cell>
          <cell r="G479">
            <v>105.99</v>
          </cell>
          <cell r="H479">
            <v>106.93</v>
          </cell>
          <cell r="I479">
            <v>108.82</v>
          </cell>
          <cell r="J479"/>
          <cell r="K479"/>
        </row>
        <row r="480">
          <cell r="B480"/>
          <cell r="C480"/>
          <cell r="D480"/>
          <cell r="E480"/>
          <cell r="F480"/>
          <cell r="G480"/>
          <cell r="H480"/>
          <cell r="I480"/>
          <cell r="J480"/>
          <cell r="K480"/>
        </row>
        <row r="481">
          <cell r="B481" t="str">
            <v>Funds</v>
          </cell>
          <cell r="C481"/>
          <cell r="D481"/>
          <cell r="E481"/>
          <cell r="F481"/>
          <cell r="G481"/>
          <cell r="H481"/>
          <cell r="I481"/>
          <cell r="J481"/>
          <cell r="K481"/>
        </row>
        <row r="482">
          <cell r="B482"/>
          <cell r="C482"/>
          <cell r="D482"/>
          <cell r="E482"/>
          <cell r="F482"/>
          <cell r="G482"/>
          <cell r="H482"/>
          <cell r="I482"/>
          <cell r="J482"/>
          <cell r="K482"/>
        </row>
        <row r="483">
          <cell r="B483" t="str">
            <v>MUHYIU1 LX</v>
          </cell>
          <cell r="C483">
            <v>294.52999999999997</v>
          </cell>
          <cell r="D483">
            <v>294.11</v>
          </cell>
          <cell r="E483">
            <v>293.43</v>
          </cell>
          <cell r="F483">
            <v>294.02</v>
          </cell>
          <cell r="G483">
            <v>293.94</v>
          </cell>
          <cell r="H483">
            <v>293.67</v>
          </cell>
          <cell r="I483">
            <v>293.43</v>
          </cell>
          <cell r="J483"/>
          <cell r="K483"/>
        </row>
        <row r="484">
          <cell r="B484" t="str">
            <v>MGCIF1U LX</v>
          </cell>
          <cell r="C484">
            <v>151.53</v>
          </cell>
          <cell r="D484">
            <v>151.86000000000001</v>
          </cell>
          <cell r="E484">
            <v>151.75</v>
          </cell>
          <cell r="F484">
            <v>152.63</v>
          </cell>
          <cell r="G484">
            <v>152.81</v>
          </cell>
          <cell r="H484">
            <v>152.19</v>
          </cell>
          <cell r="I484">
            <v>152.52000000000001</v>
          </cell>
          <cell r="J484"/>
          <cell r="K484"/>
        </row>
        <row r="485"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</row>
        <row r="486">
          <cell r="B486" t="str">
            <v>Latam</v>
          </cell>
          <cell r="C486"/>
          <cell r="D486"/>
          <cell r="E486"/>
          <cell r="F486"/>
          <cell r="G486"/>
          <cell r="H486"/>
          <cell r="I486"/>
          <cell r="J486"/>
          <cell r="K486"/>
        </row>
        <row r="487">
          <cell r="B487"/>
          <cell r="C487"/>
          <cell r="D487"/>
          <cell r="E487"/>
          <cell r="F487"/>
          <cell r="G487"/>
          <cell r="H487"/>
          <cell r="I487"/>
          <cell r="J487"/>
          <cell r="K487"/>
        </row>
        <row r="488">
          <cell r="B488" t="str">
            <v>CH27</v>
          </cell>
          <cell r="C488">
            <v>1.0004427777777778</v>
          </cell>
          <cell r="D488">
            <v>1.0001991666666668</v>
          </cell>
          <cell r="E488">
            <v>1.0006355555555555</v>
          </cell>
          <cell r="F488">
            <v>1.0006147222222221</v>
          </cell>
          <cell r="G488">
            <v>1.0005761111111111</v>
          </cell>
          <cell r="H488">
            <v>1.0006325</v>
          </cell>
          <cell r="I488">
            <v>1.0010138888888889</v>
          </cell>
          <cell r="J488"/>
          <cell r="K488"/>
        </row>
        <row r="489">
          <cell r="B489" t="str">
            <v>CH28</v>
          </cell>
          <cell r="C489">
            <v>0.98290499999999992</v>
          </cell>
          <cell r="D489">
            <v>0.98251499999999992</v>
          </cell>
          <cell r="E489">
            <v>0.9835299999999999</v>
          </cell>
          <cell r="F489">
            <v>0.98336000000000001</v>
          </cell>
          <cell r="G489">
            <v>0.98325999999999991</v>
          </cell>
          <cell r="H489">
            <v>0.9834099999999999</v>
          </cell>
          <cell r="I489">
            <v>0.98342999999999992</v>
          </cell>
          <cell r="J489"/>
          <cell r="K489"/>
        </row>
        <row r="490">
          <cell r="B490" t="str">
            <v>BR27</v>
          </cell>
          <cell r="C490">
            <v>1.0717412499999999</v>
          </cell>
          <cell r="D490">
            <v>1.0714174999999999</v>
          </cell>
          <cell r="E490">
            <v>1.0725087500000001</v>
          </cell>
          <cell r="F490">
            <v>1.0726475</v>
          </cell>
          <cell r="G490">
            <v>1.0727037500000001</v>
          </cell>
          <cell r="H490">
            <v>1.07172</v>
          </cell>
          <cell r="I490">
            <v>1.0716512499999999</v>
          </cell>
          <cell r="J490"/>
          <cell r="K490"/>
        </row>
        <row r="491">
          <cell r="B491" t="str">
            <v>BR28</v>
          </cell>
          <cell r="C491">
            <v>1.0082509722222222</v>
          </cell>
          <cell r="D491">
            <v>1.0080344444444445</v>
          </cell>
          <cell r="E491">
            <v>1.0086929166666665</v>
          </cell>
          <cell r="F491">
            <v>1.0087533333333334</v>
          </cell>
          <cell r="G491">
            <v>1.0088068055555555</v>
          </cell>
          <cell r="H491">
            <v>1.0089702777777778</v>
          </cell>
          <cell r="I491">
            <v>1.00910875</v>
          </cell>
          <cell r="J491"/>
          <cell r="K491"/>
        </row>
        <row r="492">
          <cell r="B492" t="str">
            <v>CDEL27</v>
          </cell>
          <cell r="C492">
            <v>0.99528069444444456</v>
          </cell>
          <cell r="D492">
            <v>0.9948663888888889</v>
          </cell>
          <cell r="E492">
            <v>0.9956320833333332</v>
          </cell>
          <cell r="F492">
            <v>0.99597916666666664</v>
          </cell>
          <cell r="G492">
            <v>0.99617986111111123</v>
          </cell>
          <cell r="H492">
            <v>0.99683555555555559</v>
          </cell>
          <cell r="I492">
            <v>0.99669124999999992</v>
          </cell>
          <cell r="J492"/>
          <cell r="K492"/>
        </row>
        <row r="493">
          <cell r="B493"/>
          <cell r="C493"/>
          <cell r="D493"/>
          <cell r="E493"/>
          <cell r="F493"/>
          <cell r="G493"/>
          <cell r="H493"/>
          <cell r="I493"/>
          <cell r="J493"/>
          <cell r="K493"/>
        </row>
        <row r="494">
          <cell r="B494" t="str">
            <v>Futuros</v>
          </cell>
          <cell r="C494"/>
          <cell r="D494"/>
          <cell r="E494"/>
          <cell r="F494"/>
          <cell r="G494"/>
          <cell r="H494"/>
          <cell r="I494"/>
          <cell r="J494"/>
          <cell r="K494"/>
        </row>
        <row r="495">
          <cell r="B495"/>
          <cell r="C495"/>
          <cell r="D495"/>
          <cell r="E495"/>
          <cell r="F495"/>
          <cell r="G495"/>
          <cell r="H495"/>
          <cell r="I495"/>
          <cell r="J495"/>
          <cell r="K495"/>
        </row>
        <row r="496">
          <cell r="B496" t="str">
            <v>FUTDLR102026</v>
          </cell>
          <cell r="C496">
            <v>1526</v>
          </cell>
          <cell r="D496">
            <v>1527</v>
          </cell>
          <cell r="E496">
            <v>1526</v>
          </cell>
          <cell r="F496">
            <v>1531</v>
          </cell>
          <cell r="G496">
            <v>1534</v>
          </cell>
          <cell r="H496">
            <v>1533.5</v>
          </cell>
          <cell r="I496">
            <v>1533</v>
          </cell>
          <cell r="J496"/>
          <cell r="K496"/>
        </row>
        <row r="497"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 t="str">
            <v>Futuros Soja</v>
          </cell>
          <cell r="C498"/>
          <cell r="D498"/>
          <cell r="E498"/>
          <cell r="F498"/>
          <cell r="G498"/>
          <cell r="H498"/>
          <cell r="I498"/>
          <cell r="J498"/>
          <cell r="K498"/>
        </row>
        <row r="499"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</row>
        <row r="500">
          <cell r="B500" t="str">
            <v>FUTDLRMM1126</v>
          </cell>
          <cell r="C500">
            <v>565262.06846999994</v>
          </cell>
          <cell r="D500">
            <v>563115.45290000003</v>
          </cell>
          <cell r="E500">
            <v>561365.54064000002</v>
          </cell>
          <cell r="F500">
            <v>560389.23499999999</v>
          </cell>
          <cell r="G500">
            <v>558306.52890000003</v>
          </cell>
          <cell r="H500">
            <v>556566.63649999991</v>
          </cell>
          <cell r="I500">
            <v>556927.90272000001</v>
          </cell>
          <cell r="J500"/>
          <cell r="K500"/>
        </row>
        <row r="501">
          <cell r="B501" t="str">
            <v>FUTDLRMM0527</v>
          </cell>
          <cell r="C501">
            <v>543888.52283999999</v>
          </cell>
          <cell r="D501">
            <v>542365.90555000002</v>
          </cell>
          <cell r="E501">
            <v>539716.33020000008</v>
          </cell>
          <cell r="F501">
            <v>537670.75249999994</v>
          </cell>
          <cell r="G501">
            <v>536522.67252000002</v>
          </cell>
          <cell r="H501">
            <v>538726.00732999993</v>
          </cell>
          <cell r="I501">
            <v>539371.23912000004</v>
          </cell>
          <cell r="J501"/>
          <cell r="K501"/>
        </row>
        <row r="502">
          <cell r="B502" t="str">
            <v>FUTARSSRO1126</v>
          </cell>
          <cell r="C502">
            <v>565262.06846999994</v>
          </cell>
          <cell r="D502">
            <v>563115.45290000003</v>
          </cell>
          <cell r="E502">
            <v>561365.54064000002</v>
          </cell>
          <cell r="F502">
            <v>560389.23499999999</v>
          </cell>
          <cell r="G502">
            <v>558306.52890000003</v>
          </cell>
          <cell r="H502">
            <v>556566.63649999991</v>
          </cell>
          <cell r="I502">
            <v>556927.90272000001</v>
          </cell>
          <cell r="J502"/>
          <cell r="K502"/>
        </row>
        <row r="503">
          <cell r="B503" t="str">
            <v>FUTARSSRO0127</v>
          </cell>
          <cell r="C503">
            <v>572992.92539999995</v>
          </cell>
          <cell r="D503">
            <v>570991.19349999994</v>
          </cell>
          <cell r="E503">
            <v>568783.80156000005</v>
          </cell>
          <cell r="F503">
            <v>567962.0625</v>
          </cell>
          <cell r="G503">
            <v>565770.92723999999</v>
          </cell>
          <cell r="H503">
            <v>564190.83699999994</v>
          </cell>
          <cell r="I503">
            <v>565629.90120000008</v>
          </cell>
          <cell r="J503"/>
          <cell r="K503"/>
        </row>
        <row r="504">
          <cell r="B504" t="str">
            <v>FUTARSSRO0527</v>
          </cell>
          <cell r="C504">
            <v>543888.52283999999</v>
          </cell>
          <cell r="D504">
            <v>542365.90555000002</v>
          </cell>
          <cell r="E504">
            <v>539716.33020000008</v>
          </cell>
          <cell r="F504">
            <v>537670.75249999994</v>
          </cell>
          <cell r="G504">
            <v>536522.67252000002</v>
          </cell>
          <cell r="H504">
            <v>538726.00732999993</v>
          </cell>
          <cell r="I504">
            <v>539371.23912000004</v>
          </cell>
          <cell r="J504"/>
          <cell r="K504"/>
        </row>
        <row r="505"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</row>
        <row r="506">
          <cell r="B506" t="str">
            <v>Treasury</v>
          </cell>
          <cell r="C506"/>
          <cell r="D506"/>
          <cell r="E506"/>
          <cell r="F506"/>
          <cell r="G506"/>
          <cell r="H506"/>
          <cell r="I506"/>
          <cell r="J506"/>
          <cell r="K506"/>
        </row>
        <row r="507"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</row>
        <row r="508">
          <cell r="B508" t="str">
            <v>US27102026</v>
          </cell>
          <cell r="C508">
            <v>0.99864495917499729</v>
          </cell>
          <cell r="D508">
            <v>0.99874719341093465</v>
          </cell>
          <cell r="E508">
            <v>0.99885496193024415</v>
          </cell>
          <cell r="F508">
            <v>0.99896455271444251</v>
          </cell>
          <cell r="G508">
            <v>0.99927905985570131</v>
          </cell>
          <cell r="H508">
            <v>0.99938392498787454</v>
          </cell>
          <cell r="I508">
            <v>0.99948323978193021</v>
          </cell>
          <cell r="J508"/>
          <cell r="K508"/>
        </row>
        <row r="509">
          <cell r="B509" t="str">
            <v>US03112026</v>
          </cell>
          <cell r="C509">
            <v>0.99787417260511158</v>
          </cell>
          <cell r="D509">
            <v>0.99799025542628228</v>
          </cell>
          <cell r="E509">
            <v>0.99810138147239569</v>
          </cell>
          <cell r="F509">
            <v>0.99820133417894741</v>
          </cell>
          <cell r="G509">
            <v>0.99852810391818214</v>
          </cell>
          <cell r="H509">
            <v>0.99863195903144397</v>
          </cell>
          <cell r="I509">
            <v>0.99873774871661924</v>
          </cell>
          <cell r="J509"/>
          <cell r="K509"/>
        </row>
        <row r="510">
          <cell r="B510" t="str">
            <v>US19112026</v>
          </cell>
          <cell r="C510">
            <v>0.99613488747114487</v>
          </cell>
          <cell r="D510">
            <v>0.99623042782501603</v>
          </cell>
          <cell r="E510">
            <v>0.9963480921621003</v>
          </cell>
          <cell r="F510">
            <v>0.99648465603234815</v>
          </cell>
          <cell r="G510">
            <v>0.996800924463218</v>
          </cell>
          <cell r="H510">
            <v>0.99690359830496555</v>
          </cell>
          <cell r="I510">
            <v>0.99700608632608601</v>
          </cell>
          <cell r="J510"/>
          <cell r="K510"/>
        </row>
        <row r="511">
          <cell r="B511" t="str">
            <v>US01122026</v>
          </cell>
          <cell r="C511">
            <v>0.99483557684655111</v>
          </cell>
          <cell r="D511">
            <v>0.99493510430836929</v>
          </cell>
          <cell r="E511">
            <v>0.99503834081734843</v>
          </cell>
          <cell r="F511">
            <v>0.99515459229013925</v>
          </cell>
          <cell r="G511">
            <v>0.99547900889869856</v>
          </cell>
          <cell r="H511">
            <v>0.99557504261715801</v>
          </cell>
          <cell r="I511">
            <v>0.9956959745730346</v>
          </cell>
          <cell r="J511"/>
          <cell r="K511"/>
        </row>
        <row r="512">
          <cell r="B512" t="str">
            <v>US10122026</v>
          </cell>
          <cell r="C512">
            <v>0.993862536688776</v>
          </cell>
          <cell r="D512">
            <v>0.9939403081169208</v>
          </cell>
          <cell r="E512">
            <v>0.99405784899226357</v>
          </cell>
          <cell r="F512">
            <v>0.99417812558190066</v>
          </cell>
          <cell r="G512">
            <v>0.99452535047434365</v>
          </cell>
          <cell r="H512">
            <v>0.99462507335359918</v>
          </cell>
          <cell r="I512">
            <v>0.99473373245430041</v>
          </cell>
          <cell r="J512"/>
          <cell r="K512"/>
        </row>
        <row r="513">
          <cell r="B513"/>
          <cell r="C513"/>
          <cell r="D513"/>
          <cell r="E513"/>
          <cell r="F513"/>
          <cell r="G513"/>
          <cell r="H513"/>
          <cell r="I513"/>
          <cell r="J513"/>
          <cell r="K513"/>
        </row>
        <row r="514">
          <cell r="B514" t="str">
            <v>Pagare $</v>
          </cell>
          <cell r="C514"/>
          <cell r="D514"/>
          <cell r="E514"/>
          <cell r="F514"/>
          <cell r="G514"/>
          <cell r="H514"/>
          <cell r="I514"/>
          <cell r="J514"/>
          <cell r="K514"/>
        </row>
        <row r="515">
          <cell r="B515"/>
          <cell r="C515"/>
          <cell r="D515"/>
          <cell r="E515"/>
          <cell r="F515"/>
          <cell r="G515"/>
          <cell r="H515"/>
          <cell r="I515"/>
          <cell r="J515"/>
          <cell r="K515"/>
        </row>
        <row r="516">
          <cell r="B516" t="str">
            <v>#MAV150270009</v>
          </cell>
          <cell r="C516">
            <v>0.90965732087227413</v>
          </cell>
          <cell r="D516">
            <v>0.91031524341580217</v>
          </cell>
          <cell r="E516">
            <v>0.9109741183517609</v>
          </cell>
          <cell r="F516">
            <v>0.91295647823911952</v>
          </cell>
          <cell r="G516">
            <v>0.91361918349978732</v>
          </cell>
          <cell r="H516">
            <v>0.91428285156054312</v>
          </cell>
          <cell r="I516">
            <v>0.91494748452109387</v>
          </cell>
          <cell r="J516"/>
          <cell r="K516"/>
        </row>
        <row r="517">
          <cell r="B517" t="str">
            <v>#MAV150270010</v>
          </cell>
          <cell r="C517">
            <v>0.90965732087227413</v>
          </cell>
          <cell r="D517">
            <v>0.91031524341580217</v>
          </cell>
          <cell r="E517">
            <v>0.9109741183517609</v>
          </cell>
          <cell r="F517">
            <v>0.91295647823911952</v>
          </cell>
          <cell r="G517">
            <v>0.91361918349978732</v>
          </cell>
          <cell r="H517">
            <v>0.91428285156054312</v>
          </cell>
          <cell r="I517">
            <v>0.91494748452109387</v>
          </cell>
          <cell r="J517"/>
          <cell r="K517"/>
        </row>
        <row r="518">
          <cell r="B518" t="str">
            <v>#MAV101260047</v>
          </cell>
          <cell r="C518">
            <v>0.95908012391840725</v>
          </cell>
          <cell r="D518">
            <v>0.95975724715326793</v>
          </cell>
          <cell r="E518">
            <v>0.9604353271795304</v>
          </cell>
          <cell r="F518">
            <v>0.96247532832934057</v>
          </cell>
          <cell r="G518">
            <v>0.96315725587262035</v>
          </cell>
          <cell r="H518">
            <v>0.96384015041187665</v>
          </cell>
          <cell r="I518">
            <v>0.9645240140054171</v>
          </cell>
          <cell r="J518"/>
          <cell r="K518"/>
        </row>
        <row r="519">
          <cell r="B519"/>
          <cell r="C519"/>
          <cell r="D519"/>
          <cell r="E519"/>
          <cell r="F519"/>
          <cell r="G519"/>
          <cell r="H519"/>
          <cell r="I519"/>
          <cell r="J519"/>
          <cell r="K519"/>
        </row>
        <row r="520">
          <cell r="B520" t="str">
            <v>Pagarés USD</v>
          </cell>
          <cell r="C520"/>
          <cell r="D520"/>
          <cell r="E520"/>
          <cell r="F520"/>
          <cell r="G520"/>
          <cell r="H520"/>
          <cell r="I520"/>
          <cell r="J520"/>
          <cell r="K520"/>
        </row>
        <row r="521"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</row>
        <row r="522">
          <cell r="B522" t="str">
            <v>#UMV130170010</v>
          </cell>
          <cell r="C522">
            <v>1486.1296707901279</v>
          </cell>
          <cell r="D522">
            <v>1485.1792948831612</v>
          </cell>
          <cell r="E522">
            <v>1484.870062220622</v>
          </cell>
          <cell r="F522">
            <v>1486.4332240769222</v>
          </cell>
          <cell r="G522">
            <v>1495.3668522804135</v>
          </cell>
          <cell r="H522">
            <v>1497.1489962367284</v>
          </cell>
          <cell r="I522">
            <v>1499.2587183609228</v>
          </cell>
          <cell r="J522"/>
          <cell r="K522"/>
        </row>
        <row r="523">
          <cell r="B523" t="str">
            <v>#UMV130170012</v>
          </cell>
          <cell r="C523">
            <v>1486.1296707901279</v>
          </cell>
          <cell r="D523">
            <v>1485.1792948831612</v>
          </cell>
          <cell r="E523">
            <v>1484.870062220622</v>
          </cell>
          <cell r="F523">
            <v>1486.4332240769222</v>
          </cell>
          <cell r="G523">
            <v>1495.3668522804135</v>
          </cell>
          <cell r="H523">
            <v>1497.1489962367284</v>
          </cell>
          <cell r="I523">
            <v>1499.2587183609228</v>
          </cell>
          <cell r="J523"/>
          <cell r="K523"/>
        </row>
        <row r="524">
          <cell r="B524" t="str">
            <v>#UMV150270056</v>
          </cell>
          <cell r="C524">
            <v>1476.4788343198109</v>
          </cell>
          <cell r="D524">
            <v>1475.5326092904013</v>
          </cell>
          <cell r="E524">
            <v>1475.2233639545409</v>
          </cell>
          <cell r="F524">
            <v>1476.7702953052228</v>
          </cell>
          <cell r="G524">
            <v>1485.6438092998774</v>
          </cell>
          <cell r="H524">
            <v>1487.4123233324738</v>
          </cell>
          <cell r="I524">
            <v>1489.5062789690624</v>
          </cell>
          <cell r="J524"/>
          <cell r="K524"/>
        </row>
        <row r="525">
          <cell r="B525" t="str">
            <v>#UMV150270055</v>
          </cell>
          <cell r="C525">
            <v>1476.4788343198109</v>
          </cell>
          <cell r="D525">
            <v>1475.5326092904013</v>
          </cell>
          <cell r="E525">
            <v>1475.2233639545409</v>
          </cell>
          <cell r="F525">
            <v>1476.7702953052228</v>
          </cell>
          <cell r="G525">
            <v>1485.6438092998774</v>
          </cell>
          <cell r="H525">
            <v>1487.4123233324738</v>
          </cell>
          <cell r="I525">
            <v>1489.5062789690624</v>
          </cell>
          <cell r="J525"/>
          <cell r="K525"/>
        </row>
        <row r="526">
          <cell r="B526" t="str">
            <v>#UMV150370062</v>
          </cell>
          <cell r="C526">
            <v>1467.8690572835419</v>
          </cell>
          <cell r="D526">
            <v>1466.9265576676348</v>
          </cell>
          <cell r="E526">
            <v>1466.6173233362085</v>
          </cell>
          <cell r="F526">
            <v>1468.1498421812321</v>
          </cell>
          <cell r="G526">
            <v>1476.9697498545665</v>
          </cell>
          <cell r="H526">
            <v>1478.7261270117499</v>
          </cell>
          <cell r="I526">
            <v>1480.8060397976108</v>
          </cell>
          <cell r="J526"/>
          <cell r="K526"/>
        </row>
        <row r="527">
          <cell r="B527" t="str">
            <v>#UMV150370061</v>
          </cell>
          <cell r="C527">
            <v>1467.8690572835419</v>
          </cell>
          <cell r="D527">
            <v>1466.9265576676348</v>
          </cell>
          <cell r="E527">
            <v>1466.6173233362085</v>
          </cell>
          <cell r="F527">
            <v>1468.1498421812321</v>
          </cell>
          <cell r="G527">
            <v>1476.9697498545665</v>
          </cell>
          <cell r="H527">
            <v>1478.7261270117499</v>
          </cell>
          <cell r="I527">
            <v>1480.8060397976108</v>
          </cell>
          <cell r="J527"/>
          <cell r="K527"/>
        </row>
        <row r="528">
          <cell r="B528" t="str">
            <v>#UMV150170072</v>
          </cell>
          <cell r="C528">
            <v>1484.8773182471427</v>
          </cell>
          <cell r="D528">
            <v>1483.9274794919147</v>
          </cell>
          <cell r="E528">
            <v>1483.6182436922334</v>
          </cell>
          <cell r="F528">
            <v>1485.1792948831612</v>
          </cell>
          <cell r="G528">
            <v>1494.1051207397147</v>
          </cell>
          <cell r="H528">
            <v>1495.8854944700522</v>
          </cell>
          <cell r="I528">
            <v>1497.9931691069435</v>
          </cell>
          <cell r="J528"/>
          <cell r="K528"/>
        </row>
        <row r="529">
          <cell r="B529" t="str">
            <v>#UMV150170073</v>
          </cell>
          <cell r="C529">
            <v>1484.8773182471427</v>
          </cell>
          <cell r="D529">
            <v>1483.9274794919147</v>
          </cell>
          <cell r="E529">
            <v>1483.6182436922334</v>
          </cell>
          <cell r="F529">
            <v>1485.1792948831612</v>
          </cell>
          <cell r="G529">
            <v>1494.1051207397147</v>
          </cell>
          <cell r="H529">
            <v>1495.8854944700522</v>
          </cell>
          <cell r="I529">
            <v>1497.9931691069435</v>
          </cell>
          <cell r="J529"/>
          <cell r="K529"/>
        </row>
        <row r="530">
          <cell r="B530" t="str">
            <v>#UMV150370068</v>
          </cell>
          <cell r="C530">
            <v>1467.8690572835419</v>
          </cell>
          <cell r="D530">
            <v>1466.9265576676348</v>
          </cell>
          <cell r="E530">
            <v>1466.6173233362085</v>
          </cell>
          <cell r="F530">
            <v>1468.1498421812321</v>
          </cell>
          <cell r="G530">
            <v>1476.9697498545665</v>
          </cell>
          <cell r="H530">
            <v>1478.7261270117499</v>
          </cell>
          <cell r="I530">
            <v>1480.8060397976108</v>
          </cell>
          <cell r="J530"/>
          <cell r="K530"/>
        </row>
        <row r="531">
          <cell r="B531" t="str">
            <v>#UMV150370069</v>
          </cell>
          <cell r="C531">
            <v>1467.8690572835419</v>
          </cell>
          <cell r="D531">
            <v>1466.9265576676348</v>
          </cell>
          <cell r="E531">
            <v>1466.6173233362085</v>
          </cell>
          <cell r="F531">
            <v>1468.1498421812321</v>
          </cell>
          <cell r="G531">
            <v>1476.9697498545665</v>
          </cell>
          <cell r="H531">
            <v>1478.7261270117499</v>
          </cell>
          <cell r="I531">
            <v>1480.8060397976108</v>
          </cell>
          <cell r="J531"/>
          <cell r="K531"/>
        </row>
        <row r="532">
          <cell r="B532" t="str">
            <v>#UMV080470014</v>
          </cell>
          <cell r="C532">
            <v>1460.5687708544517</v>
          </cell>
          <cell r="D532">
            <v>1459.6294465163867</v>
          </cell>
          <cell r="E532">
            <v>1459.3202379977765</v>
          </cell>
          <cell r="F532">
            <v>1460.8405860101182</v>
          </cell>
          <cell r="G532">
            <v>1469.6150576854459</v>
          </cell>
          <cell r="H532">
            <v>1471.361160716056</v>
          </cell>
          <cell r="I532">
            <v>1473.4291833691179</v>
          </cell>
          <cell r="J532"/>
          <cell r="K532"/>
        </row>
        <row r="533">
          <cell r="B533" t="str">
            <v>#UMV110270016</v>
          </cell>
          <cell r="C533">
            <v>1477.7170543774371</v>
          </cell>
          <cell r="D533">
            <v>1476.7702953052228</v>
          </cell>
          <cell r="E533">
            <v>1476.4610501171637</v>
          </cell>
          <cell r="F533">
            <v>1478.0100594207645</v>
          </cell>
          <cell r="G533">
            <v>1486.8912846404189</v>
          </cell>
          <cell r="H533">
            <v>1488.6615459096131</v>
          </cell>
          <cell r="I533">
            <v>1490.7575229004365</v>
          </cell>
          <cell r="J533"/>
          <cell r="K533"/>
        </row>
        <row r="534">
          <cell r="B534" t="str">
            <v>#UMV150470068</v>
          </cell>
          <cell r="C534">
            <v>1458.4531790581905</v>
          </cell>
          <cell r="D534">
            <v>1457.5147777276836</v>
          </cell>
          <cell r="E534">
            <v>1457.2055795162821</v>
          </cell>
          <cell r="F534">
            <v>1458.7224089842812</v>
          </cell>
          <cell r="G534">
            <v>1467.4837164434955</v>
          </cell>
          <cell r="H534">
            <v>1469.2268449590301</v>
          </cell>
          <cell r="I534">
            <v>1471.2914247994984</v>
          </cell>
          <cell r="J534"/>
          <cell r="K534"/>
        </row>
        <row r="535">
          <cell r="B535" t="str">
            <v>#UMV250270018</v>
          </cell>
          <cell r="C535">
            <v>1473.3923436630369</v>
          </cell>
          <cell r="D535">
            <v>1472.4474517267049</v>
          </cell>
          <cell r="E535">
            <v>1472.1382079166247</v>
          </cell>
          <cell r="F535">
            <v>1473.6799652917082</v>
          </cell>
          <cell r="G535">
            <v>1482.5342596147693</v>
          </cell>
          <cell r="H535">
            <v>1484.2984202715154</v>
          </cell>
          <cell r="I535">
            <v>1486.3873392532764</v>
          </cell>
          <cell r="J535"/>
          <cell r="K535"/>
        </row>
        <row r="536">
          <cell r="B536" t="str">
            <v>#UMV290370010</v>
          </cell>
          <cell r="C536">
            <v>1463.6017138806076</v>
          </cell>
          <cell r="D536">
            <v>1462.6610685205151</v>
          </cell>
          <cell r="E536">
            <v>1462.3518474412106</v>
          </cell>
          <cell r="F536">
            <v>1463.8772463612686</v>
          </cell>
          <cell r="G536">
            <v>1472.6705927534697</v>
          </cell>
          <cell r="H536">
            <v>1474.4209623517972</v>
          </cell>
          <cell r="I536">
            <v>1476.4939229417892</v>
          </cell>
          <cell r="J536"/>
          <cell r="K536"/>
        </row>
        <row r="537">
          <cell r="B537" t="str">
            <v>#UMV040370018</v>
          </cell>
          <cell r="C537">
            <v>1471.2394670119938</v>
          </cell>
          <cell r="D537">
            <v>1470.2955065294291</v>
          </cell>
          <cell r="E537">
            <v>1469.9862653842727</v>
          </cell>
          <cell r="F537">
            <v>1471.5244186479838</v>
          </cell>
          <cell r="G537">
            <v>1480.3653086082845</v>
          </cell>
          <cell r="H537">
            <v>1482.1264343481953</v>
          </cell>
          <cell r="I537">
            <v>1484.2118418231385</v>
          </cell>
          <cell r="J537"/>
          <cell r="K537"/>
        </row>
        <row r="538">
          <cell r="B538" t="str">
            <v>#UMV110370016</v>
          </cell>
          <cell r="C538">
            <v>1469.09287261894</v>
          </cell>
          <cell r="D538">
            <v>1468.1498421812321</v>
          </cell>
          <cell r="E538">
            <v>1467.8406050029087</v>
          </cell>
          <cell r="F538">
            <v>1469.3751686156306</v>
          </cell>
          <cell r="G538">
            <v>1478.2026946911715</v>
          </cell>
          <cell r="H538">
            <v>1479.9607957061012</v>
          </cell>
          <cell r="I538">
            <v>1482.0427032633847</v>
          </cell>
          <cell r="J538"/>
          <cell r="K538"/>
        </row>
        <row r="539">
          <cell r="B539" t="str">
            <v>#UMV210170045</v>
          </cell>
          <cell r="C539">
            <v>1484.251933154761</v>
          </cell>
          <cell r="D539">
            <v>1483.3023628026283</v>
          </cell>
          <cell r="E539">
            <v>1482.9931256030027</v>
          </cell>
          <cell r="F539">
            <v>1484.5531232964263</v>
          </cell>
          <cell r="G539">
            <v>1493.4750530821207</v>
          </cell>
          <cell r="H539">
            <v>1495.2545429877869</v>
          </cell>
          <cell r="I539">
            <v>1497.361195345344</v>
          </cell>
          <cell r="J539"/>
          <cell r="K539"/>
        </row>
        <row r="540">
          <cell r="B540" t="str">
            <v>#UMV280170011</v>
          </cell>
          <cell r="C540">
            <v>1482.0672276673426</v>
          </cell>
          <cell r="D540">
            <v>1481.118595819072</v>
          </cell>
          <cell r="E540">
            <v>1480.8093546001223</v>
          </cell>
          <cell r="F540">
            <v>1482.3656746534525</v>
          </cell>
          <cell r="G540">
            <v>1491.273994904117</v>
          </cell>
          <cell r="H540">
            <v>1493.0503981661689</v>
          </cell>
          <cell r="I540">
            <v>1495.1534802102535</v>
          </cell>
          <cell r="J540"/>
          <cell r="K540"/>
        </row>
        <row r="541">
          <cell r="B541" t="str">
            <v>#UMV070170014</v>
          </cell>
          <cell r="C541">
            <v>1488.640724024511</v>
          </cell>
          <cell r="D541">
            <v>1487.6892724317399</v>
          </cell>
          <cell r="E541">
            <v>1487.3800474004452</v>
          </cell>
          <cell r="F541">
            <v>1488.9474453242833</v>
          </cell>
          <cell r="G541">
            <v>1497.8967191673526</v>
          </cell>
          <cell r="H541">
            <v>1499.6824139166797</v>
          </cell>
          <cell r="I541">
            <v>1501.7962427687246</v>
          </cell>
          <cell r="J541"/>
          <cell r="K541"/>
        </row>
        <row r="542">
          <cell r="B542" t="str">
            <v>#UMV010670037</v>
          </cell>
          <cell r="C542">
            <v>1443.813918927382</v>
          </cell>
          <cell r="D542">
            <v>1442.8819393240215</v>
          </cell>
          <cell r="E542">
            <v>1442.5728472412579</v>
          </cell>
          <cell r="F542">
            <v>1444.0654342320597</v>
          </cell>
          <cell r="G542">
            <v>1452.7356854896655</v>
          </cell>
          <cell r="H542">
            <v>1454.4582667494201</v>
          </cell>
          <cell r="I542">
            <v>1456.4990590301738</v>
          </cell>
          <cell r="J542"/>
          <cell r="K542"/>
        </row>
        <row r="543">
          <cell r="B543" t="str">
            <v>#UMV290670004</v>
          </cell>
          <cell r="C543">
            <v>1435.5798227861239</v>
          </cell>
          <cell r="D543">
            <v>1434.6514819058393</v>
          </cell>
          <cell r="E543">
            <v>1434.3424762428847</v>
          </cell>
          <cell r="F543">
            <v>1435.8215081132676</v>
          </cell>
          <cell r="G543">
            <v>1444.4405711034735</v>
          </cell>
          <cell r="H543">
            <v>1446.1516224709992</v>
          </cell>
          <cell r="I543">
            <v>1448.1790624301552</v>
          </cell>
          <cell r="J543"/>
          <cell r="K543"/>
        </row>
        <row r="544">
          <cell r="B544" t="str">
            <v>#UMV150470071</v>
          </cell>
          <cell r="C544">
            <v>1457.2470188672289</v>
          </cell>
          <cell r="D544">
            <v>1456.3091443383973</v>
          </cell>
          <cell r="E544">
            <v>1455.999952571982</v>
          </cell>
          <cell r="F544">
            <v>1457.5147777276836</v>
          </cell>
          <cell r="G544">
            <v>1466.2685804774947</v>
          </cell>
          <cell r="H544">
            <v>1468.0100137156119</v>
          </cell>
          <cell r="I544">
            <v>1470.0726312915265</v>
          </cell>
          <cell r="J544"/>
          <cell r="K544"/>
        </row>
        <row r="545">
          <cell r="B545" t="str">
            <v>#UMV040570009</v>
          </cell>
          <cell r="C545">
            <v>1452.1430170544913</v>
          </cell>
          <cell r="D545">
            <v>1451.207376314363</v>
          </cell>
          <cell r="E545">
            <v>1450.8982163909288</v>
          </cell>
          <cell r="F545">
            <v>1452.4045738351617</v>
          </cell>
          <cell r="G545">
            <v>1461.1266243236637</v>
          </cell>
          <cell r="H545">
            <v>1462.860888466598</v>
          </cell>
          <cell r="I545">
            <v>1464.9152071842811</v>
          </cell>
          <cell r="J545"/>
          <cell r="K545"/>
        </row>
        <row r="546">
          <cell r="B546" t="str">
            <v>#UMV140170021</v>
          </cell>
          <cell r="C546">
            <v>1485.1902084630747</v>
          </cell>
          <cell r="D546">
            <v>1484.2402354631065</v>
          </cell>
          <cell r="E546">
            <v>1483.9310004055008</v>
          </cell>
          <cell r="F546">
            <v>1485.4925788036066</v>
          </cell>
          <cell r="G546">
            <v>1494.4203539704085</v>
          </cell>
          <cell r="H546">
            <v>1496.2011699349302</v>
          </cell>
          <cell r="I546">
            <v>1498.3093560773095</v>
          </cell>
          <cell r="J546"/>
          <cell r="K546"/>
        </row>
        <row r="547">
          <cell r="B547" t="str">
            <v>#UMV200470019</v>
          </cell>
          <cell r="C547">
            <v>1456.9457904770934</v>
          </cell>
          <cell r="D547">
            <v>1456.0080475769696</v>
          </cell>
          <cell r="E547">
            <v>1455.6988574845693</v>
          </cell>
          <cell r="F547">
            <v>1457.2131822740866</v>
          </cell>
          <cell r="G547">
            <v>1465.9651108527314</v>
          </cell>
          <cell r="H547">
            <v>1467.7061207752463</v>
          </cell>
          <cell r="I547">
            <v>1469.7682483580829</v>
          </cell>
        </row>
        <row r="548">
          <cell r="B548" t="str">
            <v>#UMV200470018</v>
          </cell>
          <cell r="C548">
            <v>1456.9457904770934</v>
          </cell>
          <cell r="D548">
            <v>1456.0080475769696</v>
          </cell>
          <cell r="E548">
            <v>1455.6988574845693</v>
          </cell>
          <cell r="F548">
            <v>1457.2131822740866</v>
          </cell>
          <cell r="G548">
            <v>1465.9651108527314</v>
          </cell>
          <cell r="H548">
            <v>1467.7061207752463</v>
          </cell>
          <cell r="I548">
            <v>1469.7682483580829</v>
          </cell>
        </row>
        <row r="549">
          <cell r="B549" t="str">
            <v>#UMV200470017</v>
          </cell>
          <cell r="C549">
            <v>1456.9457904770934</v>
          </cell>
          <cell r="D549">
            <v>1456.0080475769696</v>
          </cell>
          <cell r="E549">
            <v>1455.6988574845693</v>
          </cell>
          <cell r="F549">
            <v>1457.2131822740866</v>
          </cell>
          <cell r="G549">
            <v>1465.9651108527314</v>
          </cell>
          <cell r="H549">
            <v>1467.7061207752463</v>
          </cell>
          <cell r="I549">
            <v>1469.7682483580829</v>
          </cell>
        </row>
        <row r="550">
          <cell r="B550" t="str">
            <v>#UMV200470016</v>
          </cell>
          <cell r="C550">
            <v>1456.9457904770934</v>
          </cell>
          <cell r="D550">
            <v>1456.0080475769696</v>
          </cell>
          <cell r="E550">
            <v>1455.6988574845693</v>
          </cell>
          <cell r="F550">
            <v>1457.2131822740866</v>
          </cell>
          <cell r="G550">
            <v>1465.9651108527314</v>
          </cell>
          <cell r="H550">
            <v>1467.7061207752463</v>
          </cell>
          <cell r="I550">
            <v>1469.7682483580829</v>
          </cell>
        </row>
        <row r="551">
          <cell r="B551" t="str">
            <v>#UMV040570010</v>
          </cell>
          <cell r="C551">
            <v>1452.741631373455</v>
          </cell>
          <cell r="D551">
            <v>1451.8057282645948</v>
          </cell>
          <cell r="E551">
            <v>1451.4965642237983</v>
          </cell>
          <cell r="F551">
            <v>1453.0039136371461</v>
          </cell>
          <cell r="G551">
            <v>1461.7296877382446</v>
          </cell>
          <cell r="H551">
            <v>1463.4647923062257</v>
          </cell>
          <cell r="I551">
            <v>1465.5200839494096</v>
          </cell>
        </row>
        <row r="552">
          <cell r="B552" t="str">
            <v>#UMV180570011</v>
          </cell>
          <cell r="C552">
            <v>1448.5616654797934</v>
          </cell>
          <cell r="D552">
            <v>1447.6275965460127</v>
          </cell>
          <cell r="E552">
            <v>1447.3184633799458</v>
          </cell>
          <cell r="F552">
            <v>1448.8188925303389</v>
          </cell>
          <cell r="G552">
            <v>1457.5186678375298</v>
          </cell>
          <cell r="H552">
            <v>1459.247906105428</v>
          </cell>
          <cell r="I552">
            <v>1461.2964062434439</v>
          </cell>
        </row>
        <row r="553">
          <cell r="B553" t="str">
            <v>#UMV010670043</v>
          </cell>
          <cell r="C553">
            <v>1444.4056845622692</v>
          </cell>
          <cell r="D553">
            <v>1443.4734441930509</v>
          </cell>
          <cell r="E553">
            <v>1443.1643466406199</v>
          </cell>
          <cell r="F553">
            <v>1444.6579100382189</v>
          </cell>
          <cell r="G553">
            <v>1453.3318408506368</v>
          </cell>
          <cell r="H553">
            <v>1455.0552514931155</v>
          </cell>
          <cell r="I553">
            <v>1457.0970041341225</v>
          </cell>
        </row>
        <row r="554">
          <cell r="B554" t="str">
            <v>#UMV220670013</v>
          </cell>
          <cell r="C554">
            <v>1438.216235360479</v>
          </cell>
          <cell r="D554">
            <v>1437.2867273318166</v>
          </cell>
          <cell r="E554">
            <v>1436.9776919046203</v>
          </cell>
          <cell r="F554">
            <v>1438.4610575809697</v>
          </cell>
          <cell r="G554">
            <v>1447.0965079736879</v>
          </cell>
          <cell r="H554">
            <v>1448.8112488741494</v>
          </cell>
          <cell r="I554">
            <v>1450.8429618655707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>
            <v>46314</v>
          </cell>
          <cell r="N496">
            <v>24</v>
          </cell>
          <cell r="P496">
            <v>38448</v>
          </cell>
          <cell r="Q496">
            <v>1.587413</v>
          </cell>
        </row>
        <row r="497">
          <cell r="M497">
            <v>46315</v>
          </cell>
          <cell r="N497">
            <v>24.375</v>
          </cell>
          <cell r="P497">
            <v>38449</v>
          </cell>
          <cell r="Q497">
            <v>1.5882229999999999</v>
          </cell>
        </row>
        <row r="498">
          <cell r="M498">
            <v>46316</v>
          </cell>
          <cell r="N498">
            <v>24.1875</v>
          </cell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68"/>
  <sheetViews>
    <sheetView tabSelected="1" topLeftCell="AS1" workbookViewId="0">
      <pane ySplit="1" topLeftCell="A2" activePane="bottomLeft" state="frozen"/>
      <selection pane="bottomLeft" activeCell="BK1" sqref="BK1"/>
    </sheetView>
  </sheetViews>
  <sheetFormatPr baseColWidth="10" defaultRowHeight="14.4" x14ac:dyDescent="0.3"/>
  <cols>
    <col min="5" max="6" width="11.44140625" customWidth="1"/>
    <col min="19" max="20" width="11.44140625" style="10"/>
    <col min="22" max="22" width="11.44140625" style="10"/>
    <col min="24" max="31" width="11.44140625" style="10"/>
  </cols>
  <sheetData>
    <row r="1" spans="1:62" x14ac:dyDescent="0.3">
      <c r="A1" t="s">
        <v>2</v>
      </c>
      <c r="B1" t="s">
        <v>23</v>
      </c>
      <c r="C1" t="s">
        <v>24</v>
      </c>
      <c r="D1" s="10" t="s">
        <v>15</v>
      </c>
      <c r="E1" t="s">
        <v>7</v>
      </c>
      <c r="F1" t="s">
        <v>3</v>
      </c>
      <c r="G1" s="10" t="s">
        <v>16</v>
      </c>
      <c r="H1" t="s">
        <v>11</v>
      </c>
      <c r="I1" t="s">
        <v>17</v>
      </c>
      <c r="J1" t="s">
        <v>13</v>
      </c>
      <c r="K1" t="s">
        <v>14</v>
      </c>
      <c r="L1" s="10"/>
      <c r="N1" t="s">
        <v>4</v>
      </c>
      <c r="O1" t="s">
        <v>12</v>
      </c>
      <c r="Q1" s="10" t="s">
        <v>20</v>
      </c>
      <c r="R1" t="s">
        <v>25</v>
      </c>
      <c r="S1" s="10" t="s">
        <v>13</v>
      </c>
      <c r="T1" s="10" t="s">
        <v>26</v>
      </c>
      <c r="U1" s="10" t="s">
        <v>19</v>
      </c>
      <c r="V1" s="10" t="s">
        <v>14</v>
      </c>
      <c r="W1" s="10" t="s">
        <v>18</v>
      </c>
      <c r="X1" s="10" t="s">
        <v>27</v>
      </c>
      <c r="Y1" s="10" t="s">
        <v>28</v>
      </c>
      <c r="Z1" s="10" t="s">
        <v>29</v>
      </c>
      <c r="AA1" s="10" t="s">
        <v>30</v>
      </c>
      <c r="AB1" s="10" t="s">
        <v>31</v>
      </c>
      <c r="AC1" s="10" t="s">
        <v>32</v>
      </c>
      <c r="AD1" s="10" t="s">
        <v>33</v>
      </c>
      <c r="AE1" s="10" t="s">
        <v>34</v>
      </c>
      <c r="AH1" s="10" t="s">
        <v>55</v>
      </c>
      <c r="AI1" s="10" t="s">
        <v>56</v>
      </c>
      <c r="AJ1" s="10" t="s">
        <v>57</v>
      </c>
      <c r="AK1" s="10" t="s">
        <v>58</v>
      </c>
      <c r="AL1" s="10" t="s">
        <v>59</v>
      </c>
      <c r="AM1" s="10" t="s">
        <v>60</v>
      </c>
      <c r="AN1" s="10" t="s">
        <v>61</v>
      </c>
      <c r="AO1" s="10" t="s">
        <v>62</v>
      </c>
      <c r="AP1" s="10" t="s">
        <v>63</v>
      </c>
      <c r="AQ1" s="10" t="s">
        <v>64</v>
      </c>
      <c r="AR1" s="10" t="s">
        <v>65</v>
      </c>
      <c r="AS1" s="10" t="s">
        <v>66</v>
      </c>
      <c r="AT1" s="10" t="s">
        <v>67</v>
      </c>
      <c r="AU1" s="10" t="s">
        <v>68</v>
      </c>
      <c r="AW1" s="10" t="s">
        <v>69</v>
      </c>
      <c r="AX1" s="10" t="s">
        <v>70</v>
      </c>
      <c r="AY1" s="10" t="s">
        <v>71</v>
      </c>
      <c r="AZ1" s="10" t="s">
        <v>72</v>
      </c>
      <c r="BA1" s="10" t="s">
        <v>73</v>
      </c>
      <c r="BB1" s="10" t="s">
        <v>74</v>
      </c>
      <c r="BC1" s="10" t="s">
        <v>75</v>
      </c>
      <c r="BD1" s="10" t="s">
        <v>76</v>
      </c>
      <c r="BE1" s="10" t="s">
        <v>77</v>
      </c>
      <c r="BF1" s="10" t="s">
        <v>78</v>
      </c>
      <c r="BG1" s="10" t="s">
        <v>79</v>
      </c>
      <c r="BH1" s="10" t="s">
        <v>80</v>
      </c>
      <c r="BI1" s="10" t="s">
        <v>81</v>
      </c>
      <c r="BJ1" s="10" t="s">
        <v>82</v>
      </c>
    </row>
    <row r="2" spans="1:62" x14ac:dyDescent="0.3">
      <c r="A2" s="8">
        <v>46072</v>
      </c>
      <c r="B2" s="10">
        <v>1.100000000000062</v>
      </c>
      <c r="C2" s="8"/>
      <c r="D2" s="10">
        <v>1.0255000000000369</v>
      </c>
      <c r="E2">
        <v>121.4499999999918</v>
      </c>
      <c r="G2" s="10">
        <v>1.0959999999939141</v>
      </c>
      <c r="H2">
        <v>103.70000000000471</v>
      </c>
      <c r="I2" s="10">
        <v>1.0525000000000342</v>
      </c>
      <c r="K2" s="10">
        <v>1.0390000000000437</v>
      </c>
      <c r="N2">
        <v>102.99999999941318</v>
      </c>
      <c r="Q2" s="10">
        <v>1.0039999999997464</v>
      </c>
      <c r="R2" s="10">
        <v>2.4369999999991161</v>
      </c>
      <c r="T2" s="10">
        <v>1.7874999999863834</v>
      </c>
      <c r="U2" s="10">
        <v>9.9499999999518845E-3</v>
      </c>
      <c r="V2" s="10">
        <v>1.0390000000000437</v>
      </c>
      <c r="W2" s="10">
        <v>3.1489999999999956E-2</v>
      </c>
      <c r="Z2" s="10">
        <v>2.2240000000000069</v>
      </c>
      <c r="AB2" s="10">
        <v>2.8734999999995483</v>
      </c>
      <c r="AH2" s="10">
        <v>0.78156309111898226</v>
      </c>
      <c r="AI2" s="10">
        <v>0.60688512110730797</v>
      </c>
      <c r="AJ2" s="10">
        <v>0.59859999999995328</v>
      </c>
      <c r="AK2" s="10">
        <v>0.76368103806213439</v>
      </c>
      <c r="AL2" s="10">
        <v>0.71348701268716208</v>
      </c>
      <c r="AM2" s="10">
        <v>0.92102929642450659</v>
      </c>
      <c r="AN2" s="10"/>
      <c r="AO2" s="10"/>
      <c r="AP2" s="10"/>
      <c r="AQ2" s="10">
        <v>0.62163111803383952</v>
      </c>
      <c r="AR2" s="10">
        <v>0.61530832756622234</v>
      </c>
      <c r="AS2" s="10">
        <v>0.77438265282592356</v>
      </c>
      <c r="AT2" s="10">
        <v>0.80842069204152123</v>
      </c>
      <c r="AU2" s="10">
        <v>0.72011510957305869</v>
      </c>
      <c r="AW2" s="10">
        <v>0.80336747404862963</v>
      </c>
      <c r="AX2" s="10">
        <v>0.62381626297582116</v>
      </c>
      <c r="AY2" s="10">
        <v>0.61529999999995189</v>
      </c>
      <c r="AZ2" s="10">
        <v>0.78498653979223387</v>
      </c>
      <c r="BA2" s="10">
        <v>0.73339217993052264</v>
      </c>
      <c r="BB2" s="10">
        <v>0.94672456747410438</v>
      </c>
      <c r="BC2" s="10"/>
      <c r="BD2" s="10"/>
      <c r="BE2" s="10">
        <v>0.63972173762539131</v>
      </c>
      <c r="BF2" s="10">
        <v>0.63247446366771887</v>
      </c>
      <c r="BG2" s="10">
        <v>0.79598671280285782</v>
      </c>
      <c r="BH2" s="10"/>
      <c r="BI2" s="10">
        <v>0.83097435986159029</v>
      </c>
      <c r="BJ2" s="10">
        <v>0.74020519031123111</v>
      </c>
    </row>
    <row r="3" spans="1:62" x14ac:dyDescent="0.3">
      <c r="A3" s="8">
        <v>46073</v>
      </c>
      <c r="B3" s="10">
        <v>1.1093700000000242</v>
      </c>
      <c r="C3" s="8"/>
      <c r="D3" s="10">
        <v>1.0275000000000187</v>
      </c>
      <c r="E3">
        <v>121.79999999999124</v>
      </c>
      <c r="G3" s="10">
        <v>1.10149999999524</v>
      </c>
      <c r="H3">
        <v>104.14999999893084</v>
      </c>
      <c r="I3" s="10">
        <v>1.0550000000000848</v>
      </c>
      <c r="K3" s="10">
        <v>1.0385000000000253</v>
      </c>
      <c r="N3">
        <v>104.89999999968605</v>
      </c>
      <c r="Q3" s="10">
        <v>1.0052499999997973</v>
      </c>
      <c r="R3" s="10">
        <v>2.4439999999993489</v>
      </c>
      <c r="T3" s="10">
        <v>1.792999999989261</v>
      </c>
      <c r="U3" s="10">
        <v>9.8999999999997822E-3</v>
      </c>
      <c r="V3" s="10">
        <v>1.0385000000000253</v>
      </c>
      <c r="W3" s="10">
        <v>3.1950000000001012E-2</v>
      </c>
      <c r="Z3" s="10">
        <v>2.2324999999999329</v>
      </c>
      <c r="AB3" s="10">
        <v>2.8844999999999335</v>
      </c>
      <c r="AH3" s="10">
        <v>0.78076665124882072</v>
      </c>
      <c r="AI3" s="10">
        <v>0.60525066481666723</v>
      </c>
      <c r="AJ3" s="10">
        <v>0.59700000000002218</v>
      </c>
      <c r="AK3" s="10">
        <v>0.76626965772436395</v>
      </c>
      <c r="AL3" s="10">
        <v>0.71573728029584216</v>
      </c>
      <c r="AM3" s="10">
        <v>0.92159458834400954</v>
      </c>
      <c r="AN3" s="10"/>
      <c r="AO3" s="10"/>
      <c r="AP3" s="10"/>
      <c r="AQ3" s="10">
        <v>0.62712802636144849</v>
      </c>
      <c r="AR3" s="10">
        <v>0.61094472710448944</v>
      </c>
      <c r="AS3" s="10">
        <v>0.77455365402419707</v>
      </c>
      <c r="AT3" s="10">
        <v>0.80837997224808988</v>
      </c>
      <c r="AU3" s="10">
        <v>0.71967217853820953</v>
      </c>
      <c r="AW3" s="10">
        <v>0.80666142460682178</v>
      </c>
      <c r="AX3" s="10">
        <v>0.62573326396107443</v>
      </c>
      <c r="AY3" s="10">
        <v>0.61680000000002277</v>
      </c>
      <c r="AZ3" s="10">
        <v>0.79168362627200606</v>
      </c>
      <c r="BA3" s="10">
        <v>0.73947530064736255</v>
      </c>
      <c r="BB3" s="10">
        <v>0.95216003700265506</v>
      </c>
      <c r="BC3" s="10"/>
      <c r="BD3" s="10"/>
      <c r="BE3" s="10">
        <v>0.64835098855360995</v>
      </c>
      <c r="BF3" s="10">
        <v>0.63120721554112069</v>
      </c>
      <c r="BG3" s="10">
        <v>0.8002423681777634</v>
      </c>
      <c r="BH3" s="10"/>
      <c r="BI3" s="10">
        <v>0.83519056429249883</v>
      </c>
      <c r="BJ3" s="10">
        <v>0.74354070305254216</v>
      </c>
    </row>
    <row r="4" spans="1:62" x14ac:dyDescent="0.3">
      <c r="A4" s="8">
        <v>46076</v>
      </c>
      <c r="B4" s="10">
        <v>1.1040000000000636</v>
      </c>
      <c r="C4" s="8"/>
      <c r="D4" s="10">
        <v>1.0294000000000267</v>
      </c>
      <c r="E4">
        <v>121.89999999998918</v>
      </c>
      <c r="G4" s="10">
        <v>1.1029999999954871</v>
      </c>
      <c r="H4">
        <v>103.50000000000973</v>
      </c>
      <c r="I4" s="10">
        <v>1.0519999999999896</v>
      </c>
      <c r="K4" s="10">
        <v>0.9999999999992718</v>
      </c>
      <c r="N4">
        <v>103.99999999937211</v>
      </c>
      <c r="Q4" s="10">
        <v>1.0084999999998279</v>
      </c>
      <c r="R4" s="10">
        <v>2.4459999999993474</v>
      </c>
      <c r="T4" s="10">
        <v>1.7919999999873619</v>
      </c>
      <c r="U4" s="10">
        <v>1.0330000000000051E-2</v>
      </c>
      <c r="V4" s="10">
        <v>0.9999999999992718</v>
      </c>
      <c r="W4" s="10">
        <v>3.1829999999999678E-2</v>
      </c>
      <c r="Z4" s="10">
        <v>2.2329999999997137</v>
      </c>
      <c r="AB4" s="10">
        <v>2.884000000000198</v>
      </c>
      <c r="AH4" s="10">
        <v>0.77771096034630238</v>
      </c>
      <c r="AI4" s="10">
        <v>0.60204957304950413</v>
      </c>
      <c r="AJ4" s="10">
        <v>0.59309999999999607</v>
      </c>
      <c r="AK4" s="10">
        <v>0.75967306117677547</v>
      </c>
      <c r="AL4" s="10">
        <v>0.70951382617851821</v>
      </c>
      <c r="AM4" s="10">
        <v>0.91715779623348426</v>
      </c>
      <c r="AN4" s="10"/>
      <c r="AO4" s="10"/>
      <c r="AP4" s="10"/>
      <c r="AQ4" s="10">
        <v>0.62733157894735525</v>
      </c>
      <c r="AR4" s="10">
        <v>0.61314981869231722</v>
      </c>
      <c r="AS4" s="10">
        <v>0.77077330681959555</v>
      </c>
      <c r="AT4" s="10">
        <v>0.80449030295944557</v>
      </c>
      <c r="AU4" s="10">
        <v>0.71887965843956836</v>
      </c>
      <c r="AW4" s="10">
        <v>0.80367399695877351</v>
      </c>
      <c r="AX4" s="10">
        <v>0.6221483448356786</v>
      </c>
      <c r="AY4" s="10">
        <v>0.61289999999999578</v>
      </c>
      <c r="AZ4" s="10">
        <v>0.78503392209618217</v>
      </c>
      <c r="BA4" s="10">
        <v>0.73320017545913629</v>
      </c>
      <c r="BB4" s="10">
        <v>0.94777611416540608</v>
      </c>
      <c r="BC4" s="10"/>
      <c r="BD4" s="10"/>
      <c r="BE4" s="10">
        <v>0.64912421052630231</v>
      </c>
      <c r="BF4" s="10">
        <v>0.63361916013576314</v>
      </c>
      <c r="BG4" s="10">
        <v>0.7965047373962737</v>
      </c>
      <c r="BH4" s="10"/>
      <c r="BI4" s="10">
        <v>0.83134733887007939</v>
      </c>
      <c r="BJ4" s="10">
        <v>0.74287867586850675</v>
      </c>
    </row>
    <row r="5" spans="1:62" x14ac:dyDescent="0.3">
      <c r="A5" s="8">
        <v>46077</v>
      </c>
      <c r="B5" s="10">
        <v>1.1119999999999826</v>
      </c>
      <c r="C5" s="8"/>
      <c r="D5" s="10">
        <v>1.0389499999999909</v>
      </c>
      <c r="E5">
        <v>123.55000000000049</v>
      </c>
      <c r="G5" s="10">
        <v>1.1159999999973647</v>
      </c>
      <c r="H5">
        <v>105.14999999930235</v>
      </c>
      <c r="I5" s="10">
        <v>1.0614999999999595</v>
      </c>
      <c r="K5" s="10">
        <v>1.0089999999997927</v>
      </c>
      <c r="N5">
        <v>103.50000000000152</v>
      </c>
      <c r="Q5" s="10">
        <v>1.0114999999998535</v>
      </c>
      <c r="R5" s="10">
        <v>2.451999999999344</v>
      </c>
      <c r="T5" s="10">
        <v>1.7969999999874642</v>
      </c>
      <c r="U5" s="10">
        <v>1.004999999997616E-2</v>
      </c>
      <c r="V5" s="10">
        <v>1.0089999999997927</v>
      </c>
      <c r="W5" s="10">
        <v>3.1779999999999732E-2</v>
      </c>
      <c r="Z5" s="10">
        <v>2.244000000000073</v>
      </c>
      <c r="AB5" s="10">
        <v>2.8924999999999188</v>
      </c>
      <c r="AH5" s="10">
        <v>0.77298622097790937</v>
      </c>
      <c r="AI5" s="10">
        <v>0.59722280947382245</v>
      </c>
      <c r="AJ5" s="10">
        <v>0.59170000000001888</v>
      </c>
      <c r="AK5" s="10">
        <v>0.75117112355605486</v>
      </c>
      <c r="AL5" s="10">
        <v>0.70146583829126641</v>
      </c>
      <c r="AM5" s="10">
        <v>0.91918156881046398</v>
      </c>
      <c r="AN5" s="10"/>
      <c r="AO5" s="10"/>
      <c r="AP5" s="10"/>
      <c r="AQ5" s="10">
        <v>0.61922499999997782</v>
      </c>
      <c r="AR5" s="10">
        <v>0.6103394819740503</v>
      </c>
      <c r="AS5" s="10">
        <v>0.76573753354329321</v>
      </c>
      <c r="AT5" s="10">
        <v>0.80039316299121799</v>
      </c>
      <c r="AU5" s="10">
        <v>0.70968101738411948</v>
      </c>
      <c r="AW5" s="10">
        <v>0.7968930113174324</v>
      </c>
      <c r="AX5" s="10">
        <v>0.61569361801424993</v>
      </c>
      <c r="AY5" s="10">
        <v>0.61000000000001942</v>
      </c>
      <c r="AZ5" s="10">
        <v>0.77440322016088114</v>
      </c>
      <c r="BA5" s="10">
        <v>0.72316065803223339</v>
      </c>
      <c r="BB5" s="10">
        <v>0.94758106688446619</v>
      </c>
      <c r="BC5" s="10"/>
      <c r="BD5" s="10"/>
      <c r="BE5" s="10">
        <v>0.63856924603172327</v>
      </c>
      <c r="BF5" s="10">
        <v>0.62921596079799014</v>
      </c>
      <c r="BG5" s="10">
        <v>0.78942013767349817</v>
      </c>
      <c r="BH5" s="10"/>
      <c r="BI5" s="10">
        <v>0.8251475907125958</v>
      </c>
      <c r="BJ5" s="10">
        <v>0.73162991482898898</v>
      </c>
    </row>
    <row r="6" spans="1:62" x14ac:dyDescent="0.3">
      <c r="A6" s="8">
        <v>46078</v>
      </c>
      <c r="B6" s="10">
        <v>1.1115000000000084</v>
      </c>
      <c r="C6" s="8"/>
      <c r="D6" s="10">
        <v>1.0409999999999873</v>
      </c>
      <c r="E6">
        <v>123.59999999999873</v>
      </c>
      <c r="G6" s="10">
        <v>1.1189999999977578</v>
      </c>
      <c r="H6">
        <v>105.49999999939821</v>
      </c>
      <c r="I6" s="10">
        <v>1.0615000000000072</v>
      </c>
      <c r="K6" s="10"/>
      <c r="N6">
        <v>104.90000000000501</v>
      </c>
      <c r="Q6" s="10">
        <v>1.0114999999998486</v>
      </c>
      <c r="R6" s="10">
        <v>2.4549999999994578</v>
      </c>
      <c r="T6" s="10">
        <v>1.7974999999866776</v>
      </c>
      <c r="U6" s="10">
        <v>1.004999999997251E-2</v>
      </c>
      <c r="V6" s="10">
        <v>1.026000000000066</v>
      </c>
      <c r="W6" s="10">
        <v>3.1705000000001766E-2</v>
      </c>
      <c r="Z6" s="10">
        <v>2.2525000000000031</v>
      </c>
      <c r="AB6" s="10">
        <v>2.8939999999996582</v>
      </c>
      <c r="AH6" s="10">
        <v>0.7737876606978783</v>
      </c>
      <c r="AI6" s="10">
        <v>0.59360169880628144</v>
      </c>
      <c r="AJ6" s="10">
        <v>0.59170000000002188</v>
      </c>
      <c r="AK6" s="10">
        <v>0.75117102846657491</v>
      </c>
      <c r="AL6" s="10">
        <v>0.70620943526146307</v>
      </c>
      <c r="AM6" s="10">
        <v>0.91621131772256914</v>
      </c>
      <c r="AN6" s="10"/>
      <c r="AO6" s="10"/>
      <c r="AP6" s="10"/>
      <c r="AQ6" s="10">
        <v>0.62208995979325654</v>
      </c>
      <c r="AR6" s="10">
        <v>0.61329786501377415</v>
      </c>
      <c r="AS6" s="10">
        <v>0.76475459136841495</v>
      </c>
      <c r="AT6" s="10">
        <v>0.80285648530771836</v>
      </c>
      <c r="AU6" s="10">
        <v>0.71191188971866071</v>
      </c>
      <c r="AW6" s="10">
        <v>0.79902697428832792</v>
      </c>
      <c r="AX6" s="10">
        <v>0.61296372819103928</v>
      </c>
      <c r="AY6" s="10">
        <v>0.61100000000002253</v>
      </c>
      <c r="AZ6" s="10">
        <v>0.7756726354454575</v>
      </c>
      <c r="BA6" s="10">
        <v>0.72924449035787375</v>
      </c>
      <c r="BB6" s="10">
        <v>0.94609618916425509</v>
      </c>
      <c r="BC6" s="10"/>
      <c r="BD6" s="10"/>
      <c r="BE6" s="10">
        <v>0.64184885697878313</v>
      </c>
      <c r="BF6" s="10">
        <v>0.63330234159779619</v>
      </c>
      <c r="BG6" s="10">
        <v>0.78969926538127677</v>
      </c>
      <c r="BH6" s="10"/>
      <c r="BI6" s="10">
        <v>0.82904396235088029</v>
      </c>
      <c r="BJ6" s="10">
        <v>0.73452372199896276</v>
      </c>
    </row>
    <row r="7" spans="1:62" x14ac:dyDescent="0.3">
      <c r="A7" s="8">
        <v>46079</v>
      </c>
      <c r="B7" s="10">
        <v>1.1140000000000327</v>
      </c>
      <c r="C7" s="8"/>
      <c r="D7" s="10">
        <v>1.042009999999967</v>
      </c>
      <c r="E7">
        <v>124.14999999999895</v>
      </c>
      <c r="G7" s="10">
        <v>1.1254999999983901</v>
      </c>
      <c r="H7">
        <v>105.99999999950973</v>
      </c>
      <c r="I7" s="10">
        <v>1.0749999999899797</v>
      </c>
      <c r="K7" s="10">
        <v>1.026000000000066</v>
      </c>
      <c r="N7">
        <v>103.50000000000257</v>
      </c>
      <c r="Q7" s="10">
        <v>1.0169999999999662</v>
      </c>
      <c r="R7" s="10">
        <v>2.469999999999839</v>
      </c>
      <c r="T7" s="10">
        <v>1.8069999999918676</v>
      </c>
      <c r="U7" s="10">
        <v>1.009999999998396E-2</v>
      </c>
      <c r="V7" s="10">
        <v>1.026000000000066</v>
      </c>
      <c r="W7" s="10">
        <v>3.203999999999968E-2</v>
      </c>
      <c r="Z7" s="10">
        <v>2.2640000000000535</v>
      </c>
      <c r="AB7" s="10">
        <v>2.9000000000000155</v>
      </c>
      <c r="AH7" s="10">
        <v>0.77143162393171816</v>
      </c>
      <c r="AI7" s="10">
        <v>0.59958974358974082</v>
      </c>
      <c r="AJ7" s="10">
        <v>0.59250000000003333</v>
      </c>
      <c r="AK7" s="10">
        <v>0.74833931623951055</v>
      </c>
      <c r="AL7" s="10">
        <v>0.70154700854658392</v>
      </c>
      <c r="AM7" s="10">
        <v>0.91734529914520513</v>
      </c>
      <c r="AN7" s="10"/>
      <c r="AO7" s="10"/>
      <c r="AP7" s="10"/>
      <c r="AQ7" s="10">
        <v>0.62027098687964655</v>
      </c>
      <c r="AR7" s="10">
        <v>0.6134991452991716</v>
      </c>
      <c r="AS7" s="10">
        <v>0.76825811965827162</v>
      </c>
      <c r="AT7" s="10">
        <v>0.79627948717924013</v>
      </c>
      <c r="AU7" s="10">
        <v>0.70897435897392935</v>
      </c>
      <c r="AW7" s="10">
        <v>0.79473732193741897</v>
      </c>
      <c r="AX7" s="10">
        <v>0.61770393162392867</v>
      </c>
      <c r="AY7" s="10">
        <v>0.61040000000003425</v>
      </c>
      <c r="AZ7" s="10">
        <v>0.77094737321957341</v>
      </c>
      <c r="BA7" s="10">
        <v>0.72274142450098688</v>
      </c>
      <c r="BB7" s="10">
        <v>0.94505919088309387</v>
      </c>
      <c r="BC7" s="10"/>
      <c r="BD7" s="10"/>
      <c r="BE7" s="10">
        <v>0.64020527096407376</v>
      </c>
      <c r="BF7" s="10">
        <v>0.63203354985757687</v>
      </c>
      <c r="BG7" s="10">
        <v>0.79146794302009937</v>
      </c>
      <c r="BH7" s="10"/>
      <c r="BI7" s="10">
        <v>0.82033586324760865</v>
      </c>
      <c r="BJ7" s="10">
        <v>0.73039316239271967</v>
      </c>
    </row>
    <row r="8" spans="1:62" x14ac:dyDescent="0.3">
      <c r="A8" s="8">
        <v>46080</v>
      </c>
      <c r="B8" s="10">
        <v>1.110099999999985</v>
      </c>
      <c r="C8" s="8"/>
      <c r="D8" s="10">
        <v>1.0489999999999859</v>
      </c>
      <c r="E8">
        <v>124.50000000000203</v>
      </c>
      <c r="G8" s="10">
        <v>1.1284999999985121</v>
      </c>
      <c r="H8">
        <v>105.99999999951297</v>
      </c>
      <c r="I8" s="10">
        <v>1.103999999997076</v>
      </c>
      <c r="K8" s="10">
        <v>1.0290000000000044</v>
      </c>
      <c r="N8">
        <v>104.89999999999642</v>
      </c>
      <c r="Q8" s="10">
        <v>1.0244999999999562</v>
      </c>
      <c r="R8" s="10">
        <v>2.4799999999998779</v>
      </c>
      <c r="T8" s="10">
        <v>1.8179999999957566</v>
      </c>
      <c r="U8" s="10">
        <v>1.0400000000001014E-2</v>
      </c>
      <c r="V8" s="10">
        <v>1.0290000000000044</v>
      </c>
      <c r="W8" s="10">
        <v>3.2499999999773217E-2</v>
      </c>
      <c r="Z8" s="10">
        <v>2.2749999999999839</v>
      </c>
      <c r="AB8" s="10">
        <v>2.9069999999999272</v>
      </c>
      <c r="AH8" s="10">
        <v>0.76461902262654713</v>
      </c>
      <c r="AI8" s="10">
        <v>0.5978601003032058</v>
      </c>
      <c r="AJ8" s="10">
        <v>0.58550000000000102</v>
      </c>
      <c r="AK8" s="10">
        <v>0.74297177513424983</v>
      </c>
      <c r="AL8" s="10">
        <v>0.69926755306715482</v>
      </c>
      <c r="AM8" s="10">
        <v>0.91710578493127148</v>
      </c>
      <c r="AN8" s="10">
        <v>0.98464246559354607</v>
      </c>
      <c r="AO8" s="10"/>
      <c r="AP8" s="10"/>
      <c r="AQ8" s="10">
        <v>0.61725384884534562</v>
      </c>
      <c r="AR8" s="10">
        <v>0.60967389783055603</v>
      </c>
      <c r="AS8" s="10">
        <v>0.75792681362233016</v>
      </c>
      <c r="AT8" s="10">
        <v>0.79077326801958647</v>
      </c>
      <c r="AU8" s="10">
        <v>0.71019360858405367</v>
      </c>
      <c r="AW8" s="10">
        <v>0.78877863307674545</v>
      </c>
      <c r="AX8" s="10">
        <v>0.61675064147418668</v>
      </c>
      <c r="AY8" s="10">
        <v>0.60400000000000087</v>
      </c>
      <c r="AZ8" s="10">
        <v>0.7664473991137265</v>
      </c>
      <c r="BA8" s="10">
        <v>0.72136225798900344</v>
      </c>
      <c r="BB8" s="10">
        <v>0.94608350828093579</v>
      </c>
      <c r="BC8" s="10">
        <v>1.0157541404244266</v>
      </c>
      <c r="BD8" s="10"/>
      <c r="BE8" s="10">
        <v>0.6367571728481447</v>
      </c>
      <c r="BF8" s="10">
        <v>0.62893771868429693</v>
      </c>
      <c r="BG8" s="10">
        <v>0.781874970841823</v>
      </c>
      <c r="BH8" s="10"/>
      <c r="BI8" s="10">
        <v>0.81575927221832656</v>
      </c>
      <c r="BJ8" s="10">
        <v>0.73263354327031327</v>
      </c>
    </row>
    <row r="9" spans="1:62" x14ac:dyDescent="0.3">
      <c r="A9" s="8">
        <v>46083</v>
      </c>
      <c r="B9" s="10">
        <v>1.1223999999999632</v>
      </c>
      <c r="C9" s="8"/>
      <c r="D9" s="10">
        <v>1.0555000000000447</v>
      </c>
      <c r="E9">
        <v>124.79999999999687</v>
      </c>
      <c r="G9" s="10">
        <v>1.1284999999984553</v>
      </c>
      <c r="H9">
        <v>106.74999999965307</v>
      </c>
      <c r="I9" s="10">
        <v>1.0909999999948847</v>
      </c>
      <c r="K9" s="10">
        <v>1.0290000000000237</v>
      </c>
      <c r="N9">
        <v>106.99999999972248</v>
      </c>
      <c r="Q9" s="10">
        <v>1.0239999999999734</v>
      </c>
      <c r="R9" s="10">
        <v>2.4799999999997042</v>
      </c>
      <c r="T9" s="10">
        <v>1.8244999999969738</v>
      </c>
      <c r="U9" s="10">
        <v>1.0199999999993842E-2</v>
      </c>
      <c r="V9" s="10">
        <v>1.0290000000000237</v>
      </c>
      <c r="W9" s="10">
        <v>3.2554999999793027E-2</v>
      </c>
      <c r="Z9" s="10">
        <v>2.275000000000186</v>
      </c>
      <c r="AB9" s="10">
        <v>2.9100000000002035</v>
      </c>
      <c r="AH9" s="10">
        <v>0.76484414048909311</v>
      </c>
      <c r="AI9" s="10">
        <v>0.59758205841443834</v>
      </c>
      <c r="AJ9" s="10">
        <v>0.59039999999998127</v>
      </c>
      <c r="AK9" s="10">
        <v>0.74527135736652439</v>
      </c>
      <c r="AL9" s="10">
        <v>0.69456005563899426</v>
      </c>
      <c r="AM9" s="10">
        <v>0.92382167613302701</v>
      </c>
      <c r="AN9" s="10">
        <v>0.98206097136879889</v>
      </c>
      <c r="AO9" s="10"/>
      <c r="AP9" s="10"/>
      <c r="AQ9" s="10">
        <v>0.61462645183723874</v>
      </c>
      <c r="AR9" s="10">
        <v>0.61243649008915835</v>
      </c>
      <c r="AS9" s="10">
        <v>0.76060108960231843</v>
      </c>
      <c r="AT9" s="10">
        <v>0.79632484061678865</v>
      </c>
      <c r="AU9" s="10">
        <v>0.70585204590209438</v>
      </c>
      <c r="AW9" s="10">
        <v>0.78816255940644353</v>
      </c>
      <c r="AX9" s="10">
        <v>0.61569367176631529</v>
      </c>
      <c r="AY9" s="10">
        <v>0.60839999999998062</v>
      </c>
      <c r="AZ9" s="10">
        <v>0.76799304509111355</v>
      </c>
      <c r="BA9" s="10">
        <v>0.71573566709140257</v>
      </c>
      <c r="BB9" s="10">
        <v>0.95198697113708264</v>
      </c>
      <c r="BC9" s="10">
        <v>1.0120018546422378</v>
      </c>
      <c r="BD9" s="10"/>
      <c r="BE9" s="10">
        <v>0.63336506317373986</v>
      </c>
      <c r="BF9" s="10">
        <v>0.63110833429919355</v>
      </c>
      <c r="BG9" s="10">
        <v>0.78379014721214513</v>
      </c>
      <c r="BH9" s="10"/>
      <c r="BI9" s="10">
        <v>0.8206030369770565</v>
      </c>
      <c r="BJ9" s="10">
        <v>0.72737192535032902</v>
      </c>
    </row>
    <row r="10" spans="1:62" x14ac:dyDescent="0.3">
      <c r="A10" s="8">
        <v>46084</v>
      </c>
      <c r="B10" s="10">
        <v>1.119999999999977</v>
      </c>
      <c r="C10" s="8"/>
      <c r="D10" s="10">
        <v>1.0584999999999973</v>
      </c>
      <c r="E10">
        <v>124.30000000000105</v>
      </c>
      <c r="G10" s="10">
        <v>1.1219999999980719</v>
      </c>
      <c r="H10">
        <v>106.6999999996502</v>
      </c>
      <c r="I10" s="10">
        <v>1.0839999999930721</v>
      </c>
      <c r="K10" s="10">
        <v>1.0290000000000428</v>
      </c>
      <c r="N10">
        <v>106.79999999978268</v>
      </c>
      <c r="Q10" s="10">
        <v>1.0269999999999477</v>
      </c>
      <c r="R10" s="10">
        <v>2.4819999999995495</v>
      </c>
      <c r="T10" s="10">
        <v>1.8199999999923318</v>
      </c>
      <c r="U10" s="10">
        <v>1.0299999999997192E-2</v>
      </c>
      <c r="V10" s="10">
        <v>1.0290000000000428</v>
      </c>
      <c r="W10" s="10">
        <v>3.2324999999997717E-2</v>
      </c>
      <c r="Z10" s="10">
        <v>2.274000000000008</v>
      </c>
      <c r="AB10" s="10">
        <v>2.9100000000006103</v>
      </c>
      <c r="AH10" s="10">
        <v>0.75622771707868364</v>
      </c>
      <c r="AI10" s="10">
        <v>0.59354456584247484</v>
      </c>
      <c r="AJ10" s="10">
        <v>0.5849999999999681</v>
      </c>
      <c r="AK10" s="10">
        <v>0.73671650340282824</v>
      </c>
      <c r="AL10" s="10">
        <v>0.68491086831401216</v>
      </c>
      <c r="AM10" s="10">
        <v>0.90895342150663572</v>
      </c>
      <c r="AN10" s="10">
        <v>0.97757906842958731</v>
      </c>
      <c r="AO10" s="10"/>
      <c r="AP10" s="10"/>
      <c r="AQ10" s="10">
        <v>0.61513936121323542</v>
      </c>
      <c r="AR10" s="10">
        <v>0.60888441633128876</v>
      </c>
      <c r="AS10" s="10">
        <v>0.75468027602055943</v>
      </c>
      <c r="AT10" s="10">
        <v>0.78583093732025189</v>
      </c>
      <c r="AU10" s="10">
        <v>0.69863599769924944</v>
      </c>
      <c r="AW10" s="10">
        <v>0.78376216216206163</v>
      </c>
      <c r="AX10" s="10">
        <v>0.61515567567571372</v>
      </c>
      <c r="AY10" s="10">
        <v>0.60629999999996709</v>
      </c>
      <c r="AZ10" s="10">
        <v>0.76354054019339301</v>
      </c>
      <c r="BA10" s="10">
        <v>0.70984864864749686</v>
      </c>
      <c r="BB10" s="10">
        <v>0.94204864864867233</v>
      </c>
      <c r="BC10" s="10">
        <v>1.0131729729724084</v>
      </c>
      <c r="BD10" s="10"/>
      <c r="BE10" s="10">
        <v>0.63364057904411764</v>
      </c>
      <c r="BF10" s="10">
        <v>0.63105405405412041</v>
      </c>
      <c r="BG10" s="10">
        <v>0.78215837837823121</v>
      </c>
      <c r="BH10" s="10"/>
      <c r="BI10" s="10">
        <v>0.8144432432431945</v>
      </c>
      <c r="BJ10" s="10">
        <v>0.72407351351291449</v>
      </c>
    </row>
    <row r="11" spans="1:62" x14ac:dyDescent="0.3">
      <c r="A11" s="8">
        <v>46085</v>
      </c>
      <c r="B11" s="10">
        <v>1.1234899999999748</v>
      </c>
      <c r="C11" s="8"/>
      <c r="D11" s="10">
        <v>1.0574999999999493</v>
      </c>
      <c r="E11">
        <v>124.59999999999923</v>
      </c>
      <c r="G11" s="10">
        <v>1.1249999999983304</v>
      </c>
      <c r="H11">
        <v>106.74999999964984</v>
      </c>
      <c r="I11" s="10">
        <v>1.0849999999935449</v>
      </c>
      <c r="K11" s="10">
        <v>0.99799999999567179</v>
      </c>
      <c r="N11">
        <v>106.79999999987135</v>
      </c>
      <c r="Q11" s="10">
        <v>1.0299999999999416</v>
      </c>
      <c r="R11" s="10">
        <v>2.4979999999997498</v>
      </c>
      <c r="T11" s="10">
        <v>1.8319999999961294</v>
      </c>
      <c r="U11" s="10">
        <v>1.0399999999999417E-2</v>
      </c>
      <c r="V11" s="10">
        <v>0.99799999999567179</v>
      </c>
      <c r="W11" s="10">
        <v>3.2490000000001837E-2</v>
      </c>
      <c r="Z11" s="10">
        <v>2.282000000000258</v>
      </c>
      <c r="AB11" s="10">
        <v>2.9289999999996548</v>
      </c>
      <c r="AH11" s="10">
        <v>0.77217130554597391</v>
      </c>
      <c r="AI11" s="10">
        <v>0.6033120909403894</v>
      </c>
      <c r="AJ11" s="10">
        <v>0.59370000000008138</v>
      </c>
      <c r="AK11" s="10">
        <v>0.75349249052713219</v>
      </c>
      <c r="AL11" s="10">
        <v>0.70659094040593051</v>
      </c>
      <c r="AM11" s="10">
        <v>0.91982938339638121</v>
      </c>
      <c r="AN11" s="10">
        <v>0.98370547709258871</v>
      </c>
      <c r="AO11" s="10"/>
      <c r="AP11" s="10"/>
      <c r="AQ11" s="10">
        <v>0.62069565966245643</v>
      </c>
      <c r="AR11" s="10">
        <v>0.61619638305208912</v>
      </c>
      <c r="AS11" s="10">
        <v>0.77244398897697863</v>
      </c>
      <c r="AT11" s="10">
        <v>0.80550685497756225</v>
      </c>
      <c r="AU11" s="10">
        <v>0.71647571477756433</v>
      </c>
      <c r="AW11" s="10">
        <v>0.79337122516935166</v>
      </c>
      <c r="AX11" s="10">
        <v>0.6198759903547878</v>
      </c>
      <c r="AY11" s="10">
        <v>0.61000000000008359</v>
      </c>
      <c r="AZ11" s="10">
        <v>0.77417958433813483</v>
      </c>
      <c r="BA11" s="10">
        <v>0.72599035480481322</v>
      </c>
      <c r="BB11" s="10">
        <v>0.94508324721541614</v>
      </c>
      <c r="BC11" s="10">
        <v>1.010713055459793</v>
      </c>
      <c r="BD11" s="10"/>
      <c r="BE11" s="10">
        <v>0.63773682397523734</v>
      </c>
      <c r="BF11" s="10">
        <v>0.63311401997940775</v>
      </c>
      <c r="BG11" s="10">
        <v>0.79365139510856819</v>
      </c>
      <c r="BH11" s="10"/>
      <c r="BI11" s="10">
        <v>0.82762200022959898</v>
      </c>
      <c r="BJ11" s="10">
        <v>0.73614651509906393</v>
      </c>
    </row>
    <row r="12" spans="1:62" x14ac:dyDescent="0.3">
      <c r="A12" s="8">
        <v>46086</v>
      </c>
      <c r="B12" s="10">
        <v>1.1188500000000026</v>
      </c>
      <c r="C12" s="8"/>
      <c r="D12" s="10">
        <v>1.0523600000000179</v>
      </c>
      <c r="E12">
        <v>124.60000000000102</v>
      </c>
      <c r="G12" s="10">
        <v>1.1244999999982772</v>
      </c>
      <c r="H12">
        <v>106.49999999960409</v>
      </c>
      <c r="I12" s="10">
        <v>1.0774999999910853</v>
      </c>
      <c r="K12" s="10">
        <v>1.0390000000000099</v>
      </c>
      <c r="N12">
        <v>105.19999999983145</v>
      </c>
      <c r="Q12" s="10">
        <v>1.032000000000004</v>
      </c>
      <c r="R12" s="10">
        <v>2.5049999999999666</v>
      </c>
      <c r="T12" s="10">
        <v>1.8344999999963159</v>
      </c>
      <c r="U12" s="11">
        <v>1.0675000000000372E-2</v>
      </c>
      <c r="V12" s="10">
        <v>1.0390000000000099</v>
      </c>
      <c r="W12" s="10">
        <v>3.2459999999998955E-2</v>
      </c>
      <c r="Z12" s="10">
        <v>2.2900000000001266</v>
      </c>
      <c r="AB12" s="10">
        <v>2.928999999999887</v>
      </c>
      <c r="AH12" s="10">
        <v>0.76581521113780626</v>
      </c>
      <c r="AI12" s="10">
        <v>0.59801357726390636</v>
      </c>
      <c r="AJ12" s="10">
        <v>0.58899999999989783</v>
      </c>
      <c r="AK12" s="10">
        <v>0.74717811529159517</v>
      </c>
      <c r="AL12" s="10">
        <v>0.70400782418537711</v>
      </c>
      <c r="AM12" s="10">
        <v>0.91518306293862239</v>
      </c>
      <c r="AN12" s="10">
        <v>0.9826832355308549</v>
      </c>
      <c r="AO12" s="10"/>
      <c r="AP12" s="10"/>
      <c r="AQ12" s="10">
        <v>0.61793832700495099</v>
      </c>
      <c r="AR12" s="10">
        <v>0.61109342998495253</v>
      </c>
      <c r="AS12" s="10">
        <v>0.76513749856160618</v>
      </c>
      <c r="AT12" s="10">
        <v>0.80220837648152055</v>
      </c>
      <c r="AU12" s="10">
        <v>0.70888735473462983</v>
      </c>
      <c r="AW12" s="10">
        <v>0.78843861465868559</v>
      </c>
      <c r="AX12" s="10">
        <v>0.61567985272127834</v>
      </c>
      <c r="AY12" s="10">
        <v>0.60639999999989502</v>
      </c>
      <c r="AZ12" s="10">
        <v>0.76925094925776483</v>
      </c>
      <c r="BA12" s="10">
        <v>0.7248053388557093</v>
      </c>
      <c r="BB12" s="10">
        <v>0.94221903118163131</v>
      </c>
      <c r="BC12" s="10">
        <v>1.0117132665974711</v>
      </c>
      <c r="BD12" s="10"/>
      <c r="BE12" s="10">
        <v>0.63619321136808549</v>
      </c>
      <c r="BF12" s="10">
        <v>0.62914610516617198</v>
      </c>
      <c r="BG12" s="10">
        <v>0.78774088137140597</v>
      </c>
      <c r="BH12" s="10"/>
      <c r="BI12" s="10">
        <v>0.82590689218742652</v>
      </c>
      <c r="BJ12" s="10">
        <v>0.72982901852475324</v>
      </c>
    </row>
    <row r="13" spans="1:62" x14ac:dyDescent="0.3">
      <c r="A13" s="8">
        <v>46087</v>
      </c>
      <c r="B13" s="10">
        <v>1.1189999999999869</v>
      </c>
      <c r="C13" s="8"/>
      <c r="D13" s="10">
        <v>1.0480000000000138</v>
      </c>
      <c r="E13">
        <v>124.64999999999526</v>
      </c>
      <c r="G13" s="10">
        <v>1.123999999998156</v>
      </c>
      <c r="H13">
        <v>105.9999999995149</v>
      </c>
      <c r="I13" s="10">
        <v>1.0749999999900617</v>
      </c>
      <c r="K13" s="10">
        <v>1.045499999999989</v>
      </c>
      <c r="N13">
        <v>104.99999999984149</v>
      </c>
      <c r="Q13" s="10">
        <v>1.0349999999999961</v>
      </c>
      <c r="R13" s="10">
        <v>2.5099999999998319</v>
      </c>
      <c r="T13" s="10">
        <v>1.836999999995421</v>
      </c>
      <c r="U13" s="10"/>
      <c r="V13" s="10">
        <v>1.045499999999989</v>
      </c>
      <c r="W13" s="10">
        <v>3.2410000000000661E-2</v>
      </c>
      <c r="Z13" s="10">
        <v>2.2900000000000902</v>
      </c>
      <c r="AB13" s="10">
        <v>2.9289999999997236</v>
      </c>
      <c r="AH13" s="10">
        <v>0.75648220436267322</v>
      </c>
      <c r="AI13" s="10">
        <v>0.59404115958671777</v>
      </c>
      <c r="AJ13" s="10">
        <v>0.58830000000008409</v>
      </c>
      <c r="AK13" s="10">
        <v>0.73547631458118867</v>
      </c>
      <c r="AL13" s="10">
        <v>0.69096544202004229</v>
      </c>
      <c r="AM13" s="10">
        <v>0.91014265212407408</v>
      </c>
      <c r="AN13" s="10">
        <v>0.98281897818596198</v>
      </c>
      <c r="AO13" s="10"/>
      <c r="AP13" s="10"/>
      <c r="AQ13" s="10">
        <v>0.61585986214814747</v>
      </c>
      <c r="AR13" s="10">
        <v>0.60890063145812323</v>
      </c>
      <c r="AS13" s="10">
        <v>0.75425328358229249</v>
      </c>
      <c r="AT13" s="10">
        <v>0.78788972445460415</v>
      </c>
      <c r="AU13" s="10">
        <v>0.70312319173305882</v>
      </c>
      <c r="AW13" s="10">
        <v>0.77911366245681402</v>
      </c>
      <c r="AX13" s="10">
        <v>0.61181291618832623</v>
      </c>
      <c r="AY13" s="10">
        <v>0.60590000000008659</v>
      </c>
      <c r="AZ13" s="10">
        <v>0.75747934558004804</v>
      </c>
      <c r="BA13" s="10">
        <v>0.71163685418994338</v>
      </c>
      <c r="BB13" s="10">
        <v>0.93737112514359422</v>
      </c>
      <c r="BC13" s="10">
        <v>1.0122216877152377</v>
      </c>
      <c r="BD13" s="10"/>
      <c r="BE13" s="10">
        <v>0.63482067777135143</v>
      </c>
      <c r="BF13" s="10">
        <v>0.62711693455800921</v>
      </c>
      <c r="BG13" s="10">
        <v>0.77681805970170159</v>
      </c>
      <c r="BH13" s="10"/>
      <c r="BI13" s="10">
        <v>0.81146079219283462</v>
      </c>
      <c r="BJ13" s="10">
        <v>0.72415832376518841</v>
      </c>
    </row>
    <row r="14" spans="1:62" x14ac:dyDescent="0.3">
      <c r="A14" s="8">
        <v>46090</v>
      </c>
      <c r="B14" s="10">
        <v>1.1174999999999917</v>
      </c>
      <c r="C14" s="8"/>
      <c r="D14" s="10">
        <v>1.044999999999999</v>
      </c>
      <c r="E14">
        <v>124.99999999999638</v>
      </c>
      <c r="G14" s="10">
        <v>1.1249999999982796</v>
      </c>
      <c r="H14">
        <v>105.74999999945535</v>
      </c>
      <c r="I14" s="10">
        <v>1.0744999999898392</v>
      </c>
      <c r="K14" s="10">
        <v>1.0395000000000292</v>
      </c>
      <c r="N14">
        <v>104.54999999980792</v>
      </c>
      <c r="Q14" s="10">
        <v>1.0358999999999625</v>
      </c>
      <c r="R14" s="10">
        <v>2.5119999999999494</v>
      </c>
      <c r="T14" s="10">
        <v>1.8389999999954856</v>
      </c>
      <c r="U14" s="11">
        <v>1.0675000000000372E-2</v>
      </c>
      <c r="V14" s="10">
        <v>1.0395000000000292</v>
      </c>
      <c r="W14" s="10">
        <v>3.2499999999997503E-2</v>
      </c>
      <c r="Z14" s="10">
        <v>2.2970000000001205</v>
      </c>
      <c r="AB14" s="10">
        <v>2.9319999999999555</v>
      </c>
      <c r="AH14" s="10">
        <v>0.75247830101569724</v>
      </c>
      <c r="AI14" s="10">
        <v>0.59186357340720563</v>
      </c>
      <c r="AJ14" s="10">
        <v>0.58839999999996229</v>
      </c>
      <c r="AK14" s="10">
        <v>0.7327834715079341</v>
      </c>
      <c r="AL14" s="10">
        <v>0.68089778393213374</v>
      </c>
      <c r="AM14" s="10">
        <v>0.91003693444143408</v>
      </c>
      <c r="AN14" s="10">
        <v>0.98127788550302253</v>
      </c>
      <c r="AO14" s="10"/>
      <c r="AP14" s="10"/>
      <c r="AQ14" s="10">
        <v>0.61171954314722254</v>
      </c>
      <c r="AR14" s="10">
        <v>0.60931726685139997</v>
      </c>
      <c r="AS14" s="10">
        <v>0.75281786703608367</v>
      </c>
      <c r="AT14" s="10">
        <v>0.79220752539238748</v>
      </c>
      <c r="AU14" s="10">
        <v>0.70079635272345486</v>
      </c>
      <c r="AW14" s="10">
        <v>0.77473037857802385</v>
      </c>
      <c r="AX14" s="10">
        <v>0.60936599722992035</v>
      </c>
      <c r="AY14" s="10">
        <v>0.60579999999996115</v>
      </c>
      <c r="AZ14" s="10">
        <v>0.75445313908821621</v>
      </c>
      <c r="BA14" s="10">
        <v>0.70103310249164963</v>
      </c>
      <c r="BB14" s="10">
        <v>0.93694829178215611</v>
      </c>
      <c r="BC14" s="10">
        <v>1.0102959602952601</v>
      </c>
      <c r="BD14" s="10"/>
      <c r="BE14" s="10">
        <v>0.63022185048455581</v>
      </c>
      <c r="BF14" s="10">
        <v>0.6273358264081883</v>
      </c>
      <c r="BG14" s="10">
        <v>0.77507998614965901</v>
      </c>
      <c r="BH14" s="10"/>
      <c r="BI14" s="10">
        <v>0.81563446445055787</v>
      </c>
      <c r="BJ14" s="10">
        <v>0.7215201061860449</v>
      </c>
    </row>
    <row r="15" spans="1:62" x14ac:dyDescent="0.3">
      <c r="A15" s="8">
        <v>46091</v>
      </c>
      <c r="B15" s="10">
        <v>1.1199800000000204</v>
      </c>
      <c r="C15" s="8"/>
      <c r="D15" s="10">
        <v>1.0494000000000043</v>
      </c>
      <c r="E15">
        <v>125.50000000000064</v>
      </c>
      <c r="G15" s="10">
        <v>1.1294999999985909</v>
      </c>
      <c r="H15">
        <v>106.64999999963499</v>
      </c>
      <c r="I15" s="10">
        <v>1.0749999999900226</v>
      </c>
      <c r="K15" s="10">
        <v>1.0099999999979161</v>
      </c>
      <c r="N15">
        <v>106.04999999990095</v>
      </c>
      <c r="Q15" s="10">
        <v>1.0378999999999534</v>
      </c>
      <c r="R15" s="10">
        <v>2.5139999999999203</v>
      </c>
      <c r="T15" s="10">
        <v>1.8409999999954139</v>
      </c>
      <c r="U15" s="10">
        <v>1.0679999999999417E-2</v>
      </c>
      <c r="V15" s="10">
        <v>1.0099999999979161</v>
      </c>
      <c r="W15" s="10">
        <v>3.2500000000001597E-2</v>
      </c>
      <c r="Z15" s="10">
        <v>2.2985000000001521</v>
      </c>
      <c r="AB15" s="10">
        <v>2.9390000000002732</v>
      </c>
      <c r="AH15" s="10">
        <v>0.76047722043253563</v>
      </c>
      <c r="AI15" s="10">
        <v>0.5974788771283569</v>
      </c>
      <c r="AJ15" s="10">
        <v>0.59229999999998084</v>
      </c>
      <c r="AK15" s="10">
        <v>0.73976171191892259</v>
      </c>
      <c r="AL15" s="10">
        <v>0.68892694431585821</v>
      </c>
      <c r="AM15" s="10">
        <v>0.91671952117875433</v>
      </c>
      <c r="AN15" s="10">
        <v>0.97914849286669736</v>
      </c>
      <c r="AO15" s="10"/>
      <c r="AP15" s="10"/>
      <c r="AQ15" s="10">
        <v>0.61744237541722025</v>
      </c>
      <c r="AR15" s="10">
        <v>0.61259192081944536</v>
      </c>
      <c r="AS15" s="10">
        <v>0.76115865163348018</v>
      </c>
      <c r="AT15" s="10">
        <v>0.79366291992635174</v>
      </c>
      <c r="AU15" s="10">
        <v>0.70718930050564255</v>
      </c>
      <c r="AW15" s="10">
        <v>0.78474367234233611</v>
      </c>
      <c r="AX15" s="10">
        <v>0.61654413253562668</v>
      </c>
      <c r="AY15" s="10">
        <v>0.6111999999999802</v>
      </c>
      <c r="AZ15" s="10">
        <v>0.76336714219963786</v>
      </c>
      <c r="BA15" s="10">
        <v>0.71091026230939136</v>
      </c>
      <c r="BB15" s="10">
        <v>0.94530423572756106</v>
      </c>
      <c r="BC15" s="10">
        <v>1.0103926369071847</v>
      </c>
      <c r="BD15" s="10"/>
      <c r="BE15" s="10">
        <v>0.6360613419266008</v>
      </c>
      <c r="BF15" s="10">
        <v>0.63106462193579993</v>
      </c>
      <c r="BG15" s="10">
        <v>0.7854468476758113</v>
      </c>
      <c r="BH15" s="10"/>
      <c r="BI15" s="10">
        <v>0.81898831109064008</v>
      </c>
      <c r="BJ15" s="10">
        <v>0.72975536125113738</v>
      </c>
    </row>
    <row r="16" spans="1:62" x14ac:dyDescent="0.3">
      <c r="A16" s="8">
        <v>46092</v>
      </c>
      <c r="B16" s="10">
        <v>1.1230000000000144</v>
      </c>
      <c r="C16" s="8"/>
      <c r="D16" s="10">
        <v>1.0500000000000074</v>
      </c>
      <c r="E16">
        <v>126.00000000000557</v>
      </c>
      <c r="G16" s="10">
        <v>1.1354999999988609</v>
      </c>
      <c r="H16">
        <v>106.79999999966773</v>
      </c>
      <c r="I16" s="10">
        <v>1.0829999999929263</v>
      </c>
      <c r="K16" s="10">
        <v>1.0199999999994018</v>
      </c>
      <c r="N16">
        <v>106.7999999999403</v>
      </c>
      <c r="Q16" s="10">
        <v>1.0384999999999893</v>
      </c>
      <c r="R16" s="10">
        <v>2.5174999999999406</v>
      </c>
      <c r="T16" s="10">
        <v>1.8409999999948243</v>
      </c>
      <c r="U16" s="10">
        <v>1.0675000000000372E-2</v>
      </c>
      <c r="V16" s="10">
        <v>1.0199999999994018</v>
      </c>
      <c r="W16" s="10">
        <v>3.2540000000000034E-2</v>
      </c>
      <c r="Z16" s="10">
        <v>2.3009999999999926</v>
      </c>
      <c r="AB16" s="10">
        <v>2.9414999999998472</v>
      </c>
      <c r="AH16" s="10">
        <v>0.76341787032761443</v>
      </c>
      <c r="AI16" s="10">
        <v>0.60173915551448076</v>
      </c>
      <c r="AJ16" s="10">
        <v>0.59609999999999974</v>
      </c>
      <c r="AK16" s="10">
        <v>0.74643163359489262</v>
      </c>
      <c r="AL16" s="10">
        <v>0.69148425242161693</v>
      </c>
      <c r="AM16" s="10">
        <v>0.92152053530239186</v>
      </c>
      <c r="AN16" s="10">
        <v>0.9808692085831785</v>
      </c>
      <c r="AO16" s="10"/>
      <c r="AP16" s="10"/>
      <c r="AQ16" s="10">
        <v>0.62443331795103607</v>
      </c>
      <c r="AR16" s="10">
        <v>0.61398024919240268</v>
      </c>
      <c r="AS16" s="10">
        <v>0.76197369635419321</v>
      </c>
      <c r="AT16" s="10">
        <v>0.79518969773889225</v>
      </c>
      <c r="AU16" s="10">
        <v>0.70626984310063479</v>
      </c>
      <c r="AW16" s="10">
        <v>0.78518955929854117</v>
      </c>
      <c r="AX16" s="10">
        <v>0.61889997692656951</v>
      </c>
      <c r="AY16" s="10">
        <v>0.61309999999999976</v>
      </c>
      <c r="AZ16" s="10">
        <v>0.76771889709281782</v>
      </c>
      <c r="BA16" s="10">
        <v>0.71120448776999379</v>
      </c>
      <c r="BB16" s="10">
        <v>0.94780110752205404</v>
      </c>
      <c r="BC16" s="10">
        <v>1.008842328103249</v>
      </c>
      <c r="BD16" s="10"/>
      <c r="BE16" s="10">
        <v>0.64224134748495243</v>
      </c>
      <c r="BF16" s="10">
        <v>0.63149017074293246</v>
      </c>
      <c r="BG16" s="10">
        <v>0.78370419935372548</v>
      </c>
      <c r="BH16" s="10"/>
      <c r="BI16" s="10">
        <v>0.81786747808038041</v>
      </c>
      <c r="BJ16" s="10">
        <v>0.72641174434658462</v>
      </c>
    </row>
    <row r="17" spans="1:62" x14ac:dyDescent="0.3">
      <c r="A17" s="8">
        <v>46093</v>
      </c>
      <c r="B17" s="10">
        <v>1.1184999999999874</v>
      </c>
      <c r="C17" s="8"/>
      <c r="D17" s="10">
        <v>1.0455000000000034</v>
      </c>
      <c r="E17">
        <v>124.49999999999011</v>
      </c>
      <c r="G17" s="10">
        <v>1.1284999999984682</v>
      </c>
      <c r="H17">
        <v>106.44999999960689</v>
      </c>
      <c r="I17" s="10">
        <v>1.0824999999927818</v>
      </c>
      <c r="K17" s="10">
        <v>1.0099999999971798</v>
      </c>
      <c r="N17">
        <v>106.19999999991859</v>
      </c>
      <c r="Q17" s="10">
        <v>1.0409899999999972</v>
      </c>
      <c r="R17" s="10">
        <v>2.5239999999999365</v>
      </c>
      <c r="T17" s="10">
        <v>1.84449999999526</v>
      </c>
      <c r="U17" s="10">
        <v>1.0159999999945137E-2</v>
      </c>
      <c r="V17" s="10">
        <v>1.0099999999971798</v>
      </c>
      <c r="W17" s="10">
        <v>3.2504999999999493E-2</v>
      </c>
      <c r="Z17" s="10">
        <v>2.315000000000099</v>
      </c>
      <c r="AB17" s="10">
        <v>2.9419999999998363</v>
      </c>
      <c r="AH17" s="10">
        <v>0.7570820483045283</v>
      </c>
      <c r="AI17" s="10">
        <v>0.5990574361948614</v>
      </c>
      <c r="AJ17" s="10">
        <v>0.59089999999999454</v>
      </c>
      <c r="AK17" s="10">
        <v>0.73615491175109837</v>
      </c>
      <c r="AL17" s="10">
        <v>0.68071515327291365</v>
      </c>
      <c r="AM17" s="10">
        <v>0.91770639804926257</v>
      </c>
      <c r="AN17" s="10">
        <v>0.98446739433347186</v>
      </c>
      <c r="AO17" s="10"/>
      <c r="AP17" s="10"/>
      <c r="AQ17" s="10">
        <v>0.61614979098928113</v>
      </c>
      <c r="AR17" s="10">
        <v>0.61175852299114164</v>
      </c>
      <c r="AS17" s="10">
        <v>0.7533769159313819</v>
      </c>
      <c r="AT17" s="10">
        <v>0.78596835810509846</v>
      </c>
      <c r="AU17" s="10">
        <v>0.69663349976738886</v>
      </c>
      <c r="AW17" s="10">
        <v>0.77950366929848547</v>
      </c>
      <c r="AX17" s="10">
        <v>0.61791421113685574</v>
      </c>
      <c r="AY17" s="10">
        <v>0.6083999999999945</v>
      </c>
      <c r="AZ17" s="10">
        <v>0.75795675801213125</v>
      </c>
      <c r="BA17" s="10">
        <v>0.70087510450370738</v>
      </c>
      <c r="BB17" s="10">
        <v>0.94488504412450736</v>
      </c>
      <c r="BC17" s="10">
        <v>1.01362322340918</v>
      </c>
      <c r="BD17" s="10"/>
      <c r="BE17" s="10">
        <v>0.63439758476540642</v>
      </c>
      <c r="BF17" s="10">
        <v>0.62987626567576682</v>
      </c>
      <c r="BG17" s="10">
        <v>0.7756888063168943</v>
      </c>
      <c r="BH17" s="10"/>
      <c r="BI17" s="10">
        <v>0.80924547143533909</v>
      </c>
      <c r="BJ17" s="10">
        <v>0.7172648862049068</v>
      </c>
    </row>
    <row r="18" spans="1:62" x14ac:dyDescent="0.3">
      <c r="A18" s="8">
        <v>46094</v>
      </c>
      <c r="B18" s="10">
        <v>1.1269900000000022</v>
      </c>
      <c r="C18" s="8"/>
      <c r="D18" s="10">
        <v>1.0590000000000477</v>
      </c>
      <c r="E18">
        <v>125.90000000000032</v>
      </c>
      <c r="G18" s="10">
        <v>1.1354999999988571</v>
      </c>
      <c r="H18">
        <v>106.54999999961852</v>
      </c>
      <c r="I18" s="10">
        <v>1.0874999999940276</v>
      </c>
      <c r="K18" s="10">
        <v>1.0369999999998949</v>
      </c>
      <c r="N18">
        <v>107.94999999996216</v>
      </c>
      <c r="Q18" s="10">
        <v>1.0540000000000018</v>
      </c>
      <c r="R18" s="10">
        <v>2.5544999999999027</v>
      </c>
      <c r="T18" s="10">
        <v>1.8709999999988403</v>
      </c>
      <c r="U18" s="10">
        <v>1.0379999999994793E-2</v>
      </c>
      <c r="V18" s="10">
        <v>1.0369999999998949</v>
      </c>
      <c r="W18" s="10">
        <v>3.2999999999691103E-2</v>
      </c>
      <c r="Z18" s="10">
        <v>2.3420000000002403</v>
      </c>
      <c r="AB18" s="10">
        <v>2.9735000000000658</v>
      </c>
      <c r="AH18" s="10">
        <v>0.74840075057748989</v>
      </c>
      <c r="AI18" s="10">
        <v>0.60637245958430996</v>
      </c>
      <c r="AJ18" s="10">
        <v>0.58849999999994107</v>
      </c>
      <c r="AK18" s="10">
        <v>0.7216260389946112</v>
      </c>
      <c r="AL18" s="10">
        <v>0.67276558891187888</v>
      </c>
      <c r="AM18" s="10">
        <v>0.91333025404179091</v>
      </c>
      <c r="AN18" s="10">
        <v>0.98672286374128693</v>
      </c>
      <c r="AO18" s="10"/>
      <c r="AP18" s="10"/>
      <c r="AQ18" s="10">
        <v>0.61144716479968286</v>
      </c>
      <c r="AR18" s="10">
        <v>0.60440173210155601</v>
      </c>
      <c r="AS18" s="10">
        <v>0.74310017320997712</v>
      </c>
      <c r="AT18" s="10">
        <v>0.77653458429542421</v>
      </c>
      <c r="AU18" s="10">
        <v>0.68696841801226838</v>
      </c>
      <c r="AW18" s="10">
        <v>0.77319907621259787</v>
      </c>
      <c r="AX18" s="10">
        <v>0.62646466512703558</v>
      </c>
      <c r="AY18" s="10">
        <v>0.60799999999993903</v>
      </c>
      <c r="AZ18" s="10">
        <v>0.74553718217285225</v>
      </c>
      <c r="BA18" s="10">
        <v>0.69505773671779492</v>
      </c>
      <c r="BB18" s="10">
        <v>0.94359353348752573</v>
      </c>
      <c r="BC18" s="10">
        <v>1.0194180138567586</v>
      </c>
      <c r="BD18" s="10"/>
      <c r="BE18" s="10">
        <v>0.63200175539906089</v>
      </c>
      <c r="BF18" s="10">
        <v>0.62442863741333243</v>
      </c>
      <c r="BG18" s="10">
        <v>0.76772286374114884</v>
      </c>
      <c r="BH18" s="10"/>
      <c r="BI18" s="10">
        <v>0.80226512702059127</v>
      </c>
      <c r="BJ18" s="10">
        <v>0.7097311778274582</v>
      </c>
    </row>
    <row r="19" spans="1:62" x14ac:dyDescent="0.3">
      <c r="A19" s="8">
        <v>46097</v>
      </c>
      <c r="B19" s="10">
        <v>1.1309999999999658</v>
      </c>
      <c r="C19" s="8"/>
      <c r="D19" s="10">
        <v>1.0609000000000328</v>
      </c>
      <c r="E19">
        <v>127.15000000000043</v>
      </c>
      <c r="G19" s="10">
        <v>1.1419999999992334</v>
      </c>
      <c r="H19">
        <v>107.09999999969627</v>
      </c>
      <c r="I19" s="10">
        <v>1.0869999999939537</v>
      </c>
      <c r="K19" s="10">
        <v>1.0484999999999984</v>
      </c>
      <c r="N19">
        <v>107.74999999996066</v>
      </c>
      <c r="Q19" s="10">
        <v>1.0660000000000289</v>
      </c>
      <c r="R19" s="10">
        <v>2.586999999999898</v>
      </c>
      <c r="T19" s="10">
        <v>1.8974999999999467</v>
      </c>
      <c r="U19" s="10">
        <v>1.0479999999998857E-2</v>
      </c>
      <c r="V19" s="10">
        <v>1.0484999999999984</v>
      </c>
      <c r="W19" s="10">
        <v>3.3429999999920426E-2</v>
      </c>
      <c r="Z19" s="10">
        <v>2.3779999999999863</v>
      </c>
      <c r="AB19" s="10">
        <v>3.0149999999996697</v>
      </c>
      <c r="AH19" s="10">
        <v>0.75056603773598785</v>
      </c>
      <c r="AI19" s="10">
        <v>0.59990943396226615</v>
      </c>
      <c r="AJ19" s="10">
        <v>0.5903999999999805</v>
      </c>
      <c r="AK19" s="10">
        <v>0.72604528271360014</v>
      </c>
      <c r="AL19" s="10">
        <v>0.67245283018599133</v>
      </c>
      <c r="AM19" s="10">
        <v>0.91487547169810823</v>
      </c>
      <c r="AN19" s="10">
        <v>0.9808981132073421</v>
      </c>
      <c r="AO19" s="10"/>
      <c r="AP19" s="10"/>
      <c r="AQ19" s="10">
        <v>0.61476220562895567</v>
      </c>
      <c r="AR19" s="10">
        <v>0.60731320754712836</v>
      </c>
      <c r="AS19" s="10">
        <v>0.74139622641509562</v>
      </c>
      <c r="AT19" s="10">
        <v>0.77807547169795133</v>
      </c>
      <c r="AU19" s="10">
        <v>0.68671698113102597</v>
      </c>
      <c r="AW19" s="10">
        <v>0.77548320294538031</v>
      </c>
      <c r="AX19" s="10">
        <v>0.61982512655315436</v>
      </c>
      <c r="AY19" s="10">
        <v>0.60999999999997978</v>
      </c>
      <c r="AZ19" s="10">
        <v>0.75014841201777782</v>
      </c>
      <c r="BA19" s="10">
        <v>0.69477680625585148</v>
      </c>
      <c r="BB19" s="10">
        <v>0.94524735388862813</v>
      </c>
      <c r="BC19" s="10">
        <v>1.0134618039574503</v>
      </c>
      <c r="BD19" s="10"/>
      <c r="BE19" s="10">
        <v>0.63535829982769232</v>
      </c>
      <c r="BF19" s="10">
        <v>0.62747468936949224</v>
      </c>
      <c r="BG19" s="10">
        <v>0.76600897376898436</v>
      </c>
      <c r="BH19" s="10"/>
      <c r="BI19" s="10">
        <v>0.80390589047383176</v>
      </c>
      <c r="BJ19" s="10">
        <v>0.70951449608727268</v>
      </c>
    </row>
    <row r="20" spans="1:62" x14ac:dyDescent="0.3">
      <c r="A20" s="8">
        <v>46098</v>
      </c>
      <c r="B20" s="10">
        <v>1.1339999999999888</v>
      </c>
      <c r="C20" s="8"/>
      <c r="D20" s="10">
        <v>1.0616999999999854</v>
      </c>
      <c r="E20">
        <v>127.39999999999571</v>
      </c>
      <c r="G20" s="10">
        <v>1.1439999999992656</v>
      </c>
      <c r="H20">
        <v>107.74999999977079</v>
      </c>
      <c r="I20" s="10">
        <v>1.0949999999957478</v>
      </c>
      <c r="K20" s="10">
        <v>1.0449999999999871</v>
      </c>
      <c r="N20">
        <v>107.24999999994462</v>
      </c>
      <c r="Q20" s="10">
        <v>1.0664999999999933</v>
      </c>
      <c r="R20" s="10">
        <v>2.5874999999999746</v>
      </c>
      <c r="T20" s="10">
        <v>1.9059999999999206</v>
      </c>
      <c r="U20" s="10">
        <v>1.0484999999998044E-2</v>
      </c>
      <c r="V20" s="10">
        <v>1.0449999999999871</v>
      </c>
      <c r="W20" s="10">
        <v>3.3899999999988314E-2</v>
      </c>
      <c r="Z20" s="10">
        <v>2.387500000000081</v>
      </c>
      <c r="AB20" s="10">
        <v>3.0315000000004635</v>
      </c>
      <c r="AH20" s="10">
        <v>0.75276936316698506</v>
      </c>
      <c r="AI20" s="10">
        <v>0.60415209910528911</v>
      </c>
      <c r="AJ20" s="10">
        <v>0.59370000000000933</v>
      </c>
      <c r="AK20" s="10">
        <v>0.73185531841642171</v>
      </c>
      <c r="AL20" s="10">
        <v>0.67844616178797812</v>
      </c>
      <c r="AM20" s="10">
        <v>0.91742488812403511</v>
      </c>
      <c r="AN20" s="10">
        <v>0.98098450946628502</v>
      </c>
      <c r="AO20" s="10"/>
      <c r="AP20" s="10"/>
      <c r="AQ20" s="10">
        <v>0.61559876118377621</v>
      </c>
      <c r="AR20" s="10">
        <v>0.61066285714279767</v>
      </c>
      <c r="AS20" s="10">
        <v>0.74936316695371985</v>
      </c>
      <c r="AT20" s="10">
        <v>0.78138141135980776</v>
      </c>
      <c r="AU20" s="10">
        <v>0.69429456297204994</v>
      </c>
      <c r="AW20" s="10">
        <v>0.77964945496274085</v>
      </c>
      <c r="AX20" s="10">
        <v>0.62469733883917267</v>
      </c>
      <c r="AY20" s="10">
        <v>0.61490000000000966</v>
      </c>
      <c r="AZ20" s="10">
        <v>0.75798860585187444</v>
      </c>
      <c r="BA20" s="10">
        <v>0.70267230062898389</v>
      </c>
      <c r="BB20" s="10">
        <v>0.95018454388995988</v>
      </c>
      <c r="BC20" s="10">
        <v>1.0160137693630096</v>
      </c>
      <c r="BD20" s="10"/>
      <c r="BE20" s="10">
        <v>0.63653326451022774</v>
      </c>
      <c r="BF20" s="10">
        <v>0.63246857142850998</v>
      </c>
      <c r="BG20" s="10">
        <v>0.77612162937483986</v>
      </c>
      <c r="BH20" s="10"/>
      <c r="BI20" s="10">
        <v>0.80928318990255321</v>
      </c>
      <c r="BJ20" s="10">
        <v>0.71790525349736201</v>
      </c>
    </row>
    <row r="21" spans="1:62" x14ac:dyDescent="0.3">
      <c r="A21" s="8">
        <v>46099</v>
      </c>
      <c r="B21" s="10">
        <v>1.1380000000000072</v>
      </c>
      <c r="C21" s="8"/>
      <c r="D21" s="10">
        <v>1.0629999999999746</v>
      </c>
      <c r="E21">
        <v>127.60000000000218</v>
      </c>
      <c r="G21" s="10">
        <v>1.1464999999993757</v>
      </c>
      <c r="H21">
        <v>107.5499999997611</v>
      </c>
      <c r="I21" s="10">
        <v>1.0979999999962837</v>
      </c>
      <c r="K21" s="10">
        <v>1.0499999999999998</v>
      </c>
      <c r="N21">
        <v>106.94999999994322</v>
      </c>
      <c r="Q21" s="10">
        <v>1.0692999999999977</v>
      </c>
      <c r="R21" s="10">
        <v>2.5874999999998392</v>
      </c>
      <c r="T21" s="10">
        <v>1.9064999999999299</v>
      </c>
      <c r="U21" s="10">
        <v>1.0699999999999621E-2</v>
      </c>
      <c r="V21" s="10">
        <v>1.0499999999999998</v>
      </c>
      <c r="W21" s="10">
        <v>3.4044999999992415E-2</v>
      </c>
      <c r="Z21" s="10">
        <v>2.381500000000047</v>
      </c>
      <c r="AB21" s="10">
        <v>3.0290000000002202</v>
      </c>
      <c r="AH21" s="10">
        <v>0.74712989619366976</v>
      </c>
      <c r="AI21" s="10">
        <v>0.60194169550171128</v>
      </c>
      <c r="AJ21" s="10">
        <v>0.59070000000005407</v>
      </c>
      <c r="AK21" s="10">
        <v>0.72893878892733421</v>
      </c>
      <c r="AL21" s="10">
        <v>0.67164020760955567</v>
      </c>
      <c r="AM21" s="10">
        <v>0.91146304498248765</v>
      </c>
      <c r="AN21" s="10">
        <v>0.98913294117641859</v>
      </c>
      <c r="AO21" s="10"/>
      <c r="AP21" s="10"/>
      <c r="AQ21" s="10">
        <v>0.61520266973532645</v>
      </c>
      <c r="AR21" s="10">
        <v>0.60534826989611135</v>
      </c>
      <c r="AS21" s="10">
        <v>0.74024861591704028</v>
      </c>
      <c r="AT21" s="10">
        <v>0.77274733564007803</v>
      </c>
      <c r="AU21" s="10">
        <v>0.68594782006772204</v>
      </c>
      <c r="AW21" s="10">
        <v>0.77204687427901819</v>
      </c>
      <c r="AX21" s="10">
        <v>0.62201660899652023</v>
      </c>
      <c r="AY21" s="10">
        <v>0.61040000000005579</v>
      </c>
      <c r="AZ21" s="10">
        <v>0.75324908881199393</v>
      </c>
      <c r="BA21" s="10">
        <v>0.69403958477208849</v>
      </c>
      <c r="BB21" s="10">
        <v>0.94186057670105017</v>
      </c>
      <c r="BC21" s="10">
        <v>1.0221207843136715</v>
      </c>
      <c r="BD21" s="10"/>
      <c r="BE21" s="10">
        <v>0.63613997698503855</v>
      </c>
      <c r="BF21" s="10">
        <v>0.62553679354086034</v>
      </c>
      <c r="BG21" s="10">
        <v>0.76493610149951119</v>
      </c>
      <c r="BH21" s="10"/>
      <c r="BI21" s="10">
        <v>0.79851866205299404</v>
      </c>
      <c r="BJ21" s="10">
        <v>0.70882435986005998</v>
      </c>
    </row>
    <row r="22" spans="1:62" x14ac:dyDescent="0.3">
      <c r="A22" s="8">
        <v>46100</v>
      </c>
      <c r="B22" s="10">
        <v>1.1400000000000057</v>
      </c>
      <c r="C22" s="8"/>
      <c r="D22" s="10">
        <v>1.0674999999999857</v>
      </c>
      <c r="E22">
        <v>128.10000000000068</v>
      </c>
      <c r="G22" s="10">
        <v>1.1554999999995572</v>
      </c>
      <c r="H22">
        <v>108.79999999986161</v>
      </c>
      <c r="I22" s="10">
        <v>1.0999999999966026</v>
      </c>
      <c r="K22" s="10">
        <v>1.0489999999999784</v>
      </c>
      <c r="N22">
        <v>106.64999999994774</v>
      </c>
      <c r="Q22" s="10">
        <v>1.0664999999999885</v>
      </c>
      <c r="R22" s="10">
        <v>2.5850000000000448</v>
      </c>
      <c r="T22" s="10">
        <v>1.9069999999998197</v>
      </c>
      <c r="U22" s="10">
        <v>1.0689999999999892E-2</v>
      </c>
      <c r="V22" s="10">
        <v>1.0489999999999784</v>
      </c>
      <c r="W22" s="10">
        <v>3.3599999999937548E-2</v>
      </c>
      <c r="Z22" s="10">
        <v>2.3840000000002957</v>
      </c>
      <c r="AB22" s="10">
        <v>3.0329999999998689</v>
      </c>
      <c r="AH22" s="10">
        <v>0.74869692041513314</v>
      </c>
      <c r="AI22" s="10">
        <v>0.59710435986163768</v>
      </c>
      <c r="AJ22" s="10">
        <v>0.59069999999996492</v>
      </c>
      <c r="AK22" s="10">
        <v>0.71953664333236</v>
      </c>
      <c r="AL22" s="10">
        <v>0.67225339100049664</v>
      </c>
      <c r="AM22" s="10">
        <v>0.90730702422135534</v>
      </c>
      <c r="AN22" s="10">
        <v>0.98449999999996352</v>
      </c>
      <c r="AO22" s="10"/>
      <c r="AP22" s="10"/>
      <c r="AQ22" s="10">
        <v>0.61055690072637714</v>
      </c>
      <c r="AR22" s="10">
        <v>0.60500761245673385</v>
      </c>
      <c r="AS22" s="10">
        <v>0.73650138408308297</v>
      </c>
      <c r="AT22" s="10">
        <v>0.76852318339107217</v>
      </c>
      <c r="AU22" s="10">
        <v>0.6833588235277821</v>
      </c>
      <c r="AW22" s="10">
        <v>0.77328591695492255</v>
      </c>
      <c r="AX22" s="10">
        <v>0.61671469434837489</v>
      </c>
      <c r="AY22" s="10">
        <v>0.61009999999996378</v>
      </c>
      <c r="AZ22" s="10">
        <v>0.74316794666848296</v>
      </c>
      <c r="BA22" s="10">
        <v>0.69433179930489752</v>
      </c>
      <c r="BB22" s="10">
        <v>0.93710515570924147</v>
      </c>
      <c r="BC22" s="10">
        <v>1.0168333333332957</v>
      </c>
      <c r="BD22" s="10"/>
      <c r="BE22" s="10">
        <v>0.6316319612590644</v>
      </c>
      <c r="BF22" s="10">
        <v>0.62487750865050495</v>
      </c>
      <c r="BG22" s="10">
        <v>0.76068985005770939</v>
      </c>
      <c r="BH22" s="10"/>
      <c r="BI22" s="10">
        <v>0.79376332179937892</v>
      </c>
      <c r="BJ22" s="10">
        <v>0.70580196078263058</v>
      </c>
    </row>
    <row r="23" spans="1:62" x14ac:dyDescent="0.3">
      <c r="A23" s="8">
        <v>46101</v>
      </c>
      <c r="B23" s="10">
        <v>1.1486499999999762</v>
      </c>
      <c r="C23" s="8"/>
      <c r="D23" s="10">
        <v>1.0739999999999919</v>
      </c>
      <c r="E23">
        <v>128.15000000000097</v>
      </c>
      <c r="G23" s="10">
        <v>1.1624999999996561</v>
      </c>
      <c r="H23">
        <v>109.19999999988559</v>
      </c>
      <c r="I23" s="10">
        <v>1.1049999999972795</v>
      </c>
      <c r="K23" s="10">
        <v>1.0399999999998564</v>
      </c>
      <c r="N23">
        <v>107.49999999997884</v>
      </c>
      <c r="Q23" s="10">
        <v>1.0725000000000322</v>
      </c>
      <c r="R23" s="10">
        <v>2.595999999999985</v>
      </c>
      <c r="T23" s="10">
        <v>1.9064999999999899</v>
      </c>
      <c r="U23" s="10">
        <v>1.0599999999999089E-2</v>
      </c>
      <c r="V23" s="10">
        <v>1.0399999999998564</v>
      </c>
      <c r="W23" s="10">
        <v>3.3689999999934946E-2</v>
      </c>
      <c r="Z23" s="10">
        <v>2.3899999999999619</v>
      </c>
      <c r="AB23" s="10">
        <v>3.0429999999999935</v>
      </c>
      <c r="AH23" s="10">
        <v>0.73335199440157584</v>
      </c>
      <c r="AI23" s="10">
        <v>0.59317377450982733</v>
      </c>
      <c r="AJ23" s="10">
        <v>0.58220000000000249</v>
      </c>
      <c r="AK23" s="10">
        <v>0.70754886847447229</v>
      </c>
      <c r="AL23" s="10">
        <v>0.65662164683155</v>
      </c>
      <c r="AM23" s="10">
        <v>0.8969981338930666</v>
      </c>
      <c r="AN23" s="10">
        <v>0.98343860508512715</v>
      </c>
      <c r="AO23" s="10"/>
      <c r="AP23" s="10"/>
      <c r="AQ23" s="10">
        <v>0.60899264705882128</v>
      </c>
      <c r="AR23" s="10">
        <v>0.60094121763468511</v>
      </c>
      <c r="AS23" s="10">
        <v>0.72343816156581431</v>
      </c>
      <c r="AT23" s="10">
        <v>0.75575997200852041</v>
      </c>
      <c r="AU23" s="10">
        <v>0.66748612082581094</v>
      </c>
      <c r="AW23" s="10">
        <v>0.75942617214824826</v>
      </c>
      <c r="AX23" s="10">
        <v>0.61428207282915581</v>
      </c>
      <c r="AY23" s="10">
        <v>0.60290000000000266</v>
      </c>
      <c r="AZ23" s="10">
        <v>0.73270562144153084</v>
      </c>
      <c r="BA23" s="10">
        <v>0.67996769301741933</v>
      </c>
      <c r="BB23" s="10">
        <v>0.92889071611839558</v>
      </c>
      <c r="BC23" s="10">
        <v>1.0184045602985627</v>
      </c>
      <c r="BD23" s="10"/>
      <c r="BE23" s="10">
        <v>0.63066386554621612</v>
      </c>
      <c r="BF23" s="10">
        <v>0.622307557732655</v>
      </c>
      <c r="BG23" s="10">
        <v>0.74915985504642635</v>
      </c>
      <c r="BH23" s="10"/>
      <c r="BI23" s="10">
        <v>0.7826308607419048</v>
      </c>
      <c r="BJ23" s="10">
        <v>0.69121845112655689</v>
      </c>
    </row>
    <row r="24" spans="1:62" x14ac:dyDescent="0.3">
      <c r="A24" s="8">
        <v>46104</v>
      </c>
      <c r="B24" s="10">
        <v>1.1598000000000139</v>
      </c>
      <c r="C24" s="8"/>
      <c r="D24" s="10">
        <v>1.0859999999999976</v>
      </c>
      <c r="E24">
        <v>128.49999999999977</v>
      </c>
      <c r="G24" s="10">
        <v>1.1669999999997267</v>
      </c>
      <c r="H24">
        <v>109.79999999990882</v>
      </c>
      <c r="I24" s="10">
        <v>1.1194999999985551</v>
      </c>
      <c r="K24" s="10">
        <v>1.0500000000000116</v>
      </c>
      <c r="N24">
        <v>108.14999999998879</v>
      </c>
      <c r="Q24" s="10">
        <v>1.0794999999999879</v>
      </c>
      <c r="R24" s="10">
        <v>2.6299999999998374</v>
      </c>
      <c r="T24" s="10">
        <v>1.9350000000000611</v>
      </c>
      <c r="U24" s="10">
        <v>1.0695000000000225E-2</v>
      </c>
      <c r="V24" s="10">
        <v>1.0500000000000116</v>
      </c>
      <c r="W24" s="10">
        <v>3.4214999999995256E-2</v>
      </c>
      <c r="Z24" s="10">
        <v>2.4000000000000545</v>
      </c>
      <c r="AB24" s="10">
        <v>3.0550000000004873</v>
      </c>
      <c r="AH24" s="10">
        <v>0.75115012746229215</v>
      </c>
      <c r="AI24" s="10">
        <v>0.60223406720736283</v>
      </c>
      <c r="AJ24" s="10">
        <v>0.59059999999997759</v>
      </c>
      <c r="AK24" s="10">
        <v>0.72062780967007922</v>
      </c>
      <c r="AL24" s="10">
        <v>0.66889042873256177</v>
      </c>
      <c r="AM24" s="10">
        <v>0.90608852838945908</v>
      </c>
      <c r="AN24" s="10">
        <v>0.99703955967557223</v>
      </c>
      <c r="AO24" s="10"/>
      <c r="AP24" s="10"/>
      <c r="AQ24" s="10">
        <v>0.6134966666666869</v>
      </c>
      <c r="AR24" s="10">
        <v>0.6073667439165128</v>
      </c>
      <c r="AS24" s="10">
        <v>0.73725768250295953</v>
      </c>
      <c r="AT24" s="10">
        <v>0.773939212051167</v>
      </c>
      <c r="AU24" s="10">
        <v>0.6827828736944902</v>
      </c>
      <c r="AW24" s="10">
        <v>0.7753151332560333</v>
      </c>
      <c r="AX24" s="10">
        <v>0.62160834298951628</v>
      </c>
      <c r="AY24" s="10">
        <v>0.60959999999997683</v>
      </c>
      <c r="AZ24" s="10">
        <v>0.74381089193173078</v>
      </c>
      <c r="BA24" s="10">
        <v>0.69040908458410011</v>
      </c>
      <c r="BB24" s="10">
        <v>0.93523800695261461</v>
      </c>
      <c r="BC24" s="10">
        <v>1.0291149942062796</v>
      </c>
      <c r="BD24" s="10"/>
      <c r="BE24" s="10">
        <v>0.63355168981483556</v>
      </c>
      <c r="BF24" s="10">
        <v>0.62690614136726408</v>
      </c>
      <c r="BG24" s="10">
        <v>0.76097575898036596</v>
      </c>
      <c r="BH24" s="10"/>
      <c r="BI24" s="10">
        <v>0.79883735805349021</v>
      </c>
      <c r="BJ24" s="10">
        <v>0.70474845886244697</v>
      </c>
    </row>
    <row r="25" spans="1:62" x14ac:dyDescent="0.3">
      <c r="A25" s="8">
        <v>46106</v>
      </c>
      <c r="B25" s="10">
        <v>1.1454899999999986</v>
      </c>
      <c r="C25" s="8"/>
      <c r="D25" s="10">
        <v>1.0759900000000158</v>
      </c>
      <c r="E25">
        <v>128.65000000000057</v>
      </c>
      <c r="G25" s="10">
        <v>1.1669999999997076</v>
      </c>
      <c r="H25">
        <v>110.09999999992448</v>
      </c>
      <c r="I25" s="10">
        <v>1.1089999999977271</v>
      </c>
      <c r="K25" s="10">
        <v>1.065000000000027</v>
      </c>
      <c r="N25">
        <v>106.19999999997103</v>
      </c>
      <c r="Q25" s="10">
        <v>1.0744999999999723</v>
      </c>
      <c r="R25" s="10">
        <v>2.6055000000000166</v>
      </c>
      <c r="T25" s="10">
        <v>1.9160000000000459</v>
      </c>
      <c r="U25" s="10">
        <v>1.0674999999999714E-2</v>
      </c>
      <c r="V25" s="10">
        <v>1.065000000000027</v>
      </c>
      <c r="W25" s="10">
        <v>3.4099999999984677E-2</v>
      </c>
      <c r="Z25" s="10">
        <v>2.3999999999998276</v>
      </c>
      <c r="AB25" s="10">
        <v>3.045999999999903</v>
      </c>
      <c r="AH25" s="10">
        <v>0.75375541579315242</v>
      </c>
      <c r="AI25" s="10">
        <v>0.59986023759613527</v>
      </c>
      <c r="AJ25" s="10">
        <v>0.59200000000002795</v>
      </c>
      <c r="AK25" s="10">
        <v>0.72845096669014575</v>
      </c>
      <c r="AL25" s="10">
        <v>0.67363615187155701</v>
      </c>
      <c r="AM25" s="10">
        <v>0.90337572792937637</v>
      </c>
      <c r="AN25" s="10">
        <v>0.98873515024463066</v>
      </c>
      <c r="AO25" s="10"/>
      <c r="AP25" s="10"/>
      <c r="AQ25" s="10">
        <v>0.61744234800839726</v>
      </c>
      <c r="AR25" s="10">
        <v>0.60723782902408496</v>
      </c>
      <c r="AS25" s="10">
        <v>0.74465408805023925</v>
      </c>
      <c r="AT25" s="10">
        <v>0.77864616818065502</v>
      </c>
      <c r="AU25" s="10">
        <v>0.68611600279327856</v>
      </c>
      <c r="AW25" s="10">
        <v>0.77832886093640896</v>
      </c>
      <c r="AX25" s="10">
        <v>0.61941649196371207</v>
      </c>
      <c r="AY25" s="10">
        <v>0.61130000000002893</v>
      </c>
      <c r="AZ25" s="10">
        <v>0.75219945259744292</v>
      </c>
      <c r="BA25" s="10">
        <v>0.69559760074169408</v>
      </c>
      <c r="BB25" s="10">
        <v>0.93282699743788489</v>
      </c>
      <c r="BC25" s="10">
        <v>1.0209692522711871</v>
      </c>
      <c r="BD25" s="10"/>
      <c r="BE25" s="10">
        <v>0.63757180293502247</v>
      </c>
      <c r="BF25" s="10">
        <v>0.62703460284193102</v>
      </c>
      <c r="BG25" s="10">
        <v>0.76893081760998538</v>
      </c>
      <c r="BH25" s="10"/>
      <c r="BI25" s="10">
        <v>0.80403108548789604</v>
      </c>
      <c r="BJ25" s="10">
        <v>0.7084843116681272</v>
      </c>
    </row>
    <row r="26" spans="1:62" x14ac:dyDescent="0.3">
      <c r="A26" s="8">
        <v>46107</v>
      </c>
      <c r="B26" s="10">
        <v>1.1570000000000069</v>
      </c>
      <c r="C26" s="8"/>
      <c r="D26" s="10">
        <v>1.0848999999999733</v>
      </c>
      <c r="E26">
        <v>130.10000000000147</v>
      </c>
      <c r="G26" s="10">
        <v>1.1799999999998176</v>
      </c>
      <c r="H26">
        <v>110.99999999994621</v>
      </c>
      <c r="I26" s="10">
        <v>1.1399999999995172</v>
      </c>
      <c r="K26" s="10">
        <v>1.1574999999987605</v>
      </c>
      <c r="N26">
        <v>106.64999999998584</v>
      </c>
      <c r="Q26" s="10">
        <v>1.0950000000000129</v>
      </c>
      <c r="R26" s="10">
        <v>2.6469999999999492</v>
      </c>
      <c r="T26" s="10">
        <v>1.9369999999999872</v>
      </c>
      <c r="U26" s="10">
        <v>1.0800000000000391E-2</v>
      </c>
      <c r="V26" s="10">
        <v>1.1574999999987605</v>
      </c>
      <c r="W26" s="10">
        <v>3.4399999999993505E-2</v>
      </c>
      <c r="Z26" s="10">
        <v>2.4350000000000067</v>
      </c>
      <c r="AB26" s="10">
        <v>3.0735000000000383</v>
      </c>
      <c r="AH26" s="10">
        <v>0.74968177881799281</v>
      </c>
      <c r="AI26" s="10">
        <v>0.59897184318314212</v>
      </c>
      <c r="AJ26" s="10">
        <v>0.59020000000000528</v>
      </c>
      <c r="AK26" s="10">
        <v>0.72543833820927628</v>
      </c>
      <c r="AL26" s="10">
        <v>0.66990635458918801</v>
      </c>
      <c r="AM26" s="10">
        <v>0.89928660035092722</v>
      </c>
      <c r="AN26" s="10">
        <v>0.98769572849614984</v>
      </c>
      <c r="AO26" s="10"/>
      <c r="AP26" s="10"/>
      <c r="AQ26" s="10">
        <v>0.61796621748306546</v>
      </c>
      <c r="AR26" s="10">
        <v>0.60477369221766775</v>
      </c>
      <c r="AS26" s="10">
        <v>0.73904505558821509</v>
      </c>
      <c r="AT26" s="10">
        <v>0.77302731421882076</v>
      </c>
      <c r="AU26" s="10">
        <v>0.6826842363932849</v>
      </c>
      <c r="AW26" s="10">
        <v>0.77457802223519479</v>
      </c>
      <c r="AX26" s="10">
        <v>0.61886314803978304</v>
      </c>
      <c r="AY26" s="10">
        <v>0.60980000000000545</v>
      </c>
      <c r="AZ26" s="10">
        <v>0.74952947922740876</v>
      </c>
      <c r="BA26" s="10">
        <v>0.69215332942813756</v>
      </c>
      <c r="BB26" s="10">
        <v>0.92915108250422807</v>
      </c>
      <c r="BC26" s="10">
        <v>1.0204961966061541</v>
      </c>
      <c r="BD26" s="10"/>
      <c r="BE26" s="10">
        <v>0.63891067494732789</v>
      </c>
      <c r="BF26" s="10">
        <v>0.62485767115271729</v>
      </c>
      <c r="BG26" s="10">
        <v>0.76358806319500772</v>
      </c>
      <c r="BH26" s="10"/>
      <c r="BI26" s="10">
        <v>0.79869884142771408</v>
      </c>
      <c r="BJ26" s="10">
        <v>0.70535555295260099</v>
      </c>
    </row>
    <row r="27" spans="1:62" x14ac:dyDescent="0.3">
      <c r="A27" s="8">
        <v>46108</v>
      </c>
      <c r="B27" s="10">
        <v>1.1599999999999973</v>
      </c>
      <c r="C27" s="8"/>
      <c r="D27" s="10">
        <v>1.0909699999999889</v>
      </c>
      <c r="E27">
        <v>130.60000000000019</v>
      </c>
      <c r="G27" s="10">
        <v>1.1819999999998494</v>
      </c>
      <c r="H27">
        <v>111.44999999995258</v>
      </c>
      <c r="I27" s="10">
        <v>1.1299999999990507</v>
      </c>
      <c r="K27" s="10">
        <v>1.1310000000000431</v>
      </c>
      <c r="N27">
        <v>107.59999999999323</v>
      </c>
      <c r="Q27" s="10">
        <v>1.1019999999999992</v>
      </c>
      <c r="R27" s="10">
        <v>2.6724999999999532</v>
      </c>
      <c r="T27" s="10">
        <v>1.9625000000000963</v>
      </c>
      <c r="U27" s="10">
        <v>1.1049999999944762E-2</v>
      </c>
      <c r="V27" s="10">
        <v>1.1310000000000431</v>
      </c>
      <c r="W27" s="10">
        <v>3.4849999999995836E-2</v>
      </c>
      <c r="Z27" s="10">
        <v>2.4619999999723334</v>
      </c>
      <c r="AB27" s="10">
        <v>3.0840000000000458</v>
      </c>
      <c r="AH27" s="10">
        <v>0.74210390435471807</v>
      </c>
      <c r="AI27" s="10">
        <v>0.5949013515074566</v>
      </c>
      <c r="AJ27" s="10">
        <v>0.58590000000004561</v>
      </c>
      <c r="AK27" s="10">
        <v>0.71401698021585713</v>
      </c>
      <c r="AL27" s="10">
        <v>0.66447570751387541</v>
      </c>
      <c r="AM27" s="10">
        <v>0.8828769204110517</v>
      </c>
      <c r="AN27" s="10">
        <v>0.98811828578020855</v>
      </c>
      <c r="AO27" s="10"/>
      <c r="AP27" s="10"/>
      <c r="AQ27" s="10">
        <v>0.63198962689153537</v>
      </c>
      <c r="AR27" s="10">
        <v>0.6016692849717159</v>
      </c>
      <c r="AS27" s="10">
        <v>0.72687605406024558</v>
      </c>
      <c r="AT27" s="10">
        <v>0.76330648523439082</v>
      </c>
      <c r="AU27" s="10">
        <v>0.67395081436605753</v>
      </c>
      <c r="AW27" s="10">
        <v>0.76692936352070606</v>
      </c>
      <c r="AX27" s="10">
        <v>0.61480247198799243</v>
      </c>
      <c r="AY27" s="10">
        <v>0.60550000000004689</v>
      </c>
      <c r="AZ27" s="10">
        <v>0.73790285291124991</v>
      </c>
      <c r="BA27" s="10">
        <v>0.68670428554301322</v>
      </c>
      <c r="BB27" s="10">
        <v>0.91241163220496946</v>
      </c>
      <c r="BC27" s="10">
        <v>1.0211736167262604</v>
      </c>
      <c r="BD27" s="10"/>
      <c r="BE27" s="10">
        <v>0.65313145431442987</v>
      </c>
      <c r="BF27" s="10">
        <v>0.62179681182859503</v>
      </c>
      <c r="BG27" s="10">
        <v>0.75119209887946492</v>
      </c>
      <c r="BH27" s="10"/>
      <c r="BI27" s="10">
        <v>0.7899198031266853</v>
      </c>
      <c r="BJ27" s="10">
        <v>0.69649636132214998</v>
      </c>
    </row>
    <row r="28" spans="1:62" x14ac:dyDescent="0.3">
      <c r="A28" s="8">
        <v>46111</v>
      </c>
      <c r="B28" s="10">
        <v>1.1571900000000255</v>
      </c>
      <c r="C28" s="8"/>
      <c r="D28" s="10">
        <v>1.0865100000000272</v>
      </c>
      <c r="E28">
        <v>129.79999999999887</v>
      </c>
      <c r="G28" s="10">
        <v>1.172999999999808</v>
      </c>
      <c r="H28">
        <v>110.34999999992765</v>
      </c>
      <c r="I28" s="10">
        <v>1.1289999999990359</v>
      </c>
      <c r="K28" s="10">
        <v>1.0800000000000565</v>
      </c>
      <c r="N28">
        <v>107.44999999998809</v>
      </c>
      <c r="Q28" s="10">
        <v>1.0964999999986789</v>
      </c>
      <c r="R28" s="10">
        <v>2.6579999999999631</v>
      </c>
      <c r="T28" s="10">
        <v>1.9639999999999496</v>
      </c>
      <c r="U28" s="10">
        <v>1.1099999999976306E-2</v>
      </c>
      <c r="V28" s="10">
        <v>1.0800000000000565</v>
      </c>
      <c r="W28" s="10">
        <v>3.4835000000001934E-2</v>
      </c>
      <c r="Z28" s="10">
        <v>2.456499999961451</v>
      </c>
      <c r="AB28" s="10">
        <v>3.0740000000003112</v>
      </c>
      <c r="AH28" s="10">
        <v>0.73773678147654143</v>
      </c>
      <c r="AI28" s="10">
        <v>0.5957115078907631</v>
      </c>
      <c r="AJ28" s="10">
        <v>0.58460000000002155</v>
      </c>
      <c r="AK28" s="10">
        <v>0.71308943644180911</v>
      </c>
      <c r="AL28" s="10">
        <v>0.66332334983806573</v>
      </c>
      <c r="AM28" s="10">
        <v>0.88791049418271484</v>
      </c>
      <c r="AN28" s="10">
        <v>0.98387351687582425</v>
      </c>
      <c r="AO28" s="10"/>
      <c r="AP28" s="10"/>
      <c r="AQ28" s="10">
        <v>0.6187431668780663</v>
      </c>
      <c r="AR28" s="10">
        <v>0.60069485082358431</v>
      </c>
      <c r="AS28" s="10">
        <v>0.7249417117843443</v>
      </c>
      <c r="AT28" s="10">
        <v>0.75955574242612112</v>
      </c>
      <c r="AU28" s="10">
        <v>0.67214521368082469</v>
      </c>
      <c r="AW28" s="10">
        <v>0.76474254118163543</v>
      </c>
      <c r="AX28" s="10">
        <v>0.61751825826514273</v>
      </c>
      <c r="AY28" s="10">
        <v>0.6060000000000223</v>
      </c>
      <c r="AZ28" s="10">
        <v>0.73919294985243977</v>
      </c>
      <c r="BA28" s="10">
        <v>0.68760511461147433</v>
      </c>
      <c r="BB28" s="10">
        <v>0.92041354682642007</v>
      </c>
      <c r="BC28" s="10">
        <v>1.0198894136619048</v>
      </c>
      <c r="BD28" s="10"/>
      <c r="BE28" s="10">
        <v>0.64121208626452575</v>
      </c>
      <c r="BF28" s="10">
        <v>0.62268402257798838</v>
      </c>
      <c r="BG28" s="10">
        <v>0.75147909227046295</v>
      </c>
      <c r="BH28" s="10"/>
      <c r="BI28" s="10">
        <v>0.787360211957286</v>
      </c>
      <c r="BJ28" s="10">
        <v>0.6967499136000338</v>
      </c>
    </row>
    <row r="29" spans="1:62" x14ac:dyDescent="0.3">
      <c r="A29" s="8">
        <v>46112</v>
      </c>
      <c r="B29" s="10">
        <v>1.1600000000000099</v>
      </c>
      <c r="C29" s="8"/>
      <c r="D29" s="10">
        <v>1.0915000000000348</v>
      </c>
      <c r="E29">
        <v>130.300000000002</v>
      </c>
      <c r="G29" s="10">
        <v>1.1744999999998007</v>
      </c>
      <c r="H29">
        <v>110.29999999993643</v>
      </c>
      <c r="I29" s="10">
        <v>1.1339999999992059</v>
      </c>
      <c r="K29" s="10">
        <v>1.0690000000000301</v>
      </c>
      <c r="N29">
        <v>108.29999999999424</v>
      </c>
      <c r="Q29" s="10">
        <v>1.1023500000000188</v>
      </c>
      <c r="R29" s="10">
        <v>2.6724999999999648</v>
      </c>
      <c r="T29" s="10">
        <v>1.98550000000008</v>
      </c>
      <c r="U29" s="10">
        <v>1.0950000000000111E-2</v>
      </c>
      <c r="V29" s="10">
        <v>1.0690000000000301</v>
      </c>
      <c r="W29" s="10">
        <v>3.5300000000003467E-2</v>
      </c>
      <c r="X29" s="10">
        <v>0.93999999999804729</v>
      </c>
      <c r="Z29" s="10">
        <v>2.4799999999805795</v>
      </c>
      <c r="AB29" s="10">
        <v>3.1170000000002904</v>
      </c>
      <c r="AC29" s="10">
        <v>0.83750000000008029</v>
      </c>
      <c r="AH29" s="10">
        <v>0.74640598044823381</v>
      </c>
      <c r="AI29" s="10">
        <v>0.6010603795284718</v>
      </c>
      <c r="AJ29" s="10">
        <v>0.59000000000001829</v>
      </c>
      <c r="AK29" s="10">
        <v>0.72292811960874648</v>
      </c>
      <c r="AL29" s="10">
        <v>0.66769407705032391</v>
      </c>
      <c r="AM29" s="10">
        <v>0.8922944220817548</v>
      </c>
      <c r="AN29" s="10">
        <v>0.98315238642886427</v>
      </c>
      <c r="AO29" s="10">
        <v>0.91265094882111175</v>
      </c>
      <c r="AP29" s="10"/>
      <c r="AQ29" s="10">
        <v>0.62232550597974912</v>
      </c>
      <c r="AR29" s="10">
        <v>0.60764232317434785</v>
      </c>
      <c r="AS29" s="10">
        <v>0.7322921219092835</v>
      </c>
      <c r="AT29" s="10">
        <v>0.76411615871192706</v>
      </c>
      <c r="AU29" s="10">
        <v>0.67990799309634431</v>
      </c>
      <c r="AW29" s="10">
        <v>0.77309948246087401</v>
      </c>
      <c r="AX29" s="10">
        <v>0.62255592869465948</v>
      </c>
      <c r="AY29" s="10">
        <v>0.61110000000001874</v>
      </c>
      <c r="AZ29" s="10">
        <v>0.74878198964899156</v>
      </c>
      <c r="BA29" s="10">
        <v>0.69157262794144569</v>
      </c>
      <c r="BB29" s="10">
        <v>0.92420529039688193</v>
      </c>
      <c r="BC29" s="10">
        <v>1.0183125819435235</v>
      </c>
      <c r="BD29" s="10">
        <v>0.94528982173657861</v>
      </c>
      <c r="BE29" s="10">
        <v>0.6446908233670533</v>
      </c>
      <c r="BF29" s="10">
        <v>0.62937326049465081</v>
      </c>
      <c r="BG29" s="10">
        <v>0.75848087406570031</v>
      </c>
      <c r="BH29" s="10"/>
      <c r="BI29" s="10">
        <v>0.791443024726879</v>
      </c>
      <c r="BJ29" s="10">
        <v>0.704223346747756</v>
      </c>
    </row>
    <row r="30" spans="1:62" x14ac:dyDescent="0.3">
      <c r="A30" s="8">
        <v>46113</v>
      </c>
      <c r="B30" s="10">
        <v>1.1688499999999729</v>
      </c>
      <c r="C30" s="8"/>
      <c r="D30" s="10">
        <v>1.0966900000000166</v>
      </c>
      <c r="E30">
        <v>131.04999999999836</v>
      </c>
      <c r="G30" s="10">
        <v>1.178499999999858</v>
      </c>
      <c r="H30">
        <v>110.7999999999457</v>
      </c>
      <c r="I30" s="10">
        <v>1.1294999999990731</v>
      </c>
      <c r="K30" s="10">
        <v>1.0999999999998211</v>
      </c>
      <c r="N30">
        <v>109.10000000000069</v>
      </c>
      <c r="Q30" s="10">
        <v>1.1049999999999873</v>
      </c>
      <c r="R30" s="10">
        <v>2.6894999999999567</v>
      </c>
      <c r="T30" s="10">
        <v>1.9959999999910565</v>
      </c>
      <c r="U30" s="10">
        <v>1.0980000000000233E-2</v>
      </c>
      <c r="V30" s="10">
        <v>1.0999999999998211</v>
      </c>
      <c r="W30" s="10">
        <v>3.5690000000000416E-2</v>
      </c>
      <c r="X30" s="10">
        <v>0.9459999999990627</v>
      </c>
      <c r="Z30" s="10">
        <v>2.4899999999860101</v>
      </c>
      <c r="AB30" s="10">
        <v>3.1334999999998199</v>
      </c>
      <c r="AC30" s="10">
        <v>0.84849999999998216</v>
      </c>
      <c r="AH30" s="10">
        <v>0.75137478705255711</v>
      </c>
      <c r="AI30" s="10">
        <v>0.5996328790459915</v>
      </c>
      <c r="AJ30" s="10">
        <v>0.59250000000000425</v>
      </c>
      <c r="AK30" s="10">
        <v>0.72513117546850669</v>
      </c>
      <c r="AL30" s="10">
        <v>0.67096166950060121</v>
      </c>
      <c r="AM30" s="10">
        <v>0.89430153321975137</v>
      </c>
      <c r="AN30" s="10">
        <v>0.9837989778534606</v>
      </c>
      <c r="AO30" s="10">
        <v>0.91247018739349917</v>
      </c>
      <c r="AP30" s="10"/>
      <c r="AQ30" s="10">
        <v>0.61798966496302488</v>
      </c>
      <c r="AR30" s="10">
        <v>0.60730408858592788</v>
      </c>
      <c r="AS30" s="10">
        <v>0.73737819420785433</v>
      </c>
      <c r="AT30" s="10">
        <v>0.77115843270859896</v>
      </c>
      <c r="AU30" s="10">
        <v>0.68300681430718468</v>
      </c>
      <c r="AW30" s="10">
        <v>0.778639863713536</v>
      </c>
      <c r="AX30" s="10">
        <v>0.62139170925609921</v>
      </c>
      <c r="AY30" s="10">
        <v>0.61400000000000443</v>
      </c>
      <c r="AZ30" s="10">
        <v>0.75144395229985339</v>
      </c>
      <c r="BA30" s="10">
        <v>0.6953088018115936</v>
      </c>
      <c r="BB30" s="10">
        <v>0.92675298126063699</v>
      </c>
      <c r="BC30" s="10">
        <v>1.019498012492869</v>
      </c>
      <c r="BD30" s="10">
        <v>0.94558091993182869</v>
      </c>
      <c r="BE30" s="10">
        <v>0.64074287336733837</v>
      </c>
      <c r="BF30" s="10">
        <v>0.62934128336161987</v>
      </c>
      <c r="BG30" s="10">
        <v>0.76413537762636707</v>
      </c>
      <c r="BH30" s="10"/>
      <c r="BI30" s="10">
        <v>0.79914139693346797</v>
      </c>
      <c r="BJ30" s="10">
        <v>0.70779102782212899</v>
      </c>
    </row>
    <row r="31" spans="1:62" x14ac:dyDescent="0.3">
      <c r="A31" s="8">
        <v>46118</v>
      </c>
      <c r="B31" s="10">
        <v>1.1689800000000024</v>
      </c>
      <c r="C31" s="8"/>
      <c r="D31" s="10">
        <v>1.0989999999999649</v>
      </c>
      <c r="E31">
        <v>130.90000000000182</v>
      </c>
      <c r="G31" s="10">
        <v>1.177499999999831</v>
      </c>
      <c r="H31">
        <v>110.89999999994644</v>
      </c>
      <c r="I31" s="10">
        <v>1.1374999999993509</v>
      </c>
      <c r="K31" s="10">
        <v>1.1150000000000633</v>
      </c>
      <c r="N31">
        <v>109.74999999999665</v>
      </c>
      <c r="Q31" s="10">
        <v>1.1079999999999852</v>
      </c>
      <c r="R31" s="10">
        <v>2.6995000000000262</v>
      </c>
      <c r="T31" s="10">
        <v>1.9989999999992549</v>
      </c>
      <c r="U31" s="10">
        <v>1.1055000000000108E-2</v>
      </c>
      <c r="V31" s="10">
        <v>1.1150000000000633</v>
      </c>
      <c r="W31" s="10">
        <v>3.6124999999959634E-2</v>
      </c>
      <c r="X31" s="10">
        <v>0.94799999999911411</v>
      </c>
      <c r="Z31" s="10">
        <v>2.4999999999905</v>
      </c>
      <c r="AB31" s="10">
        <v>3.1615000000001516</v>
      </c>
      <c r="AC31" s="10">
        <v>0.85400000000000176</v>
      </c>
      <c r="AH31" s="10">
        <v>0.75251392893620728</v>
      </c>
      <c r="AI31" s="10">
        <v>0.60081046656833326</v>
      </c>
      <c r="AJ31" s="10">
        <v>0.59419999999999928</v>
      </c>
      <c r="AK31" s="10">
        <v>0.72222719945491232</v>
      </c>
      <c r="AL31" s="10">
        <v>0.67210907026363897</v>
      </c>
      <c r="AM31" s="10">
        <v>0.89511113633773032</v>
      </c>
      <c r="AN31" s="10">
        <v>0.97841650584593898</v>
      </c>
      <c r="AO31" s="10">
        <v>0.91737087070034984</v>
      </c>
      <c r="AP31" s="10"/>
      <c r="AQ31" s="10">
        <v>0.61541884222477061</v>
      </c>
      <c r="AR31" s="10">
        <v>0.60836528550346758</v>
      </c>
      <c r="AS31" s="10">
        <v>0.73632503121833115</v>
      </c>
      <c r="AT31" s="10">
        <v>0.76998444772395724</v>
      </c>
      <c r="AU31" s="10">
        <v>0.68310402996615993</v>
      </c>
      <c r="AW31" s="10">
        <v>0.78037543421489541</v>
      </c>
      <c r="AX31" s="10">
        <v>0.62305521625615434</v>
      </c>
      <c r="AY31" s="10">
        <v>0.61619999999999919</v>
      </c>
      <c r="AZ31" s="10">
        <v>0.74896735157205807</v>
      </c>
      <c r="BA31" s="10">
        <v>0.69699362015559463</v>
      </c>
      <c r="BB31" s="10">
        <v>0.92825224202509149</v>
      </c>
      <c r="BC31" s="10">
        <v>1.0146419570889724</v>
      </c>
      <c r="BD31" s="10">
        <v>0.95133613349975676</v>
      </c>
      <c r="BE31" s="10">
        <v>0.63860703745746183</v>
      </c>
      <c r="BF31" s="10">
        <v>0.63088974912022333</v>
      </c>
      <c r="BG31" s="10">
        <v>0.7635871495064549</v>
      </c>
      <c r="BH31" s="10"/>
      <c r="BI31" s="10">
        <v>0.79849279146331609</v>
      </c>
      <c r="BJ31" s="10">
        <v>0.7083956635226315</v>
      </c>
    </row>
    <row r="32" spans="1:62" x14ac:dyDescent="0.3">
      <c r="A32" s="8">
        <v>46119</v>
      </c>
      <c r="B32" s="10">
        <v>1.1637799999999938</v>
      </c>
      <c r="C32" s="8"/>
      <c r="D32" s="10">
        <v>1.094800000000018</v>
      </c>
      <c r="E32">
        <v>130.79999999999762</v>
      </c>
      <c r="G32" s="10">
        <v>1.1774999999997859</v>
      </c>
      <c r="H32">
        <v>110.79999999994259</v>
      </c>
      <c r="I32" s="10">
        <v>1.1409999999994735</v>
      </c>
      <c r="K32" s="10">
        <v>1.09000000000007</v>
      </c>
      <c r="N32">
        <v>110.25000000000263</v>
      </c>
      <c r="Q32" s="10">
        <v>1.1080000000000125</v>
      </c>
      <c r="R32" s="10">
        <v>2.6934999999999856</v>
      </c>
      <c r="T32" s="10">
        <v>2.0049999999884243</v>
      </c>
      <c r="U32" s="10">
        <v>1.126000000000011E-2</v>
      </c>
      <c r="V32" s="10">
        <v>1.09000000000007</v>
      </c>
      <c r="W32" s="10">
        <v>3.5800000000000887E-2</v>
      </c>
      <c r="X32" s="10">
        <v>0.94649999999883083</v>
      </c>
      <c r="Z32" s="10">
        <v>2.5009999999896415</v>
      </c>
      <c r="AB32" s="10">
        <v>3.1595000000000515</v>
      </c>
      <c r="AC32" s="10">
        <v>0.85449999999997095</v>
      </c>
      <c r="AH32" s="10">
        <v>0.75249362086485549</v>
      </c>
      <c r="AI32" s="10">
        <v>0.6028958450942018</v>
      </c>
      <c r="AJ32" s="10">
        <v>0.59550000000002412</v>
      </c>
      <c r="AK32" s="10">
        <v>0.71961572767298154</v>
      </c>
      <c r="AL32" s="10">
        <v>0.67187890933185923</v>
      </c>
      <c r="AM32" s="10">
        <v>0.90686507846908637</v>
      </c>
      <c r="AN32" s="10">
        <v>0.98485762673583555</v>
      </c>
      <c r="AO32" s="10">
        <v>0.91708479169016843</v>
      </c>
      <c r="AP32" s="10"/>
      <c r="AQ32" s="10">
        <v>0.6155707515233757</v>
      </c>
      <c r="AR32" s="10">
        <v>0.6086780512589377</v>
      </c>
      <c r="AS32" s="10">
        <v>0.74193773286665876</v>
      </c>
      <c r="AT32" s="10">
        <v>0.77320198712892552</v>
      </c>
      <c r="AU32" s="10">
        <v>0.68774635880969215</v>
      </c>
      <c r="AW32" s="10">
        <v>0.78256809303376162</v>
      </c>
      <c r="AX32" s="10">
        <v>0.6269914305068669</v>
      </c>
      <c r="AY32" s="10">
        <v>0.61930000000002516</v>
      </c>
      <c r="AZ32" s="10">
        <v>0.74837618832557085</v>
      </c>
      <c r="BA32" s="10">
        <v>0.69873150050246924</v>
      </c>
      <c r="BB32" s="10">
        <v>0.94310922434241018</v>
      </c>
      <c r="BC32" s="10">
        <v>1.024218855142742</v>
      </c>
      <c r="BD32" s="10">
        <v>0.95373738286099297</v>
      </c>
      <c r="BE32" s="10">
        <v>0.63922271496278049</v>
      </c>
      <c r="BF32" s="10">
        <v>0.63300473072151153</v>
      </c>
      <c r="BG32" s="10">
        <v>0.77159032403748395</v>
      </c>
      <c r="BH32" s="10"/>
      <c r="BI32" s="10">
        <v>0.80410409845330577</v>
      </c>
      <c r="BJ32" s="10">
        <v>0.71523311504759424</v>
      </c>
    </row>
    <row r="33" spans="1:62" x14ac:dyDescent="0.3">
      <c r="A33" s="8">
        <v>46120</v>
      </c>
      <c r="B33" s="10">
        <v>1.1680000000000204</v>
      </c>
      <c r="C33" s="8"/>
      <c r="D33" s="10">
        <v>1.0964900000000091</v>
      </c>
      <c r="E33">
        <v>131.30000000000334</v>
      </c>
      <c r="G33" s="10">
        <v>1.1819999999999284</v>
      </c>
      <c r="H33">
        <v>110.89999999995108</v>
      </c>
      <c r="I33" s="10">
        <v>1.1319999999991799</v>
      </c>
      <c r="K33" s="10">
        <v>1.0999999999960908</v>
      </c>
      <c r="N33">
        <v>109.79999999999788</v>
      </c>
      <c r="Q33" s="10">
        <v>1.1107600000000233</v>
      </c>
      <c r="R33" s="10">
        <v>2.6964999999999621</v>
      </c>
      <c r="T33" s="10">
        <v>2.0109999999886856</v>
      </c>
      <c r="U33" s="10">
        <v>1.1300000000000011E-2</v>
      </c>
      <c r="V33" s="10">
        <v>1.0999999999960908</v>
      </c>
      <c r="W33" s="10">
        <v>3.560000000000102E-2</v>
      </c>
      <c r="X33" s="10">
        <v>0.94799999999886064</v>
      </c>
      <c r="Z33" s="10">
        <v>2.4999999999878546</v>
      </c>
      <c r="AB33" s="10">
        <v>3.1690000000001244</v>
      </c>
      <c r="AC33" s="10">
        <v>0.85450000000000415</v>
      </c>
      <c r="AH33" s="10">
        <v>0.76473738738739128</v>
      </c>
      <c r="AI33" s="10">
        <v>0.60334537162164181</v>
      </c>
      <c r="AJ33" s="10">
        <v>0.59990000000001276</v>
      </c>
      <c r="AK33" s="10">
        <v>0.73399926801817073</v>
      </c>
      <c r="AL33" s="10">
        <v>0.68258891891590068</v>
      </c>
      <c r="AM33" s="10">
        <v>0.90113356981989023</v>
      </c>
      <c r="AN33" s="10">
        <v>0.98294425675668018</v>
      </c>
      <c r="AO33" s="10">
        <v>0.94511272522529444</v>
      </c>
      <c r="AP33" s="10"/>
      <c r="AQ33" s="10">
        <v>0.62388248873872176</v>
      </c>
      <c r="AR33" s="10">
        <v>0.61442460585586078</v>
      </c>
      <c r="AS33" s="10">
        <v>0.75196924549551369</v>
      </c>
      <c r="AT33" s="10">
        <v>0.78696045935616898</v>
      </c>
      <c r="AU33" s="10">
        <v>0.69981577702576847</v>
      </c>
      <c r="AW33" s="10">
        <v>0.79469459459459857</v>
      </c>
      <c r="AX33" s="10">
        <v>0.62698033783785878</v>
      </c>
      <c r="AY33" s="10">
        <v>0.62340000000001328</v>
      </c>
      <c r="AZ33" s="10">
        <v>0.76275236486502351</v>
      </c>
      <c r="BA33" s="10">
        <v>0.7093281081049716</v>
      </c>
      <c r="BB33" s="10">
        <v>0.93643385135142454</v>
      </c>
      <c r="BC33" s="10">
        <v>1.0214493243242446</v>
      </c>
      <c r="BD33" s="10">
        <v>0.98213581081088253</v>
      </c>
      <c r="BE33" s="10">
        <v>0.6483219594594416</v>
      </c>
      <c r="BF33" s="10">
        <v>0.63849358108108611</v>
      </c>
      <c r="BG33" s="10">
        <v>0.78142628378380263</v>
      </c>
      <c r="BH33" s="10"/>
      <c r="BI33" s="10">
        <v>0.81735919837891813</v>
      </c>
      <c r="BJ33" s="10">
        <v>0.72722979729598936</v>
      </c>
    </row>
    <row r="34" spans="1:62" x14ac:dyDescent="0.3">
      <c r="A34" s="8">
        <v>46121</v>
      </c>
      <c r="B34" s="10">
        <v>1.1799000000000182</v>
      </c>
      <c r="C34" s="8"/>
      <c r="D34" s="10">
        <v>1.0979999999999808</v>
      </c>
      <c r="E34">
        <v>131.5000000000027</v>
      </c>
      <c r="G34" s="10">
        <v>1.1869999999998699</v>
      </c>
      <c r="H34">
        <v>111.59999999995959</v>
      </c>
      <c r="I34" s="10">
        <v>1.1384999999992957</v>
      </c>
      <c r="K34" s="10">
        <v>1.1099999999904933</v>
      </c>
      <c r="N34">
        <v>109.44999999999936</v>
      </c>
      <c r="Q34" s="10">
        <v>1.1159999999999803</v>
      </c>
      <c r="R34" s="10">
        <v>2.7149999999999976</v>
      </c>
      <c r="T34" s="10">
        <v>2.0219999999956291</v>
      </c>
      <c r="U34" s="10">
        <v>1.1199999999956616E-2</v>
      </c>
      <c r="V34" s="10">
        <v>1.1099999999904933</v>
      </c>
      <c r="W34" s="10">
        <v>3.5404999999998604E-2</v>
      </c>
      <c r="X34" s="10">
        <v>0.95249999999902457</v>
      </c>
      <c r="Z34" s="10">
        <v>2.5034999999827994</v>
      </c>
      <c r="AB34" s="10">
        <v>3.1745000000000436</v>
      </c>
      <c r="AC34" s="10">
        <v>0.85899999999997889</v>
      </c>
      <c r="AH34" s="10">
        <v>0.7719620082931492</v>
      </c>
      <c r="AI34" s="10">
        <v>0.60823299338783743</v>
      </c>
      <c r="AJ34" s="10">
        <v>0.60369999999999779</v>
      </c>
      <c r="AK34" s="10">
        <v>0.7442227950241701</v>
      </c>
      <c r="AL34" s="10">
        <v>0.68779717583518907</v>
      </c>
      <c r="AM34" s="10">
        <v>0.90930494228387204</v>
      </c>
      <c r="AN34" s="10">
        <v>0.98568926370054011</v>
      </c>
      <c r="AO34" s="10">
        <v>0.93738243864170467</v>
      </c>
      <c r="AP34" s="10"/>
      <c r="AQ34" s="10">
        <v>0.62643262355703666</v>
      </c>
      <c r="AR34" s="10">
        <v>0.61577586284171792</v>
      </c>
      <c r="AS34" s="10">
        <v>0.76113694945659105</v>
      </c>
      <c r="AT34" s="10">
        <v>0.79198836714090237</v>
      </c>
      <c r="AU34" s="10">
        <v>0.70653805894780308</v>
      </c>
      <c r="AW34" s="10">
        <v>0.8030348537487122</v>
      </c>
      <c r="AX34" s="10">
        <v>0.63271545444353439</v>
      </c>
      <c r="AY34" s="10">
        <v>0.62799999999999756</v>
      </c>
      <c r="AZ34" s="10">
        <v>0.77417908775083444</v>
      </c>
      <c r="BA34" s="10">
        <v>0.71548223691319957</v>
      </c>
      <c r="BB34" s="10">
        <v>0.94590608539717014</v>
      </c>
      <c r="BC34" s="10">
        <v>1.0253650117673332</v>
      </c>
      <c r="BD34" s="10">
        <v>0.9751137509806036</v>
      </c>
      <c r="BE34" s="10">
        <v>0.65164765213486664</v>
      </c>
      <c r="BF34" s="10">
        <v>0.64035386597932198</v>
      </c>
      <c r="BG34" s="10">
        <v>0.7917740670179545</v>
      </c>
      <c r="BH34" s="10"/>
      <c r="BI34" s="10">
        <v>0.82386730920073969</v>
      </c>
      <c r="BJ34" s="10">
        <v>0.73497747394272028</v>
      </c>
    </row>
    <row r="35" spans="1:62" x14ac:dyDescent="0.3">
      <c r="A35" s="8">
        <v>46122</v>
      </c>
      <c r="B35" s="10">
        <v>1.1754899999999884</v>
      </c>
      <c r="C35" s="8"/>
      <c r="D35" s="10">
        <v>1.1035999999999915</v>
      </c>
      <c r="E35">
        <v>131.79999999999504</v>
      </c>
      <c r="G35" s="10">
        <v>1.1914999999999114</v>
      </c>
      <c r="H35">
        <v>112.39999999997204</v>
      </c>
      <c r="I35" s="10">
        <v>1.137999999999294</v>
      </c>
      <c r="K35" s="10">
        <v>1.1749999999987069</v>
      </c>
      <c r="N35">
        <v>109.49999999999973</v>
      </c>
      <c r="Q35" s="10">
        <v>1.1175000000000006</v>
      </c>
      <c r="R35" s="10">
        <v>2.7175000000000962</v>
      </c>
      <c r="T35" s="10">
        <v>2.0309999999998776</v>
      </c>
      <c r="U35" s="10">
        <v>1.1280000000000576E-2</v>
      </c>
      <c r="V35" s="10">
        <v>1.1749999999987069</v>
      </c>
      <c r="W35" s="10">
        <v>3.5589999999997131E-2</v>
      </c>
      <c r="X35" s="10">
        <v>0.95299999999886775</v>
      </c>
      <c r="Z35" s="10">
        <v>2.5074999999838865</v>
      </c>
      <c r="AB35" s="10">
        <v>3.1799999999999353</v>
      </c>
      <c r="AC35" s="10">
        <v>0.861500000000055</v>
      </c>
      <c r="AH35" s="10">
        <v>0.77737188305130556</v>
      </c>
      <c r="AI35" s="10">
        <v>0.61110180351739185</v>
      </c>
      <c r="AJ35" s="10">
        <v>0.60460000000004999</v>
      </c>
      <c r="AK35" s="10">
        <v>0.74289877898500389</v>
      </c>
      <c r="AL35" s="10">
        <v>0.6935257085222869</v>
      </c>
      <c r="AM35" s="10">
        <v>0.91025249243852813</v>
      </c>
      <c r="AN35" s="10">
        <v>0.9820432396100105</v>
      </c>
      <c r="AO35" s="10">
        <v>0.93930742690708346</v>
      </c>
      <c r="AP35" s="10"/>
      <c r="AQ35" s="10">
        <v>0.62715313095112513</v>
      </c>
      <c r="AR35" s="10">
        <v>0.61800996975476774</v>
      </c>
      <c r="AS35" s="10">
        <v>0.76396191329685192</v>
      </c>
      <c r="AT35" s="10">
        <v>0.79410048168479785</v>
      </c>
      <c r="AU35" s="10">
        <v>0.71011885291725763</v>
      </c>
      <c r="AW35" s="10">
        <v>0.81260176991138788</v>
      </c>
      <c r="AX35" s="10">
        <v>0.63879646017696279</v>
      </c>
      <c r="AY35" s="10">
        <v>0.6320000000000523</v>
      </c>
      <c r="AZ35" s="10">
        <v>0.77656637168131415</v>
      </c>
      <c r="BA35" s="10">
        <v>0.72495575220986652</v>
      </c>
      <c r="BB35" s="10">
        <v>0.95150442477861352</v>
      </c>
      <c r="BC35" s="10">
        <v>1.0265486725662034</v>
      </c>
      <c r="BD35" s="10">
        <v>0.98187610619463572</v>
      </c>
      <c r="BE35" s="10">
        <v>0.65557522123901935</v>
      </c>
      <c r="BF35" s="10">
        <v>0.64601769911513929</v>
      </c>
      <c r="BG35" s="10">
        <v>0.79858407079657701</v>
      </c>
      <c r="BH35" s="10"/>
      <c r="BI35" s="10">
        <v>0.83008849557524356</v>
      </c>
      <c r="BJ35" s="10">
        <v>0.74230088495485747</v>
      </c>
    </row>
    <row r="36" spans="1:62" x14ac:dyDescent="0.3">
      <c r="A36" s="8">
        <v>46125</v>
      </c>
      <c r="B36" s="10">
        <v>1.1755000000000104</v>
      </c>
      <c r="C36" s="8"/>
      <c r="D36" s="10">
        <v>1.104999999999996</v>
      </c>
      <c r="E36">
        <v>132.19999999999791</v>
      </c>
      <c r="G36" s="10">
        <v>1.1964999999999282</v>
      </c>
      <c r="H36">
        <v>112.94999999998629</v>
      </c>
      <c r="I36" s="10">
        <v>1.1384999999994561</v>
      </c>
      <c r="K36" s="10">
        <v>1.0959999999999455</v>
      </c>
      <c r="N36">
        <v>109.54999999999784</v>
      </c>
      <c r="Q36" s="10">
        <v>1.1199999999999819</v>
      </c>
      <c r="R36" s="10">
        <v>2.7204999999999591</v>
      </c>
      <c r="T36" s="10">
        <v>2.021000000000023</v>
      </c>
      <c r="U36" s="10">
        <v>1.128000000000029E-2</v>
      </c>
      <c r="V36" s="10">
        <v>1.0959999999999455</v>
      </c>
      <c r="W36" s="10">
        <v>3.5579999999997454E-2</v>
      </c>
      <c r="X36" s="10">
        <v>0.9524999999986552</v>
      </c>
      <c r="Z36" s="10">
        <v>2.509999999984065</v>
      </c>
      <c r="AB36" s="10">
        <v>3.1780000000001207</v>
      </c>
      <c r="AC36" s="10">
        <v>0.86449999999994842</v>
      </c>
      <c r="AH36" s="10">
        <v>0.78671100968494867</v>
      </c>
      <c r="AI36" s="10">
        <v>0.61345458087499105</v>
      </c>
      <c r="AJ36" s="10">
        <v>0.61250000000003069</v>
      </c>
      <c r="AK36" s="10">
        <v>0.75473255037287101</v>
      </c>
      <c r="AL36" s="10">
        <v>0.70741261271210254</v>
      </c>
      <c r="AM36" s="10">
        <v>0.91994322609361845</v>
      </c>
      <c r="AN36" s="10">
        <v>0.98117277078916942</v>
      </c>
      <c r="AO36" s="10">
        <v>0.93412557052224388</v>
      </c>
      <c r="AP36" s="10"/>
      <c r="AQ36" s="10">
        <v>0.63213709228538684</v>
      </c>
      <c r="AR36" s="10">
        <v>0.62388678615167992</v>
      </c>
      <c r="AS36" s="10">
        <v>0.77286958699789876</v>
      </c>
      <c r="AT36" s="10">
        <v>0.80293888455983231</v>
      </c>
      <c r="AU36" s="10">
        <v>0.71798118668503175</v>
      </c>
      <c r="AW36" s="10">
        <v>0.82151895803182551</v>
      </c>
      <c r="AX36" s="10">
        <v>0.6405968162083987</v>
      </c>
      <c r="AY36" s="10">
        <v>0.63960000000003214</v>
      </c>
      <c r="AZ36" s="10">
        <v>0.7881256150505932</v>
      </c>
      <c r="BA36" s="10">
        <v>0.73871201157658906</v>
      </c>
      <c r="BB36" s="10">
        <v>0.96064602026037282</v>
      </c>
      <c r="BC36" s="10">
        <v>1.0245846599130661</v>
      </c>
      <c r="BD36" s="10">
        <v>0.97545586107106474</v>
      </c>
      <c r="BE36" s="10">
        <v>0.66010593342976887</v>
      </c>
      <c r="BF36" s="10">
        <v>0.65149059334304416</v>
      </c>
      <c r="BG36" s="10">
        <v>0.80706512301037736</v>
      </c>
      <c r="BH36" s="10"/>
      <c r="BI36" s="10">
        <v>0.83846483357464296</v>
      </c>
      <c r="BJ36" s="10">
        <v>0.74974819102652457</v>
      </c>
    </row>
    <row r="37" spans="1:62" x14ac:dyDescent="0.3">
      <c r="A37" s="8">
        <v>46126</v>
      </c>
      <c r="B37" s="10">
        <v>1.1775000000000213</v>
      </c>
      <c r="C37" s="8"/>
      <c r="D37" s="10">
        <v>1.1105000000000222</v>
      </c>
      <c r="E37">
        <v>132.7500000000073</v>
      </c>
      <c r="G37" s="10">
        <v>1.2059999999999242</v>
      </c>
      <c r="H37">
        <v>113.29999999998589</v>
      </c>
      <c r="I37" s="10">
        <v>1.1429999999995082</v>
      </c>
      <c r="K37" s="10">
        <v>1.0949999999999471</v>
      </c>
      <c r="N37">
        <v>109.30000000000398</v>
      </c>
      <c r="Q37" s="10">
        <v>1.1265000000000049</v>
      </c>
      <c r="R37" s="10">
        <v>2.7389999999999075</v>
      </c>
      <c r="T37" s="10">
        <v>2.0334999999999188</v>
      </c>
      <c r="U37" s="10">
        <v>1.1099999999999815E-2</v>
      </c>
      <c r="V37" s="10">
        <v>1.0949999999999471</v>
      </c>
      <c r="W37" s="10">
        <v>3.5725000000001533E-2</v>
      </c>
      <c r="X37" s="10">
        <v>0.96249999999949398</v>
      </c>
      <c r="Z37" s="10">
        <v>2.5224999999876019</v>
      </c>
      <c r="AB37" s="10">
        <v>3.1844999999997894</v>
      </c>
      <c r="AC37" s="10">
        <v>0.86499999999995525</v>
      </c>
      <c r="AH37" s="10">
        <v>0.79140805739515041</v>
      </c>
      <c r="AI37" s="10">
        <v>0.61686379690948268</v>
      </c>
      <c r="AJ37" s="10">
        <v>0.61699999999998123</v>
      </c>
      <c r="AK37" s="10">
        <v>0.76137527593827148</v>
      </c>
      <c r="AL37" s="10">
        <v>0.71336368653329596</v>
      </c>
      <c r="AM37" s="10">
        <v>0.92951799116997846</v>
      </c>
      <c r="AN37" s="10">
        <v>0.98372682119197097</v>
      </c>
      <c r="AO37" s="10">
        <v>0.93980132450343024</v>
      </c>
      <c r="AP37" s="10"/>
      <c r="AQ37" s="10">
        <v>0.63062030905084154</v>
      </c>
      <c r="AR37" s="10">
        <v>0.62558079470206818</v>
      </c>
      <c r="AS37" s="10">
        <v>0.77874116997770348</v>
      </c>
      <c r="AT37" s="10">
        <v>0.8097273730685518</v>
      </c>
      <c r="AU37" s="10">
        <v>0.72017384105883375</v>
      </c>
      <c r="AW37" s="10">
        <v>0.82296176600442228</v>
      </c>
      <c r="AX37" s="10">
        <v>0.64145836644590604</v>
      </c>
      <c r="AY37" s="10">
        <v>0.64159999999998052</v>
      </c>
      <c r="AZ37" s="10">
        <v>0.79173156732900307</v>
      </c>
      <c r="BA37" s="10">
        <v>0.74180573951339168</v>
      </c>
      <c r="BB37" s="10">
        <v>0.96657818984547517</v>
      </c>
      <c r="BC37" s="10">
        <v>1.0229483443707756</v>
      </c>
      <c r="BD37" s="10">
        <v>0.97727152317893162</v>
      </c>
      <c r="BE37" s="10">
        <v>0.65576335540845998</v>
      </c>
      <c r="BF37" s="10">
        <v>0.65052291390736927</v>
      </c>
      <c r="BG37" s="10">
        <v>0.80978984547438326</v>
      </c>
      <c r="BH37" s="10"/>
      <c r="BI37" s="10">
        <v>0.84201147902882145</v>
      </c>
      <c r="BJ37" s="10">
        <v>0.74888741721774355</v>
      </c>
    </row>
    <row r="38" spans="1:62" x14ac:dyDescent="0.3">
      <c r="A38" s="8">
        <v>46127</v>
      </c>
      <c r="B38" s="10">
        <v>1.1855100000000005</v>
      </c>
      <c r="C38" s="8"/>
      <c r="D38" s="10">
        <v>1.1136000000000235</v>
      </c>
      <c r="E38">
        <v>133.99999999999946</v>
      </c>
      <c r="G38" s="10">
        <v>1.2144999999999788</v>
      </c>
      <c r="H38">
        <v>114.59999999998804</v>
      </c>
      <c r="I38" s="10">
        <v>1.1609999999997871</v>
      </c>
      <c r="K38" s="10">
        <v>1.120000000000039</v>
      </c>
      <c r="N38">
        <v>109.00000000000314</v>
      </c>
      <c r="Q38" s="10">
        <v>1.1313000000000115</v>
      </c>
      <c r="R38" s="10">
        <v>2.751500000000028</v>
      </c>
      <c r="T38" s="10">
        <v>2.0549999999999136</v>
      </c>
      <c r="U38" s="10">
        <v>1.1399999999999366E-2</v>
      </c>
      <c r="V38" s="10">
        <v>1.120000000000039</v>
      </c>
      <c r="W38" s="10">
        <v>3.6049999999999922E-2</v>
      </c>
      <c r="X38" s="10">
        <v>0.97349999999995063</v>
      </c>
      <c r="Z38" s="10">
        <v>2.529999999990054</v>
      </c>
      <c r="AB38" s="10">
        <v>3.1899999999996358</v>
      </c>
      <c r="AC38" s="10">
        <v>0.86499999999990107</v>
      </c>
      <c r="AH38" s="10">
        <v>0.7920955093833677</v>
      </c>
      <c r="AI38" s="10">
        <v>0.61843451742628419</v>
      </c>
      <c r="AJ38" s="10">
        <v>0.61740000000003681</v>
      </c>
      <c r="AK38" s="10">
        <v>0.76188760053635396</v>
      </c>
      <c r="AL38" s="10">
        <v>0.71519638069652292</v>
      </c>
      <c r="AM38" s="10">
        <v>0.9289966487933965</v>
      </c>
      <c r="AN38" s="10">
        <v>0.98203290884715089</v>
      </c>
      <c r="AO38" s="10">
        <v>0.94485924932977061</v>
      </c>
      <c r="AP38" s="10"/>
      <c r="AQ38" s="10">
        <v>0.63181427613946206</v>
      </c>
      <c r="AR38" s="10">
        <v>0.62864175603224581</v>
      </c>
      <c r="AS38" s="10">
        <v>0.77692258713117723</v>
      </c>
      <c r="AT38" s="10">
        <v>0.81175134048250475</v>
      </c>
      <c r="AU38" s="10">
        <v>0.72112761394054725</v>
      </c>
      <c r="AW38" s="10">
        <v>0.82121855451294734</v>
      </c>
      <c r="AX38" s="10">
        <v>0.64117255361931402</v>
      </c>
      <c r="AY38" s="10">
        <v>0.64010000000003808</v>
      </c>
      <c r="AZ38" s="10">
        <v>0.78989998882947854</v>
      </c>
      <c r="BA38" s="10">
        <v>0.74149206881089125</v>
      </c>
      <c r="BB38" s="10">
        <v>0.96315315013387293</v>
      </c>
      <c r="BC38" s="10">
        <v>1.0181393990169441</v>
      </c>
      <c r="BD38" s="10">
        <v>0.97959897229670589</v>
      </c>
      <c r="BE38" s="10">
        <v>0.65504424709567488</v>
      </c>
      <c r="BF38" s="10">
        <v>0.65175508266316895</v>
      </c>
      <c r="BG38" s="10">
        <v>0.80548776809631772</v>
      </c>
      <c r="BH38" s="10"/>
      <c r="BI38" s="10">
        <v>0.8415970732796425</v>
      </c>
      <c r="BJ38" s="10">
        <v>0.74764137622828686</v>
      </c>
    </row>
    <row r="39" spans="1:62" x14ac:dyDescent="0.3">
      <c r="A39" s="8">
        <v>46128</v>
      </c>
      <c r="B39" s="10">
        <v>1.1906999999999943</v>
      </c>
      <c r="C39" s="8"/>
      <c r="D39" s="10">
        <v>1.1198999999999806</v>
      </c>
      <c r="E39">
        <v>134.04999999999671</v>
      </c>
      <c r="G39" s="10">
        <v>1.2180000000000542</v>
      </c>
      <c r="H39">
        <v>114.74999999999494</v>
      </c>
      <c r="I39" s="10">
        <v>1.1649999999997898</v>
      </c>
      <c r="K39" s="10">
        <v>1.1020000000000651</v>
      </c>
      <c r="N39">
        <v>109.24999999999714</v>
      </c>
      <c r="Q39" s="10">
        <v>1.1339999999999877</v>
      </c>
      <c r="R39" s="10">
        <v>2.75449999999995</v>
      </c>
      <c r="T39" s="10">
        <v>2.0574999999999131</v>
      </c>
      <c r="U39" s="10">
        <v>1.1199999999999937E-2</v>
      </c>
      <c r="V39" s="10">
        <v>1.1020000000000651</v>
      </c>
      <c r="W39" s="10">
        <v>3.6260000000001485E-2</v>
      </c>
      <c r="X39" s="10">
        <v>0.98249999999996296</v>
      </c>
      <c r="Z39" s="10">
        <v>2.544999999994594</v>
      </c>
      <c r="AB39" s="10">
        <v>3.2039999999999527</v>
      </c>
      <c r="AC39" s="10">
        <v>0.86200000000004284</v>
      </c>
      <c r="AE39" s="10">
        <v>0.824999999999948</v>
      </c>
      <c r="AH39" s="10">
        <v>0.78821252502768191</v>
      </c>
      <c r="AI39" s="10">
        <v>0.61585561735268635</v>
      </c>
      <c r="AJ39" s="10">
        <v>0.61929999999999941</v>
      </c>
      <c r="AK39" s="10">
        <v>0.75817750834266751</v>
      </c>
      <c r="AL39" s="10">
        <v>0.71780934371457339</v>
      </c>
      <c r="AM39" s="10">
        <v>0.9261944938820349</v>
      </c>
      <c r="AN39" s="10">
        <v>0.98530010011120428</v>
      </c>
      <c r="AO39" s="10">
        <v>0.92743447163513382</v>
      </c>
      <c r="AP39" s="10"/>
      <c r="AQ39" s="10">
        <v>0.62921982202451643</v>
      </c>
      <c r="AR39" s="10">
        <v>0.62894427141274523</v>
      </c>
      <c r="AS39" s="10">
        <v>0.77774160177980467</v>
      </c>
      <c r="AT39" s="10">
        <v>0.81080767519475738</v>
      </c>
      <c r="AU39" s="10">
        <v>0.720564849832807</v>
      </c>
      <c r="AW39" s="10">
        <v>0.81366747497206049</v>
      </c>
      <c r="AX39" s="10">
        <v>0.63574438264746069</v>
      </c>
      <c r="AY39" s="10">
        <v>0.63929999999999942</v>
      </c>
      <c r="AZ39" s="10">
        <v>0.78266249165746382</v>
      </c>
      <c r="BA39" s="10">
        <v>0.74099065628407357</v>
      </c>
      <c r="BB39" s="10">
        <v>0.95610550611785083</v>
      </c>
      <c r="BC39" s="10">
        <v>1.0171198998887343</v>
      </c>
      <c r="BD39" s="10">
        <v>0.95738552836483304</v>
      </c>
      <c r="BE39" s="10">
        <v>0.64954017797557451</v>
      </c>
      <c r="BF39" s="10">
        <v>0.64925572858738589</v>
      </c>
      <c r="BG39" s="10">
        <v>0.8028583982202957</v>
      </c>
      <c r="BH39" s="10"/>
      <c r="BI39" s="10">
        <v>0.83699232480543928</v>
      </c>
      <c r="BJ39" s="10">
        <v>0.74383515016650026</v>
      </c>
    </row>
    <row r="40" spans="1:62" x14ac:dyDescent="0.3">
      <c r="A40" s="8">
        <v>46129</v>
      </c>
      <c r="B40" s="10">
        <v>1.1985000000000086</v>
      </c>
      <c r="C40" s="8"/>
      <c r="D40" s="10">
        <v>1.1299999999999839</v>
      </c>
      <c r="E40">
        <v>135.29999999999822</v>
      </c>
      <c r="G40" s="10">
        <v>1.226499999999993</v>
      </c>
      <c r="H40">
        <v>115.74999999999098</v>
      </c>
      <c r="I40" s="10">
        <v>1.1819999999999331</v>
      </c>
      <c r="K40" s="10">
        <v>1.1169999999962306</v>
      </c>
      <c r="N40">
        <v>110.19999999999675</v>
      </c>
      <c r="Q40" s="10">
        <v>1.1479999999999899</v>
      </c>
      <c r="R40" s="10">
        <v>2.7749999999999786</v>
      </c>
      <c r="T40" s="10">
        <v>2.0800000000000436</v>
      </c>
      <c r="U40" s="10">
        <v>1.1299999999948867E-2</v>
      </c>
      <c r="V40" s="10">
        <v>1.1169999999962306</v>
      </c>
      <c r="W40" s="10">
        <v>3.6799999999879859E-2</v>
      </c>
      <c r="X40" s="10">
        <v>0.99599999999993893</v>
      </c>
      <c r="Z40" s="10">
        <v>2.5799999999981544</v>
      </c>
      <c r="AB40" s="10">
        <v>3.2264999999998936</v>
      </c>
      <c r="AC40" s="10">
        <v>0.87009999999992771</v>
      </c>
      <c r="AE40" s="10">
        <v>0.83499999999982777</v>
      </c>
      <c r="AH40" s="10">
        <v>0.79033701075512552</v>
      </c>
      <c r="AI40" s="10">
        <v>0.61934369664046118</v>
      </c>
      <c r="AJ40" s="10">
        <v>0.62010000000006527</v>
      </c>
      <c r="AK40" s="10">
        <v>0.76317884466110031</v>
      </c>
      <c r="AL40" s="10">
        <v>0.71642554606873921</v>
      </c>
      <c r="AM40" s="10">
        <v>0.93293457146011738</v>
      </c>
      <c r="AN40" s="10">
        <v>0.99006985253351687</v>
      </c>
      <c r="AO40" s="10">
        <v>0.93527223638990931</v>
      </c>
      <c r="AP40" s="10"/>
      <c r="AQ40" s="10">
        <v>0.62746406388642262</v>
      </c>
      <c r="AR40" s="10">
        <v>0.62841933695519747</v>
      </c>
      <c r="AS40" s="10">
        <v>0.78174265439589008</v>
      </c>
      <c r="AT40" s="10">
        <v>0.81577630557701386</v>
      </c>
      <c r="AU40" s="10">
        <v>0.718488191594992</v>
      </c>
      <c r="AW40" s="10">
        <v>0.8137883911742424</v>
      </c>
      <c r="AX40" s="10">
        <v>0.63772125512809963</v>
      </c>
      <c r="AY40" s="10">
        <v>0.63850000000006735</v>
      </c>
      <c r="AZ40" s="10">
        <v>0.78582437077263767</v>
      </c>
      <c r="BA40" s="10">
        <v>0.7376837786887438</v>
      </c>
      <c r="BB40" s="10">
        <v>0.96061719702835835</v>
      </c>
      <c r="BC40" s="10">
        <v>1.0194478323538956</v>
      </c>
      <c r="BD40" s="10">
        <v>0.96302422663273202</v>
      </c>
      <c r="BE40" s="10">
        <v>0.64910425909494085</v>
      </c>
      <c r="BF40" s="10">
        <v>0.64706619359118478</v>
      </c>
      <c r="BG40" s="10">
        <v>0.80493901762905329</v>
      </c>
      <c r="BH40" s="10"/>
      <c r="BI40" s="10">
        <v>0.83998253686651081</v>
      </c>
      <c r="BJ40" s="10">
        <v>0.73980762833962654</v>
      </c>
    </row>
    <row r="41" spans="1:62" x14ac:dyDescent="0.3">
      <c r="A41" s="8">
        <v>46132</v>
      </c>
      <c r="B41" s="10">
        <v>1.1986100000000024</v>
      </c>
      <c r="C41" s="8"/>
      <c r="D41" s="10">
        <v>1.1294000000000219</v>
      </c>
      <c r="E41">
        <v>136.04999999999694</v>
      </c>
      <c r="G41" s="10">
        <v>1.2284999999999924</v>
      </c>
      <c r="H41">
        <v>115.84999999999677</v>
      </c>
      <c r="I41" s="10">
        <v>1.1780000000000383</v>
      </c>
      <c r="K41" s="10">
        <v>1.116999999999146</v>
      </c>
      <c r="N41">
        <v>110.40000000000272</v>
      </c>
      <c r="Q41" s="10">
        <v>1.1478999999999802</v>
      </c>
      <c r="R41" s="10">
        <v>2.7839999999999723</v>
      </c>
      <c r="T41" s="10">
        <v>2.0835000000000292</v>
      </c>
      <c r="U41" s="10">
        <v>1.1349999999997947E-2</v>
      </c>
      <c r="V41" s="10">
        <v>1.116999999999146</v>
      </c>
      <c r="W41" s="10">
        <v>3.670000000000119E-2</v>
      </c>
      <c r="X41" s="10">
        <v>0.99300000000002842</v>
      </c>
      <c r="Z41" s="10">
        <v>2.578999999997964</v>
      </c>
      <c r="AB41" s="10">
        <v>3.2299999999999986</v>
      </c>
      <c r="AC41" s="10">
        <v>0.87000000000002131</v>
      </c>
      <c r="AE41" s="10">
        <v>0.82999999999997043</v>
      </c>
      <c r="AH41" s="10">
        <v>0.79033060773460562</v>
      </c>
      <c r="AI41" s="10">
        <v>0.61890967955801368</v>
      </c>
      <c r="AJ41" s="10">
        <v>0.61979999999996027</v>
      </c>
      <c r="AK41" s="10">
        <v>0.76656590055233498</v>
      </c>
      <c r="AL41" s="10">
        <v>0.71362607734725103</v>
      </c>
      <c r="AM41" s="10">
        <v>0.93819228729297643</v>
      </c>
      <c r="AN41" s="10">
        <v>0.99078967955805419</v>
      </c>
      <c r="AO41" s="10">
        <v>0.94031535911600572</v>
      </c>
      <c r="AP41" s="10"/>
      <c r="AQ41" s="10">
        <v>0.6260687962860233</v>
      </c>
      <c r="AR41" s="10">
        <v>0.6300729281768267</v>
      </c>
      <c r="AS41" s="10">
        <v>0.78142740331464688</v>
      </c>
      <c r="AT41" s="10">
        <v>0.81704022099454132</v>
      </c>
      <c r="AU41" s="10">
        <v>0.72430992265184413</v>
      </c>
      <c r="AW41" s="10">
        <v>0.81570585635338344</v>
      </c>
      <c r="AX41" s="10">
        <v>0.63878109392265459</v>
      </c>
      <c r="AY41" s="10">
        <v>0.63969999999995897</v>
      </c>
      <c r="AZ41" s="10">
        <v>0.7911781325965288</v>
      </c>
      <c r="BA41" s="10">
        <v>0.73653856353507008</v>
      </c>
      <c r="BB41" s="10">
        <v>0.96831495027640668</v>
      </c>
      <c r="BC41" s="10">
        <v>1.0226010939226962</v>
      </c>
      <c r="BD41" s="10">
        <v>0.97050618784528664</v>
      </c>
      <c r="BE41" s="10">
        <v>0.64828348623849241</v>
      </c>
      <c r="BF41" s="10">
        <v>0.65030276243097118</v>
      </c>
      <c r="BG41" s="10">
        <v>0.80651679557983147</v>
      </c>
      <c r="BH41" s="10"/>
      <c r="BI41" s="10">
        <v>0.84327303867410119</v>
      </c>
      <c r="BJ41" s="10">
        <v>0.74756543646399576</v>
      </c>
    </row>
    <row r="42" spans="1:62" x14ac:dyDescent="0.3">
      <c r="A42" s="8">
        <v>46133</v>
      </c>
      <c r="B42" s="10">
        <v>1.2002499999999972</v>
      </c>
      <c r="C42" s="8"/>
      <c r="D42" s="10">
        <v>1.125499999999974</v>
      </c>
      <c r="E42">
        <v>135.69999999999905</v>
      </c>
      <c r="G42" s="10">
        <v>1.2284999999999893</v>
      </c>
      <c r="H42">
        <v>116.09999999999697</v>
      </c>
      <c r="I42" s="10">
        <v>1.1794999999999423</v>
      </c>
      <c r="K42" s="10">
        <v>1.1159999999922972</v>
      </c>
      <c r="N42">
        <v>110.50000000000686</v>
      </c>
      <c r="Q42" s="10">
        <v>1.1485000000000216</v>
      </c>
      <c r="R42" s="10">
        <v>2.7870000000000026</v>
      </c>
      <c r="T42" s="10">
        <v>2.0839999999999907</v>
      </c>
      <c r="U42" s="10">
        <v>1.1374999999934998E-2</v>
      </c>
      <c r="V42" s="10">
        <v>1.1159999999922972</v>
      </c>
      <c r="W42" s="10">
        <v>3.6600000000000577E-2</v>
      </c>
      <c r="X42" s="10">
        <v>0.99509999999999976</v>
      </c>
      <c r="Z42" s="10">
        <v>2.5839999999984173</v>
      </c>
      <c r="AB42" s="10">
        <v>3.2274999999997425</v>
      </c>
      <c r="AC42" s="10">
        <v>0.86649999999993954</v>
      </c>
      <c r="AE42" s="10">
        <v>0.82949999999992297</v>
      </c>
      <c r="AH42" s="10">
        <v>0.77859275265951755</v>
      </c>
      <c r="AI42" s="10">
        <v>0.61483623670216236</v>
      </c>
      <c r="AJ42" s="10">
        <v>0.61470000000004454</v>
      </c>
      <c r="AK42" s="10">
        <v>0.75611369680851981</v>
      </c>
      <c r="AL42" s="10">
        <v>0.70025664893436357</v>
      </c>
      <c r="AM42" s="10">
        <v>0.92572839095750625</v>
      </c>
      <c r="AN42" s="10">
        <v>0.98499135638289426</v>
      </c>
      <c r="AO42" s="10">
        <v>0.93315329122347879</v>
      </c>
      <c r="AP42" s="10"/>
      <c r="AQ42" s="10">
        <v>0.62136176600934123</v>
      </c>
      <c r="AR42" s="10">
        <v>0.62178430851064026</v>
      </c>
      <c r="AS42" s="10">
        <v>0.77041855053200581</v>
      </c>
      <c r="AT42" s="10">
        <v>0.80475019946802662</v>
      </c>
      <c r="AU42" s="10">
        <v>0.71367596409501444</v>
      </c>
      <c r="AW42" s="10">
        <v>0.80810505319143033</v>
      </c>
      <c r="AX42" s="10">
        <v>0.63814140070925596</v>
      </c>
      <c r="AY42" s="10">
        <v>0.6380000000000462</v>
      </c>
      <c r="AZ42" s="10">
        <v>0.78477393617022229</v>
      </c>
      <c r="BA42" s="10">
        <v>0.72679964538819586</v>
      </c>
      <c r="BB42" s="10">
        <v>0.96081781914899811</v>
      </c>
      <c r="BC42" s="10">
        <v>1.022327127659487</v>
      </c>
      <c r="BD42" s="10">
        <v>0.96852415780149603</v>
      </c>
      <c r="BE42" s="10">
        <v>0.64386682916023996</v>
      </c>
      <c r="BF42" s="10">
        <v>0.64535283687943457</v>
      </c>
      <c r="BG42" s="10">
        <v>0.7996210106383923</v>
      </c>
      <c r="BH42" s="10"/>
      <c r="BI42" s="10">
        <v>0.83525398936164152</v>
      </c>
      <c r="BJ42" s="10">
        <v>0.74072761524746911</v>
      </c>
    </row>
    <row r="43" spans="1:62" x14ac:dyDescent="0.3">
      <c r="A43" s="8">
        <v>46134</v>
      </c>
      <c r="B43" s="10">
        <v>1.2017500000000139</v>
      </c>
      <c r="C43" s="8"/>
      <c r="D43" s="10">
        <v>1.128399999999997</v>
      </c>
      <c r="E43">
        <v>135.99999999999736</v>
      </c>
      <c r="G43" s="10">
        <v>1.2300000000000901</v>
      </c>
      <c r="H43">
        <v>115.94999999999833</v>
      </c>
      <c r="I43" s="10">
        <v>1.1824999999998469</v>
      </c>
      <c r="K43" s="10">
        <v>1.110000000000021</v>
      </c>
      <c r="N43">
        <v>110.79999999999932</v>
      </c>
      <c r="Q43" s="10">
        <v>1.1477499999999956</v>
      </c>
      <c r="R43" s="10">
        <v>2.7880000000000633</v>
      </c>
      <c r="T43" s="10">
        <v>2.0845000000000731</v>
      </c>
      <c r="U43" s="10">
        <v>1.1299999999934777E-2</v>
      </c>
      <c r="V43" s="10">
        <v>1.110000000000021</v>
      </c>
      <c r="W43" s="10">
        <v>3.6674999999999597E-2</v>
      </c>
      <c r="X43" s="10">
        <v>0.99299999999996669</v>
      </c>
      <c r="Z43" s="10">
        <v>2.5809999999975846</v>
      </c>
      <c r="AB43" s="10">
        <v>3.2340000000004294</v>
      </c>
      <c r="AC43" s="10">
        <v>0.86709999999994058</v>
      </c>
      <c r="AE43" s="10">
        <v>0.82999999999992868</v>
      </c>
      <c r="AH43" s="10">
        <v>0.77511103752766897</v>
      </c>
      <c r="AI43" s="10">
        <v>0.61321131346580604</v>
      </c>
      <c r="AJ43" s="10">
        <v>0.61449999999999649</v>
      </c>
      <c r="AK43" s="10">
        <v>0.75076164459161776</v>
      </c>
      <c r="AL43" s="10">
        <v>0.69758636865145807</v>
      </c>
      <c r="AM43" s="10">
        <v>0.9244630242826507</v>
      </c>
      <c r="AN43" s="10">
        <v>0.98347130242827074</v>
      </c>
      <c r="AO43" s="10">
        <v>0.92710822295813089</v>
      </c>
      <c r="AP43" s="10"/>
      <c r="AQ43" s="10">
        <v>0.61886675496693155</v>
      </c>
      <c r="AR43" s="10">
        <v>0.62263907284774844</v>
      </c>
      <c r="AS43" s="10">
        <v>0.76927803532011485</v>
      </c>
      <c r="AT43" s="10">
        <v>0.80190215231773665</v>
      </c>
      <c r="AU43" s="10">
        <v>0.71216887417099339</v>
      </c>
      <c r="AW43" s="10">
        <v>0.80487933774842235</v>
      </c>
      <c r="AX43" s="10">
        <v>0.63676182119207625</v>
      </c>
      <c r="AY43" s="10">
        <v>0.63809999999999623</v>
      </c>
      <c r="AZ43" s="10">
        <v>0.77959480132450976</v>
      </c>
      <c r="BA43" s="10">
        <v>0.72437731787875559</v>
      </c>
      <c r="BB43" s="10">
        <v>0.95996721854313971</v>
      </c>
      <c r="BC43" s="10">
        <v>1.0212417218543197</v>
      </c>
      <c r="BD43" s="10">
        <v>0.96271400662259277</v>
      </c>
      <c r="BE43" s="10">
        <v>0.6421044370861384</v>
      </c>
      <c r="BF43" s="10">
        <v>0.64655165562920802</v>
      </c>
      <c r="BG43" s="10">
        <v>0.79882231788082203</v>
      </c>
      <c r="BH43" s="10"/>
      <c r="BI43" s="10">
        <v>0.83269937086077728</v>
      </c>
      <c r="BJ43" s="10">
        <v>0.73951986754843102</v>
      </c>
    </row>
    <row r="44" spans="1:62" x14ac:dyDescent="0.3">
      <c r="A44" s="8">
        <v>46135</v>
      </c>
      <c r="B44" s="10">
        <v>1.1964999999999995</v>
      </c>
      <c r="C44" s="8"/>
      <c r="D44" s="10">
        <v>1.1240000000000174</v>
      </c>
      <c r="E44">
        <v>135.29999999999785</v>
      </c>
      <c r="G44" s="10">
        <v>1.2254999999999314</v>
      </c>
      <c r="H44">
        <v>115.64999999999405</v>
      </c>
      <c r="I44" s="10">
        <v>1.1749999999999348</v>
      </c>
      <c r="K44" s="10">
        <v>1.1109999999999829</v>
      </c>
      <c r="N44">
        <v>110.69999999999899</v>
      </c>
      <c r="Q44" s="10">
        <v>1.137999999999977</v>
      </c>
      <c r="R44" s="10">
        <v>2.7744999999999975</v>
      </c>
      <c r="T44" s="10">
        <v>2.0805000000000735</v>
      </c>
      <c r="U44" s="10">
        <v>1.1299999999999444E-2</v>
      </c>
      <c r="V44" s="10">
        <v>1.1109999999999829</v>
      </c>
      <c r="W44" s="10">
        <v>3.643499999999833E-2</v>
      </c>
      <c r="X44" s="10">
        <v>0.987499999999913</v>
      </c>
      <c r="Z44" s="10">
        <v>2.5649999999942583</v>
      </c>
      <c r="AB44" s="10">
        <v>3.2225000000004043</v>
      </c>
      <c r="AC44" s="10">
        <v>0.86199999999994592</v>
      </c>
      <c r="AE44" s="10">
        <v>0.82499999999988116</v>
      </c>
      <c r="AH44" s="10">
        <v>0.77120221606631401</v>
      </c>
      <c r="AI44" s="10">
        <v>0.60831024930752564</v>
      </c>
      <c r="AJ44" s="10">
        <v>0.60999999999995724</v>
      </c>
      <c r="AK44" s="10">
        <v>0.74518005540140342</v>
      </c>
      <c r="AL44" s="10">
        <v>0.69820498614751159</v>
      </c>
      <c r="AM44" s="10">
        <v>0.91685872576170835</v>
      </c>
      <c r="AN44" s="10">
        <v>0.98005540166192662</v>
      </c>
      <c r="AO44" s="10">
        <v>0.92192797783933633</v>
      </c>
      <c r="AP44" s="10"/>
      <c r="AQ44" s="10">
        <v>0.6238559556787433</v>
      </c>
      <c r="AR44" s="10">
        <v>0.61844875346265804</v>
      </c>
      <c r="AS44" s="10">
        <v>0.76437562326843067</v>
      </c>
      <c r="AT44" s="10">
        <v>0.79884653739616884</v>
      </c>
      <c r="AU44" s="10">
        <v>0.70496398891810808</v>
      </c>
      <c r="AW44" s="10">
        <v>0.8010388919665844</v>
      </c>
      <c r="AX44" s="10">
        <v>0.63184487534630829</v>
      </c>
      <c r="AY44" s="10">
        <v>0.63359999999995553</v>
      </c>
      <c r="AZ44" s="10">
        <v>0.77400997229890012</v>
      </c>
      <c r="BA44" s="10">
        <v>0.72521750692305464</v>
      </c>
      <c r="BB44" s="10">
        <v>0.95233063711904653</v>
      </c>
      <c r="BC44" s="10">
        <v>1.0179722991688469</v>
      </c>
      <c r="BD44" s="10">
        <v>0.95759601108033332</v>
      </c>
      <c r="BE44" s="10">
        <v>0.64799202216074048</v>
      </c>
      <c r="BF44" s="10">
        <v>0.64237562326875419</v>
      </c>
      <c r="BG44" s="10">
        <v>0.79394818836537306</v>
      </c>
      <c r="BH44" s="10"/>
      <c r="BI44" s="10">
        <v>0.82975273130198757</v>
      </c>
      <c r="BJ44" s="10">
        <v>0.73223800553854634</v>
      </c>
    </row>
    <row r="45" spans="1:62" x14ac:dyDescent="0.3">
      <c r="A45" s="8">
        <v>46136</v>
      </c>
      <c r="B45" s="10">
        <v>1.2009900000000258</v>
      </c>
      <c r="C45" s="8"/>
      <c r="D45" s="10">
        <v>1.1254999999999793</v>
      </c>
      <c r="E45">
        <v>135.25000000000549</v>
      </c>
      <c r="G45" s="10">
        <v>1.2264999999999966</v>
      </c>
      <c r="H45">
        <v>115.49999999999206</v>
      </c>
      <c r="I45" s="10">
        <v>1.1654999999998201</v>
      </c>
      <c r="K45" s="10">
        <v>1.1125000000000396</v>
      </c>
      <c r="N45">
        <v>110.29999999999556</v>
      </c>
      <c r="Q45" s="10">
        <v>1.1409999999999791</v>
      </c>
      <c r="R45" s="10">
        <v>2.7750000000000181</v>
      </c>
      <c r="T45" s="10">
        <v>2.077500000000073</v>
      </c>
      <c r="U45" s="10">
        <v>1.1289999999999941E-2</v>
      </c>
      <c r="V45" s="10">
        <v>1.1125000000000396</v>
      </c>
      <c r="W45" s="10">
        <v>3.6394999999999594E-2</v>
      </c>
      <c r="X45" s="10">
        <v>0.98509999999996778</v>
      </c>
      <c r="Z45" s="10">
        <v>2.5674999999927683</v>
      </c>
      <c r="AB45" s="10">
        <v>3.218999999999768</v>
      </c>
      <c r="AC45" s="10">
        <v>0.86099999999988341</v>
      </c>
      <c r="AE45" s="10">
        <v>0.82400000000005946</v>
      </c>
      <c r="AH45" s="10">
        <v>0.77209578438902982</v>
      </c>
      <c r="AI45" s="10">
        <v>0.60943308815457176</v>
      </c>
      <c r="AJ45" s="10">
        <v>0.60950000000001714</v>
      </c>
      <c r="AK45" s="10">
        <v>0.7445950159185073</v>
      </c>
      <c r="AL45" s="10">
        <v>0.69474569107166251</v>
      </c>
      <c r="AM45" s="10">
        <v>0.91997096278400303</v>
      </c>
      <c r="AN45" s="10">
        <v>0.9846078054670655</v>
      </c>
      <c r="AO45" s="10">
        <v>0.92411949720067299</v>
      </c>
      <c r="AP45" s="10"/>
      <c r="AQ45" s="10">
        <v>0.61726177406953109</v>
      </c>
      <c r="AR45" s="10">
        <v>0.62027280711384014</v>
      </c>
      <c r="AS45" s="10">
        <v>0.76172444834771769</v>
      </c>
      <c r="AT45" s="10">
        <v>0.79665243166115285</v>
      </c>
      <c r="AU45" s="10">
        <v>0.70518393896002063</v>
      </c>
      <c r="AW45" s="10">
        <v>0.80224488966952012</v>
      </c>
      <c r="AX45" s="10">
        <v>0.63323047535404475</v>
      </c>
      <c r="AY45" s="10">
        <v>0.63330000000001785</v>
      </c>
      <c r="AZ45" s="10">
        <v>0.77367026018242913</v>
      </c>
      <c r="BA45" s="10">
        <v>0.72187439894287753</v>
      </c>
      <c r="BB45" s="10">
        <v>0.95589435722905525</v>
      </c>
      <c r="BC45" s="10">
        <v>1.0230551652211526</v>
      </c>
      <c r="BD45" s="10">
        <v>0.96020488527840231</v>
      </c>
      <c r="BE45" s="10">
        <v>0.64136485893065454</v>
      </c>
      <c r="BF45" s="10">
        <v>0.64449346799867924</v>
      </c>
      <c r="BG45" s="10">
        <v>0.79146856954652922</v>
      </c>
      <c r="BH45" s="10"/>
      <c r="BI45" s="10">
        <v>0.82776043473504202</v>
      </c>
      <c r="BJ45" s="10">
        <v>0.73272024371350464</v>
      </c>
    </row>
    <row r="46" spans="1:62" x14ac:dyDescent="0.3">
      <c r="A46" s="8">
        <v>46139</v>
      </c>
      <c r="B46" s="10">
        <v>1.198000000000029</v>
      </c>
      <c r="C46" s="8"/>
      <c r="D46" s="10">
        <v>1.1253900000000177</v>
      </c>
      <c r="E46">
        <v>134.50000000000492</v>
      </c>
      <c r="G46" s="10">
        <v>1.2215000000000216</v>
      </c>
      <c r="H46">
        <v>115.2499999999949</v>
      </c>
      <c r="I46" s="10">
        <v>1.1649999999999527</v>
      </c>
      <c r="K46" s="10">
        <v>1.109500000000043</v>
      </c>
      <c r="N46">
        <v>110.4999999999927</v>
      </c>
      <c r="Q46" s="10">
        <v>1.1399599999999728</v>
      </c>
      <c r="R46" s="10">
        <v>2.7714999999999388</v>
      </c>
      <c r="T46" s="10">
        <v>2.0650000000000737</v>
      </c>
      <c r="U46" s="10">
        <v>1.1300000000000365E-2</v>
      </c>
      <c r="V46" s="10">
        <v>1.109500000000043</v>
      </c>
      <c r="W46" s="10">
        <v>3.6289999999999233E-2</v>
      </c>
      <c r="X46" s="10">
        <v>0.97849999999968162</v>
      </c>
      <c r="Z46" s="10">
        <v>2.5399999999729506</v>
      </c>
      <c r="AB46" s="10">
        <v>3.1730000000001457</v>
      </c>
      <c r="AC46" s="10">
        <v>0.85500000000003373</v>
      </c>
      <c r="AE46" s="10">
        <v>0.82299999999987561</v>
      </c>
      <c r="AH46" s="10">
        <v>0.758703058669706</v>
      </c>
      <c r="AI46" s="10">
        <v>0.60453902253182323</v>
      </c>
      <c r="AJ46" s="10">
        <v>0.60500000000001886</v>
      </c>
      <c r="AK46" s="10">
        <v>0.73637857842602161</v>
      </c>
      <c r="AL46" s="10">
        <v>0.68817350603653937</v>
      </c>
      <c r="AM46" s="10">
        <v>0.90805975835404817</v>
      </c>
      <c r="AN46" s="10">
        <v>0.98372591705670187</v>
      </c>
      <c r="AO46" s="10">
        <v>0.92076956569056279</v>
      </c>
      <c r="AP46" s="10"/>
      <c r="AQ46" s="10">
        <v>0.61403083460451735</v>
      </c>
      <c r="AR46" s="10">
        <v>0.61639272885607399</v>
      </c>
      <c r="AS46" s="10">
        <v>0.75271035158375954</v>
      </c>
      <c r="AT46" s="10">
        <v>0.78846903232831655</v>
      </c>
      <c r="AU46" s="10">
        <v>0.69686622400930498</v>
      </c>
      <c r="AW46" s="10">
        <v>0.78817334276679385</v>
      </c>
      <c r="AX46" s="10">
        <v>0.62802111679545614</v>
      </c>
      <c r="AY46" s="10">
        <v>0.62850000000001971</v>
      </c>
      <c r="AZ46" s="10">
        <v>0.76498171329050346</v>
      </c>
      <c r="BA46" s="10">
        <v>0.71490421246936364</v>
      </c>
      <c r="BB46" s="10">
        <v>0.94333150103391628</v>
      </c>
      <c r="BC46" s="10">
        <v>1.0219367584630368</v>
      </c>
      <c r="BD46" s="10">
        <v>0.95653499510168405</v>
      </c>
      <c r="BE46" s="10">
        <v>0.63838908258882887</v>
      </c>
      <c r="BF46" s="10">
        <v>0.64033525634056632</v>
      </c>
      <c r="BG46" s="10">
        <v>0.78194786110808745</v>
      </c>
      <c r="BH46" s="10"/>
      <c r="BI46" s="10">
        <v>0.81909551540222647</v>
      </c>
      <c r="BJ46" s="10">
        <v>0.72393458147082357</v>
      </c>
    </row>
    <row r="47" spans="1:62" x14ac:dyDescent="0.3">
      <c r="A47" s="8">
        <v>46140</v>
      </c>
      <c r="B47" s="10">
        <v>1.199250000000011</v>
      </c>
      <c r="C47" s="8"/>
      <c r="D47" s="10">
        <v>1.1280000000000185</v>
      </c>
      <c r="E47">
        <v>135.00000000000173</v>
      </c>
      <c r="G47" s="10">
        <v>1.2250000000000234</v>
      </c>
      <c r="H47">
        <v>115.44999999999435</v>
      </c>
      <c r="I47" s="10">
        <v>1.1899999999998958</v>
      </c>
      <c r="K47" s="10">
        <v>1.1129999999999858</v>
      </c>
      <c r="N47">
        <v>110.29999999999545</v>
      </c>
      <c r="Q47" s="10">
        <v>1.1374999999999995</v>
      </c>
      <c r="R47" s="10">
        <v>2.7569999999999752</v>
      </c>
      <c r="T47" s="10">
        <v>2.0619999999967105</v>
      </c>
      <c r="U47" s="10">
        <v>1.1320000000000489E-2</v>
      </c>
      <c r="V47" s="10">
        <v>1.1129999999999858</v>
      </c>
      <c r="W47" s="10">
        <v>3.6325000000001537E-2</v>
      </c>
      <c r="X47" s="10">
        <v>0.9700999999987614</v>
      </c>
      <c r="Z47" s="10">
        <v>2.5284999999999469</v>
      </c>
      <c r="AB47" s="10">
        <v>3.1790000000000425</v>
      </c>
      <c r="AC47" s="10">
        <v>0.85300000000009324</v>
      </c>
      <c r="AE47" s="10">
        <v>0.81889999999997409</v>
      </c>
      <c r="AH47" s="10">
        <v>0.76365477497239187</v>
      </c>
      <c r="AI47" s="10">
        <v>0.60533205268934509</v>
      </c>
      <c r="AJ47" s="10">
        <v>0.60499999999996001</v>
      </c>
      <c r="AK47" s="10">
        <v>0.73377003293074883</v>
      </c>
      <c r="AL47" s="10">
        <v>0.68834522502296125</v>
      </c>
      <c r="AM47" s="10">
        <v>0.91095334796934491</v>
      </c>
      <c r="AN47" s="10">
        <v>0.97809440175614892</v>
      </c>
      <c r="AO47" s="10">
        <v>0.91945389681676293</v>
      </c>
      <c r="AP47" s="10"/>
      <c r="AQ47" s="10">
        <v>0.61860870996045902</v>
      </c>
      <c r="AR47" s="10">
        <v>0.6159577387486973</v>
      </c>
      <c r="AS47" s="10">
        <v>0.7497749725575531</v>
      </c>
      <c r="AT47" s="10">
        <v>0.78457409440181392</v>
      </c>
      <c r="AU47" s="10">
        <v>0.69266190998565802</v>
      </c>
      <c r="AW47" s="10">
        <v>0.79457963776052987</v>
      </c>
      <c r="AX47" s="10">
        <v>0.62984549945114499</v>
      </c>
      <c r="AY47" s="10">
        <v>0.62949999999995832</v>
      </c>
      <c r="AZ47" s="10">
        <v>0.76348468715687001</v>
      </c>
      <c r="BA47" s="10">
        <v>0.71622036223463481</v>
      </c>
      <c r="BB47" s="10">
        <v>0.94784319429207042</v>
      </c>
      <c r="BC47" s="10">
        <v>1.0177031833148691</v>
      </c>
      <c r="BD47" s="10">
        <v>0.95668798024157387</v>
      </c>
      <c r="BE47" s="10">
        <v>0.6429858709959988</v>
      </c>
      <c r="BF47" s="10">
        <v>0.64090148188810725</v>
      </c>
      <c r="BG47" s="10">
        <v>0.78013776070244578</v>
      </c>
      <c r="BH47" s="10"/>
      <c r="BI47" s="10">
        <v>0.81634610318337497</v>
      </c>
      <c r="BJ47" s="10">
        <v>0.72071185510077962</v>
      </c>
    </row>
    <row r="48" spans="1:62" x14ac:dyDescent="0.3">
      <c r="A48" s="8">
        <v>46141</v>
      </c>
      <c r="B48" s="10">
        <v>1.1950999999999907</v>
      </c>
      <c r="C48" s="8"/>
      <c r="D48" s="10">
        <v>1.1274999999999979</v>
      </c>
      <c r="E48">
        <v>134.39000000000016</v>
      </c>
      <c r="G48" s="10">
        <v>1.2154999999999605</v>
      </c>
      <c r="H48">
        <v>115.34999999999246</v>
      </c>
      <c r="I48" s="10">
        <v>1.1704999999999357</v>
      </c>
      <c r="K48" s="10">
        <v>1.1289999999945186</v>
      </c>
      <c r="N48">
        <v>110.4000000000002</v>
      </c>
      <c r="Q48" s="10">
        <v>1.1289999999999949</v>
      </c>
      <c r="R48" s="10">
        <v>2.7449999999999215</v>
      </c>
      <c r="T48" s="10">
        <v>2.0369999999999728</v>
      </c>
      <c r="U48" s="10">
        <v>1.1289999999999845E-2</v>
      </c>
      <c r="V48" s="10">
        <v>1.1289999999945186</v>
      </c>
      <c r="W48" s="10">
        <v>3.5849999999999931E-2</v>
      </c>
      <c r="X48" s="10">
        <v>0.95499999999111196</v>
      </c>
      <c r="Z48" s="10">
        <v>2.4995000000002907</v>
      </c>
      <c r="AB48" s="10">
        <v>3.1634999999996221</v>
      </c>
      <c r="AC48" s="10">
        <v>0.8411999999998625</v>
      </c>
      <c r="AE48" s="10">
        <v>0.81449999999992129</v>
      </c>
      <c r="AH48" s="10">
        <v>0.76262007743351545</v>
      </c>
      <c r="AI48" s="10">
        <v>0.60998871681417399</v>
      </c>
      <c r="AJ48" s="10">
        <v>0.60650000000005166</v>
      </c>
      <c r="AK48" s="10">
        <v>0.73598506637168626</v>
      </c>
      <c r="AL48" s="10">
        <v>0.69492555309421566</v>
      </c>
      <c r="AM48" s="10">
        <v>0.91746543141592152</v>
      </c>
      <c r="AN48" s="10">
        <v>0.98073196902628612</v>
      </c>
      <c r="AO48" s="10">
        <v>0.91270199115038597</v>
      </c>
      <c r="AP48" s="10"/>
      <c r="AQ48" s="10">
        <v>0.62496479247374903</v>
      </c>
      <c r="AR48" s="10">
        <v>0.61998523230085667</v>
      </c>
      <c r="AS48" s="10">
        <v>0.75544137168159065</v>
      </c>
      <c r="AT48" s="10">
        <v>0.78891963495554507</v>
      </c>
      <c r="AU48" s="10">
        <v>0.69868263274085063</v>
      </c>
      <c r="AW48" s="10">
        <v>0.79179202433616613</v>
      </c>
      <c r="AX48" s="10">
        <v>0.63332216814160824</v>
      </c>
      <c r="AY48" s="10">
        <v>0.62970000000005355</v>
      </c>
      <c r="AZ48" s="10">
        <v>0.7641381637168192</v>
      </c>
      <c r="BA48" s="10">
        <v>0.72150803097020211</v>
      </c>
      <c r="BB48" s="10">
        <v>0.95256056415928425</v>
      </c>
      <c r="BC48" s="10">
        <v>1.0182471902652142</v>
      </c>
      <c r="BD48" s="10">
        <v>0.94761491150436616</v>
      </c>
      <c r="BE48" s="10">
        <v>0.6484511898174139</v>
      </c>
      <c r="BF48" s="10">
        <v>0.64370107300882029</v>
      </c>
      <c r="BG48" s="10">
        <v>0.78433871681434086</v>
      </c>
      <c r="BH48" s="10"/>
      <c r="BI48" s="10">
        <v>0.8190975995573071</v>
      </c>
      <c r="BJ48" s="10">
        <v>0.72540882743101998</v>
      </c>
    </row>
    <row r="49" spans="1:62" x14ac:dyDescent="0.3">
      <c r="A49" s="8">
        <v>46142</v>
      </c>
      <c r="B49" s="10">
        <v>1.2009900000000209</v>
      </c>
      <c r="C49" s="8"/>
      <c r="D49" s="10">
        <v>1.133000000000002</v>
      </c>
      <c r="E49">
        <v>134.99999999999784</v>
      </c>
      <c r="G49" s="10">
        <v>1.2245000000000259</v>
      </c>
      <c r="H49">
        <v>116.39999999999311</v>
      </c>
      <c r="I49" s="10">
        <v>1.195000000000052</v>
      </c>
      <c r="K49" s="10">
        <v>1.1249999999999212</v>
      </c>
      <c r="N49">
        <v>110.99999999999972</v>
      </c>
      <c r="Q49" s="10">
        <v>1.1309999999999985</v>
      </c>
      <c r="R49" s="10">
        <v>2.7504999999999562</v>
      </c>
      <c r="T49" s="10">
        <v>2.0519999999999019</v>
      </c>
      <c r="U49" s="10">
        <v>1.1345000000000405E-2</v>
      </c>
      <c r="V49" s="10">
        <v>1.1249999999999212</v>
      </c>
      <c r="W49" s="10">
        <v>3.590999999999675E-2</v>
      </c>
      <c r="X49" s="10">
        <v>0.97249999999890802</v>
      </c>
      <c r="Z49" s="10">
        <v>2.5125000000000859</v>
      </c>
      <c r="AB49" s="10">
        <v>3.1654999999998017</v>
      </c>
      <c r="AC49" s="10">
        <v>0.85220000000012108</v>
      </c>
      <c r="AE49" s="10">
        <v>0.81980000000007114</v>
      </c>
      <c r="AH49" s="10">
        <v>0.76729375821282741</v>
      </c>
      <c r="AI49" s="10">
        <v>0.61253869908014691</v>
      </c>
      <c r="AJ49" s="10">
        <v>0.61019999999996433</v>
      </c>
      <c r="AK49" s="10">
        <v>0.74236990801597458</v>
      </c>
      <c r="AL49" s="10">
        <v>0.69572956635673233</v>
      </c>
      <c r="AM49" s="10">
        <v>0.9170373193165946</v>
      </c>
      <c r="AN49" s="10">
        <v>0.97951399474351275</v>
      </c>
      <c r="AO49" s="10">
        <v>0.91209264126156053</v>
      </c>
      <c r="AP49" s="10"/>
      <c r="AQ49" s="10">
        <v>0.62562359120250599</v>
      </c>
      <c r="AR49" s="10">
        <v>0.62409855453353524</v>
      </c>
      <c r="AS49" s="10">
        <v>0.76041130091976339</v>
      </c>
      <c r="AT49" s="10">
        <v>0.7918835085414494</v>
      </c>
      <c r="AU49" s="10">
        <v>0.70368114323029507</v>
      </c>
      <c r="AW49" s="10">
        <v>0.79608927945680263</v>
      </c>
      <c r="AX49" s="10">
        <v>0.63552646736748764</v>
      </c>
      <c r="AY49" s="10">
        <v>0.63309999999996291</v>
      </c>
      <c r="AZ49" s="10">
        <v>0.77023007008343725</v>
      </c>
      <c r="BA49" s="10">
        <v>0.72183937800794373</v>
      </c>
      <c r="BB49" s="10">
        <v>0.95145251861575875</v>
      </c>
      <c r="BC49" s="10">
        <v>1.0162738611473581</v>
      </c>
      <c r="BD49" s="10">
        <v>0.9463222733246377</v>
      </c>
      <c r="BE49" s="10">
        <v>0.64971758398070789</v>
      </c>
      <c r="BF49" s="10">
        <v>0.64752014892687826</v>
      </c>
      <c r="BG49" s="10">
        <v>0.78894853263241915</v>
      </c>
      <c r="BH49" s="10"/>
      <c r="BI49" s="10">
        <v>0.82160185063518787</v>
      </c>
      <c r="BJ49" s="10">
        <v>0.73008936705850491</v>
      </c>
    </row>
    <row r="50" spans="1:62" x14ac:dyDescent="0.3">
      <c r="A50" s="8">
        <v>46146</v>
      </c>
      <c r="B50" s="10">
        <v>1.2008799999999946</v>
      </c>
      <c r="C50" s="8"/>
      <c r="D50" s="10">
        <v>1.1294999999999791</v>
      </c>
      <c r="E50">
        <v>135.28999999999888</v>
      </c>
      <c r="G50" s="10">
        <v>1.2262000000000133</v>
      </c>
      <c r="H50">
        <v>115.94999999999341</v>
      </c>
      <c r="I50" s="10">
        <v>1.1890000000000018</v>
      </c>
      <c r="K50" s="10">
        <v>1.1250000000000029</v>
      </c>
      <c r="N50">
        <v>110.44999999999776</v>
      </c>
      <c r="Q50" s="10">
        <v>1.1348999999999807</v>
      </c>
      <c r="R50" s="10">
        <v>2.7569999999999193</v>
      </c>
      <c r="T50" s="10">
        <v>2.0649999999902811</v>
      </c>
      <c r="U50" s="10">
        <v>1.1350000000000476E-2</v>
      </c>
      <c r="V50" s="10">
        <v>1.1250000000000029</v>
      </c>
      <c r="W50" s="10">
        <v>3.6185000000002E-2</v>
      </c>
      <c r="X50" s="10">
        <v>0.97899999999931619</v>
      </c>
      <c r="Z50" s="10">
        <v>2.524499999999966</v>
      </c>
      <c r="AB50" s="10">
        <v>3.1755000000000222</v>
      </c>
      <c r="AC50" s="10">
        <v>0.8544999999999735</v>
      </c>
      <c r="AE50" s="10">
        <v>0.82139999999994029</v>
      </c>
      <c r="AH50" s="10">
        <v>0.76450120271129185</v>
      </c>
      <c r="AI50" s="10">
        <v>0.61093165774238112</v>
      </c>
      <c r="AJ50" s="10">
        <v>0.6111999999999439</v>
      </c>
      <c r="AK50" s="10">
        <v>0.74091126175375566</v>
      </c>
      <c r="AL50" s="10">
        <v>0.69246166629791206</v>
      </c>
      <c r="AM50" s="10">
        <v>0.91646586485913972</v>
      </c>
      <c r="AN50" s="10">
        <v>0.98102077410869382</v>
      </c>
      <c r="AO50" s="10">
        <v>0.91252307019460144</v>
      </c>
      <c r="AP50" s="10"/>
      <c r="AQ50" s="10">
        <v>0.62817406516511121</v>
      </c>
      <c r="AR50" s="10">
        <v>0.62483271375460125</v>
      </c>
      <c r="AS50" s="10">
        <v>0.75654878635471245</v>
      </c>
      <c r="AT50" s="10">
        <v>0.79105789818667527</v>
      </c>
      <c r="AU50" s="10">
        <v>0.69934485020458259</v>
      </c>
      <c r="AW50" s="10">
        <v>0.7941456374368443</v>
      </c>
      <c r="AX50" s="10">
        <v>0.63410630532188283</v>
      </c>
      <c r="AY50" s="10">
        <v>0.63489999999994173</v>
      </c>
      <c r="AZ50" s="10">
        <v>0.76964096872948207</v>
      </c>
      <c r="BA50" s="10">
        <v>0.7193126831357074</v>
      </c>
      <c r="BB50" s="10">
        <v>0.95200290837543822</v>
      </c>
      <c r="BC50" s="10">
        <v>1.0190610102775031</v>
      </c>
      <c r="BD50" s="10">
        <v>0.94790722720312914</v>
      </c>
      <c r="BE50" s="10">
        <v>0.65253225453751484</v>
      </c>
      <c r="BF50" s="10">
        <v>0.64906133828991541</v>
      </c>
      <c r="BG50" s="10">
        <v>0.78588485676800868</v>
      </c>
      <c r="BH50" s="10"/>
      <c r="BI50" s="10">
        <v>0.82106532663325937</v>
      </c>
      <c r="BJ50" s="10">
        <v>0.72646277060682185</v>
      </c>
    </row>
    <row r="51" spans="1:62" x14ac:dyDescent="0.3">
      <c r="A51" s="8">
        <v>46147</v>
      </c>
      <c r="B51" s="10">
        <v>1.1989600000000151</v>
      </c>
      <c r="C51" s="8"/>
      <c r="D51" s="10">
        <v>1.1270100000000043</v>
      </c>
      <c r="E51">
        <v>135.14000000000161</v>
      </c>
      <c r="G51" s="10">
        <v>1.2269999999999843</v>
      </c>
      <c r="H51">
        <v>115.40999999998883</v>
      </c>
      <c r="I51" s="10">
        <v>1.1834999999999101</v>
      </c>
      <c r="K51" s="10">
        <v>1.1104999999999505</v>
      </c>
      <c r="N51">
        <v>110.7999999999989</v>
      </c>
      <c r="Q51" s="10">
        <v>1.1387999999999905</v>
      </c>
      <c r="R51" s="10">
        <v>2.76600000000002</v>
      </c>
      <c r="T51" s="10">
        <v>2.0749999999921549</v>
      </c>
      <c r="U51" s="10">
        <v>1.1409999999999991E-2</v>
      </c>
      <c r="V51" s="10">
        <v>1.1104999999999505</v>
      </c>
      <c r="W51" s="10">
        <v>3.6385000000000195E-2</v>
      </c>
      <c r="X51" s="10">
        <v>0.98699999999974874</v>
      </c>
      <c r="Z51" s="10">
        <v>2.53550000000011</v>
      </c>
      <c r="AB51" s="10">
        <v>3.1915000000000604</v>
      </c>
      <c r="AC51" s="10">
        <v>0.85699999999999832</v>
      </c>
      <c r="AE51" s="10">
        <v>0.82000000000000017</v>
      </c>
      <c r="AH51" s="10">
        <v>0.76650481636245982</v>
      </c>
      <c r="AI51" s="10">
        <v>0.61169615130855459</v>
      </c>
      <c r="AJ51" s="10">
        <v>0.61209999999993081</v>
      </c>
      <c r="AK51" s="10">
        <v>0.74234120299094697</v>
      </c>
      <c r="AL51" s="10">
        <v>0.69428320870515836</v>
      </c>
      <c r="AM51" s="10">
        <v>0.91774615130859294</v>
      </c>
      <c r="AN51" s="10">
        <v>0.97926576863841175</v>
      </c>
      <c r="AO51" s="10">
        <v>0.91094803166924321</v>
      </c>
      <c r="AP51" s="10"/>
      <c r="AQ51" s="10">
        <v>0.63121550472832388</v>
      </c>
      <c r="AR51" s="10">
        <v>0.62596547173959105</v>
      </c>
      <c r="AS51" s="10">
        <v>0.75829322630282259</v>
      </c>
      <c r="AT51" s="10">
        <v>0.79233402945722897</v>
      </c>
      <c r="AU51" s="10">
        <v>0.70034093907783923</v>
      </c>
      <c r="AW51" s="10">
        <v>0.79655891796791478</v>
      </c>
      <c r="AX51" s="10">
        <v>0.63568031669232405</v>
      </c>
      <c r="AY51" s="10">
        <v>0.63609999999992783</v>
      </c>
      <c r="AZ51" s="10">
        <v>0.77144786672527577</v>
      </c>
      <c r="BA51" s="10">
        <v>0.72150555310790909</v>
      </c>
      <c r="BB51" s="10">
        <v>0.95373031669236386</v>
      </c>
      <c r="BC51" s="10">
        <v>1.0176620738946147</v>
      </c>
      <c r="BD51" s="10">
        <v>0.9466656476798001</v>
      </c>
      <c r="BE51" s="10">
        <v>0.65596500989656392</v>
      </c>
      <c r="BF51" s="10">
        <v>0.65050912689683682</v>
      </c>
      <c r="BG51" s="10">
        <v>0.78802535737824764</v>
      </c>
      <c r="BH51" s="10"/>
      <c r="BI51" s="10">
        <v>0.82404292152142733</v>
      </c>
      <c r="BJ51" s="10">
        <v>0.72780080272408665</v>
      </c>
    </row>
    <row r="52" spans="1:62" x14ac:dyDescent="0.3">
      <c r="A52" s="8">
        <v>46148</v>
      </c>
      <c r="B52" s="10">
        <v>1.2025000000000103</v>
      </c>
      <c r="C52" s="8"/>
      <c r="D52" s="10">
        <v>1.1375000000000077</v>
      </c>
      <c r="E52">
        <v>135.70000000000155</v>
      </c>
      <c r="G52" s="10">
        <v>1.2323999999999626</v>
      </c>
      <c r="H52">
        <v>115.79999999999897</v>
      </c>
      <c r="I52" s="10">
        <v>1.1829999999998806</v>
      </c>
      <c r="K52" s="10">
        <v>1.1124999999999903</v>
      </c>
      <c r="N52">
        <v>110.90000000000208</v>
      </c>
      <c r="Q52" s="10">
        <v>1.1409999999999989</v>
      </c>
      <c r="R52" s="10">
        <v>2.7745000000000575</v>
      </c>
      <c r="T52" s="10">
        <v>2.0804999999979144</v>
      </c>
      <c r="U52" s="10">
        <v>1.1385000000000417E-2</v>
      </c>
      <c r="V52" s="10">
        <v>1.1124999999999903</v>
      </c>
      <c r="W52" s="10">
        <v>3.6814999999997433E-2</v>
      </c>
      <c r="X52" s="10">
        <v>0.99199999999982691</v>
      </c>
      <c r="Z52" s="10">
        <v>2.5424999999999787</v>
      </c>
      <c r="AB52" s="10">
        <v>3.1989999999997645</v>
      </c>
      <c r="AC52" s="10">
        <v>0.85839999999993766</v>
      </c>
      <c r="AE52" s="10">
        <v>0.82130000000012715</v>
      </c>
      <c r="AH52" s="10">
        <v>0.78227500818151785</v>
      </c>
      <c r="AI52" s="10">
        <v>0.61818970219264902</v>
      </c>
      <c r="AJ52" s="10">
        <v>0.61899999999998945</v>
      </c>
      <c r="AK52" s="10">
        <v>0.75897894622008988</v>
      </c>
      <c r="AL52" s="10">
        <v>0.71137395003673509</v>
      </c>
      <c r="AM52" s="10">
        <v>0.92691316679374902</v>
      </c>
      <c r="AN52" s="10">
        <v>0.97910985055061095</v>
      </c>
      <c r="AO52" s="10">
        <v>0.91820246536497663</v>
      </c>
      <c r="AP52" s="10"/>
      <c r="AQ52" s="10">
        <v>0.63457460681517308</v>
      </c>
      <c r="AR52" s="10">
        <v>0.63072542595014136</v>
      </c>
      <c r="AS52" s="10">
        <v>0.77970906512484917</v>
      </c>
      <c r="AT52" s="10">
        <v>0.81301221590920092</v>
      </c>
      <c r="AU52" s="10">
        <v>0.72217792080226728</v>
      </c>
      <c r="AW52" s="10">
        <v>0.81134176939020108</v>
      </c>
      <c r="AX52" s="10">
        <v>0.64115959419657609</v>
      </c>
      <c r="AY52" s="10">
        <v>0.64199999999998891</v>
      </c>
      <c r="AZ52" s="10">
        <v>0.78718010254167636</v>
      </c>
      <c r="BA52" s="10">
        <v>0.73780626158898854</v>
      </c>
      <c r="BB52" s="10">
        <v>0.96135420530143278</v>
      </c>
      <c r="BC52" s="10">
        <v>1.0154903458053186</v>
      </c>
      <c r="BD52" s="10">
        <v>0.95231984291488692</v>
      </c>
      <c r="BE52" s="10">
        <v>0.65838526649188667</v>
      </c>
      <c r="BF52" s="10">
        <v>0.65439165574480951</v>
      </c>
      <c r="BG52" s="10">
        <v>0.8086804843459664</v>
      </c>
      <c r="BH52" s="10"/>
      <c r="BI52" s="10">
        <v>0.84392272727284157</v>
      </c>
      <c r="BJ52" s="10">
        <v>0.74901167230219001</v>
      </c>
    </row>
    <row r="53" spans="1:62" x14ac:dyDescent="0.3">
      <c r="A53" s="8">
        <v>46149</v>
      </c>
      <c r="B53" s="10">
        <v>1.2080000000000171</v>
      </c>
      <c r="C53" s="8"/>
      <c r="D53" s="10">
        <v>1.1385000000000032</v>
      </c>
      <c r="E53">
        <v>136.19999999999476</v>
      </c>
      <c r="G53" s="10">
        <v>1.2345000000000192</v>
      </c>
      <c r="H53">
        <v>116.4999999999971</v>
      </c>
      <c r="I53" s="10">
        <v>1.1814999999999736</v>
      </c>
      <c r="K53" s="10">
        <v>1.1150000000000697</v>
      </c>
      <c r="N53">
        <v>111.15000000000531</v>
      </c>
      <c r="Q53" s="10">
        <v>1.1470099999999774</v>
      </c>
      <c r="R53" s="10">
        <v>2.787500000000001</v>
      </c>
      <c r="T53" s="10">
        <v>2.0850000000000066</v>
      </c>
      <c r="U53" s="10">
        <v>1.1445000000000323E-2</v>
      </c>
      <c r="V53" s="10">
        <v>1.1150000000000697</v>
      </c>
      <c r="W53" s="10">
        <v>3.6824999999999303E-2</v>
      </c>
      <c r="X53" s="10">
        <v>0.98799999999967525</v>
      </c>
      <c r="Z53" s="10">
        <v>2.5425000000003042</v>
      </c>
      <c r="AB53" s="10">
        <v>3.193999999999753</v>
      </c>
      <c r="AC53" s="10">
        <v>0.85800000000009957</v>
      </c>
      <c r="AE53" s="10">
        <v>0.8215000000000644</v>
      </c>
      <c r="AH53" s="10">
        <v>0.78113411996064608</v>
      </c>
      <c r="AI53" s="10">
        <v>0.6158864306784797</v>
      </c>
      <c r="AJ53" s="10">
        <v>0.61710000000003817</v>
      </c>
      <c r="AK53" s="10">
        <v>0.75585142576223641</v>
      </c>
      <c r="AL53" s="10">
        <v>0.71128646345307811</v>
      </c>
      <c r="AM53" s="10">
        <v>0.9184022943297685</v>
      </c>
      <c r="AN53" s="10">
        <v>0.97759750901323461</v>
      </c>
      <c r="AO53" s="10">
        <v>0.91327833497212496</v>
      </c>
      <c r="AP53" s="10"/>
      <c r="AQ53" s="10">
        <v>0.62821535772802262</v>
      </c>
      <c r="AR53" s="10">
        <v>0.62768502130442505</v>
      </c>
      <c r="AS53" s="10">
        <v>0.77445948869214287</v>
      </c>
      <c r="AT53" s="10">
        <v>0.80837200917737451</v>
      </c>
      <c r="AU53" s="10">
        <v>0.71465748934637874</v>
      </c>
      <c r="AW53" s="10">
        <v>0.81164024909863286</v>
      </c>
      <c r="AX53" s="10">
        <v>0.63993903638152849</v>
      </c>
      <c r="AY53" s="10">
        <v>0.64120000000003974</v>
      </c>
      <c r="AZ53" s="10">
        <v>0.78537017371373519</v>
      </c>
      <c r="BA53" s="10">
        <v>0.73906478749977922</v>
      </c>
      <c r="BB53" s="10">
        <v>0.95426924505630795</v>
      </c>
      <c r="BC53" s="10">
        <v>1.0157762482244139</v>
      </c>
      <c r="BD53" s="10">
        <v>0.94894517644486553</v>
      </c>
      <c r="BE53" s="10">
        <v>0.65359676679410694</v>
      </c>
      <c r="BF53" s="10">
        <v>0.65219840489450231</v>
      </c>
      <c r="BG53" s="10">
        <v>0.80470494919689206</v>
      </c>
      <c r="BH53" s="10"/>
      <c r="BI53" s="10">
        <v>0.83994187698028289</v>
      </c>
      <c r="BJ53" s="10">
        <v>0.74256746421795183</v>
      </c>
    </row>
    <row r="54" spans="1:62" x14ac:dyDescent="0.3">
      <c r="A54" s="8">
        <v>46150</v>
      </c>
      <c r="B54" s="10">
        <v>1.2100000000000291</v>
      </c>
      <c r="C54" s="8"/>
      <c r="D54" s="10">
        <v>1.1410000000000238</v>
      </c>
      <c r="E54">
        <v>136.59999999999917</v>
      </c>
      <c r="G54" s="10">
        <v>1.2383899999999399</v>
      </c>
      <c r="H54">
        <v>116.89999999999712</v>
      </c>
      <c r="I54" s="10">
        <v>1.2050000000000294</v>
      </c>
      <c r="K54" s="10">
        <v>1.1230000000000686</v>
      </c>
      <c r="N54">
        <v>111.50000000000003</v>
      </c>
      <c r="Q54" s="10">
        <v>1.1539999999999726</v>
      </c>
      <c r="R54" s="10">
        <v>2.8009999999999722</v>
      </c>
      <c r="T54" s="10">
        <v>2.0940000000000434</v>
      </c>
      <c r="U54" s="10">
        <v>1.1524999999999681E-2</v>
      </c>
      <c r="V54" s="10">
        <v>1.1230000000000686</v>
      </c>
      <c r="W54" s="10">
        <v>3.6849999999998759E-2</v>
      </c>
      <c r="X54" s="10">
        <v>0.9919999999998268</v>
      </c>
      <c r="Z54" s="10">
        <v>2.5540000000001157</v>
      </c>
      <c r="AB54" s="10">
        <v>3.1964999999997015</v>
      </c>
      <c r="AC54" s="10">
        <v>0.85920000000004093</v>
      </c>
      <c r="AE54" s="10">
        <v>0.82299999999986528</v>
      </c>
      <c r="AH54" s="10">
        <v>0.78393896457768575</v>
      </c>
      <c r="AI54" s="10">
        <v>0.61649046321530432</v>
      </c>
      <c r="AJ54" s="10">
        <v>0.61749999999998839</v>
      </c>
      <c r="AK54" s="10">
        <v>0.75782561307933316</v>
      </c>
      <c r="AL54" s="10">
        <v>0.71205994550245932</v>
      </c>
      <c r="AM54" s="10">
        <v>0.92601444141678613</v>
      </c>
      <c r="AN54" s="10">
        <v>0.98059673024509664</v>
      </c>
      <c r="AO54" s="10">
        <v>0.91793814713895339</v>
      </c>
      <c r="AP54" s="10"/>
      <c r="AQ54" s="10">
        <v>0.6304589235127378</v>
      </c>
      <c r="AR54" s="10">
        <v>0.62927792915527248</v>
      </c>
      <c r="AS54" s="10">
        <v>0.77875667574938434</v>
      </c>
      <c r="AT54" s="10">
        <v>0.81563841961851447</v>
      </c>
      <c r="AU54" s="10">
        <v>0.72215531335053518</v>
      </c>
      <c r="AW54" s="10">
        <v>0.81618519891011199</v>
      </c>
      <c r="AX54" s="10">
        <v>0.64184893732974757</v>
      </c>
      <c r="AY54" s="10">
        <v>0.64289999999998781</v>
      </c>
      <c r="AZ54" s="10">
        <v>0.78899771117198914</v>
      </c>
      <c r="BA54" s="10">
        <v>0.74134953678304627</v>
      </c>
      <c r="BB54" s="10">
        <v>0.96410475204348467</v>
      </c>
      <c r="BC54" s="10">
        <v>1.0209322070843281</v>
      </c>
      <c r="BD54" s="10">
        <v>0.95569625068118713</v>
      </c>
      <c r="BE54" s="10">
        <v>0.65493484419262404</v>
      </c>
      <c r="BF54" s="10">
        <v>0.65516239782012098</v>
      </c>
      <c r="BG54" s="10">
        <v>0.81078974386927793</v>
      </c>
      <c r="BH54" s="10"/>
      <c r="BI54" s="10">
        <v>0.84918856675747845</v>
      </c>
      <c r="BJ54" s="10">
        <v>0.75186016348673523</v>
      </c>
    </row>
    <row r="55" spans="1:62" x14ac:dyDescent="0.3">
      <c r="A55" s="8">
        <v>46153</v>
      </c>
      <c r="B55" s="10">
        <v>1.2105100000000018</v>
      </c>
      <c r="C55" s="8"/>
      <c r="D55" s="10">
        <v>1.1460000000000159</v>
      </c>
      <c r="E55">
        <v>137.1300000000023</v>
      </c>
      <c r="G55" s="10">
        <v>1.2444999999999686</v>
      </c>
      <c r="H55">
        <v>117.2799999999897</v>
      </c>
      <c r="I55" s="10">
        <v>1.19399999999994</v>
      </c>
      <c r="K55" s="10">
        <v>1.1349999999999283</v>
      </c>
      <c r="N55">
        <v>111.80000000000103</v>
      </c>
      <c r="Q55" s="10">
        <v>1.1534999999999949</v>
      </c>
      <c r="R55" s="10">
        <v>2.803499999999977</v>
      </c>
      <c r="T55" s="10">
        <v>2.1004999999999465</v>
      </c>
      <c r="U55" s="10">
        <v>1.1645000000000526E-2</v>
      </c>
      <c r="V55" s="10">
        <v>1.1349999999999283</v>
      </c>
      <c r="W55" s="10">
        <v>3.7349999999999939E-2</v>
      </c>
      <c r="X55" s="10">
        <v>0.99249999999963645</v>
      </c>
      <c r="Z55" s="10">
        <v>2.5604999999998448</v>
      </c>
      <c r="AB55" s="10">
        <v>3.1980000000001705</v>
      </c>
      <c r="AC55" s="10">
        <v>0.86100000000001431</v>
      </c>
      <c r="AE55" s="10">
        <v>0.82250000000001322</v>
      </c>
      <c r="AH55" s="10">
        <v>0.78468897379916958</v>
      </c>
      <c r="AI55" s="10">
        <v>0.61747790393010904</v>
      </c>
      <c r="AJ55" s="10">
        <v>0.61910000000001442</v>
      </c>
      <c r="AK55" s="10">
        <v>0.7610334061133649</v>
      </c>
      <c r="AL55" s="10">
        <v>0.71493884279317799</v>
      </c>
      <c r="AM55" s="10">
        <v>0.92324301310052137</v>
      </c>
      <c r="AN55" s="10">
        <v>0.98339574235799954</v>
      </c>
      <c r="AO55" s="10">
        <v>0.9204043449780831</v>
      </c>
      <c r="AP55" s="10"/>
      <c r="AQ55" s="10">
        <v>0.63266528248275944</v>
      </c>
      <c r="AR55" s="10">
        <v>0.62991397379914316</v>
      </c>
      <c r="AS55" s="10">
        <v>0.7848917358076859</v>
      </c>
      <c r="AT55" s="10">
        <v>0.81855022925761711</v>
      </c>
      <c r="AU55" s="10">
        <v>0.72723973799049713</v>
      </c>
      <c r="AW55" s="10">
        <v>0.81472794759829792</v>
      </c>
      <c r="AX55" s="10">
        <v>0.64111580786023936</v>
      </c>
      <c r="AY55" s="10">
        <v>0.64280000000001503</v>
      </c>
      <c r="AZ55" s="10">
        <v>0.79016681222689555</v>
      </c>
      <c r="BA55" s="10">
        <v>0.7423076855878773</v>
      </c>
      <c r="BB55" s="10">
        <v>0.95858602620096145</v>
      </c>
      <c r="BC55" s="10">
        <v>1.0210414847160754</v>
      </c>
      <c r="BD55" s="10">
        <v>0.95563868995624601</v>
      </c>
      <c r="BE55" s="10">
        <v>0.65688066877933826</v>
      </c>
      <c r="BF55" s="10">
        <v>0.65402794759827043</v>
      </c>
      <c r="BG55" s="10">
        <v>0.81493847161553956</v>
      </c>
      <c r="BH55" s="10"/>
      <c r="BI55" s="10">
        <v>0.84988545851525832</v>
      </c>
      <c r="BJ55" s="10">
        <v>0.7550794759817343</v>
      </c>
    </row>
    <row r="56" spans="1:62" x14ac:dyDescent="0.3">
      <c r="A56" s="8">
        <v>46154</v>
      </c>
      <c r="B56" s="10">
        <v>1.2119899999999943</v>
      </c>
      <c r="C56" s="8"/>
      <c r="D56" s="10">
        <v>1.143049999999999</v>
      </c>
      <c r="E56">
        <v>137.11000000000124</v>
      </c>
      <c r="G56" s="10">
        <v>1.244400000000033</v>
      </c>
      <c r="H56">
        <v>117.19999999999644</v>
      </c>
      <c r="I56" s="10">
        <v>1.1960000000000077</v>
      </c>
      <c r="K56" s="10">
        <v>1.1449999999956426</v>
      </c>
      <c r="N56">
        <v>112.20000000000037</v>
      </c>
      <c r="Q56" s="10">
        <v>1.1540000000000215</v>
      </c>
      <c r="R56" s="10">
        <v>2.8024999999999651</v>
      </c>
      <c r="T56" s="10">
        <v>2.0959999999999912</v>
      </c>
      <c r="U56" s="10">
        <v>1.1645000000000121E-2</v>
      </c>
      <c r="V56" s="10">
        <v>1.1449999999956426</v>
      </c>
      <c r="W56" s="10">
        <v>3.7299999999998057E-2</v>
      </c>
      <c r="X56" s="10">
        <v>0.98499999999896559</v>
      </c>
      <c r="Z56" s="10">
        <v>2.5529999999998187</v>
      </c>
      <c r="AB56" s="10">
        <v>3.2000000000002284</v>
      </c>
      <c r="AC56" s="10">
        <v>0.86499999999996846</v>
      </c>
      <c r="AE56" s="10">
        <v>0.82250000000003676</v>
      </c>
      <c r="AH56" s="10">
        <v>0.78271555996026432</v>
      </c>
      <c r="AI56" s="10">
        <v>0.61964981830200916</v>
      </c>
      <c r="AJ56" s="10">
        <v>0.61699999999994981</v>
      </c>
      <c r="AK56" s="10">
        <v>0.75832364277048669</v>
      </c>
      <c r="AL56" s="10">
        <v>0.7106948573925399</v>
      </c>
      <c r="AM56" s="10">
        <v>0.92519425173434133</v>
      </c>
      <c r="AN56" s="10">
        <v>0.98281081378694524</v>
      </c>
      <c r="AO56" s="10">
        <v>0.92098172007481582</v>
      </c>
      <c r="AP56" s="10"/>
      <c r="AQ56" s="10">
        <v>0.62997425110133076</v>
      </c>
      <c r="AR56" s="10">
        <v>0.63052086774587834</v>
      </c>
      <c r="AS56" s="10">
        <v>0.78006574165858278</v>
      </c>
      <c r="AT56" s="10">
        <v>0.81634786917748203</v>
      </c>
      <c r="AU56" s="10">
        <v>0.71884814447630385</v>
      </c>
      <c r="AW56" s="10">
        <v>0.81189296332993377</v>
      </c>
      <c r="AX56" s="10">
        <v>0.64274859596966916</v>
      </c>
      <c r="AY56" s="10">
        <v>0.63999999999994794</v>
      </c>
      <c r="AZ56" s="10">
        <v>0.78659178504556149</v>
      </c>
      <c r="BA56" s="10">
        <v>0.73718753441041418</v>
      </c>
      <c r="BB56" s="10">
        <v>0.95968285431114808</v>
      </c>
      <c r="BC56" s="10">
        <v>1.0194471974451296</v>
      </c>
      <c r="BD56" s="10">
        <v>0.95531329148765343</v>
      </c>
      <c r="BE56" s="10">
        <v>0.65503818281939286</v>
      </c>
      <c r="BF56" s="10">
        <v>0.65402488712700513</v>
      </c>
      <c r="BG56" s="10">
        <v>0.80914436736060469</v>
      </c>
      <c r="BH56" s="10"/>
      <c r="BI56" s="10">
        <v>0.8467789890981986</v>
      </c>
      <c r="BJ56" s="10">
        <v>0.74564475277931042</v>
      </c>
    </row>
    <row r="57" spans="1:62" x14ac:dyDescent="0.3">
      <c r="A57" s="8">
        <v>46155</v>
      </c>
      <c r="B57" s="10">
        <v>1.2150000000000061</v>
      </c>
      <c r="C57" s="8"/>
      <c r="D57" s="10">
        <v>1.1475000000000135</v>
      </c>
      <c r="E57">
        <v>137.4979999999918</v>
      </c>
      <c r="G57" s="10">
        <v>1.2449999999999917</v>
      </c>
      <c r="H57">
        <v>117.49999999999643</v>
      </c>
      <c r="I57" s="10">
        <v>1.1940000000000046</v>
      </c>
      <c r="K57" s="10">
        <v>1.1395000000000084</v>
      </c>
      <c r="N57">
        <v>112.15000000000126</v>
      </c>
      <c r="Q57" s="10">
        <v>1.1549999999999958</v>
      </c>
      <c r="R57" s="10">
        <v>2.8029999999999546</v>
      </c>
      <c r="T57" s="10">
        <v>2.0914999999998587</v>
      </c>
      <c r="U57" s="10">
        <v>1.1644999999999777E-2</v>
      </c>
      <c r="V57" s="10">
        <v>1.1395000000000084</v>
      </c>
      <c r="W57" s="10">
        <v>3.7284999999997119E-2</v>
      </c>
      <c r="X57" s="10">
        <v>0.98299999999835064</v>
      </c>
      <c r="Z57" s="10">
        <v>2.5479999999997798</v>
      </c>
      <c r="AB57" s="10">
        <v>3.2164999999999164</v>
      </c>
      <c r="AC57" s="10">
        <v>0.86799999999991462</v>
      </c>
      <c r="AE57" s="10">
        <v>0.82799999999998863</v>
      </c>
      <c r="AH57" s="10">
        <v>0.7737047828476844</v>
      </c>
      <c r="AI57" s="10">
        <v>0.61855909840564538</v>
      </c>
      <c r="AJ57" s="10">
        <v>0.61350000000007654</v>
      </c>
      <c r="AK57" s="10">
        <v>0.75117493128086776</v>
      </c>
      <c r="AL57" s="10">
        <v>0.70254013193727827</v>
      </c>
      <c r="AM57" s="10">
        <v>0.91704590434315092</v>
      </c>
      <c r="AN57" s="10">
        <v>0.97971126992840241</v>
      </c>
      <c r="AO57" s="10">
        <v>0.91522462891708134</v>
      </c>
      <c r="AP57" s="10"/>
      <c r="AQ57" s="10">
        <v>0.62658620120943187</v>
      </c>
      <c r="AR57" s="10">
        <v>0.62530456294666237</v>
      </c>
      <c r="AS57" s="10">
        <v>0.77451423859281965</v>
      </c>
      <c r="AT57" s="10">
        <v>0.80986047278726248</v>
      </c>
      <c r="AU57" s="10">
        <v>0.71562633314876578</v>
      </c>
      <c r="AW57" s="10">
        <v>0.80447641561293859</v>
      </c>
      <c r="AX57" s="10">
        <v>0.64316030786138745</v>
      </c>
      <c r="AY57" s="10">
        <v>0.63790000000007951</v>
      </c>
      <c r="AZ57" s="10">
        <v>0.78105051126987046</v>
      </c>
      <c r="BA57" s="10">
        <v>0.73048141835825564</v>
      </c>
      <c r="BB57" s="10">
        <v>0.95351847168784998</v>
      </c>
      <c r="BC57" s="10">
        <v>1.0186761517315859</v>
      </c>
      <c r="BD57" s="10">
        <v>0.95162476085771164</v>
      </c>
      <c r="BE57" s="10">
        <v>0.65150666300162441</v>
      </c>
      <c r="BF57" s="10">
        <v>0.65017405167673337</v>
      </c>
      <c r="BG57" s="10">
        <v>0.80531806487100188</v>
      </c>
      <c r="BH57" s="10"/>
      <c r="BI57" s="10">
        <v>0.84207008246290915</v>
      </c>
      <c r="BJ57" s="10">
        <v>0.74408808136201743</v>
      </c>
    </row>
    <row r="58" spans="1:62" x14ac:dyDescent="0.3">
      <c r="A58" s="8">
        <v>46156</v>
      </c>
      <c r="B58" s="10">
        <v>1.2180000000000109</v>
      </c>
      <c r="C58" s="8"/>
      <c r="D58" s="10">
        <v>1.1519999999999697</v>
      </c>
      <c r="E58">
        <v>138.00000000000119</v>
      </c>
      <c r="G58" s="10">
        <v>1.2516100000000099</v>
      </c>
      <c r="H58">
        <v>118.48000000000083</v>
      </c>
      <c r="I58" s="10">
        <v>1.209999999999964</v>
      </c>
      <c r="K58" s="10">
        <v>1.135999999999932</v>
      </c>
      <c r="N58">
        <v>112.60000000000352</v>
      </c>
      <c r="Q58" s="10">
        <v>1.1555000000000009</v>
      </c>
      <c r="R58" s="10">
        <v>2.8039999999999732</v>
      </c>
      <c r="T58" s="10">
        <v>2.0959999999923111</v>
      </c>
      <c r="U58" s="10">
        <v>1.1599999999999886E-2</v>
      </c>
      <c r="V58" s="10">
        <v>1.135999999999932</v>
      </c>
      <c r="W58" s="10">
        <v>3.7360000000002211E-2</v>
      </c>
      <c r="X58" s="10">
        <v>0.99299999999962563</v>
      </c>
      <c r="Z58" s="10">
        <v>2.5714999999999502</v>
      </c>
      <c r="AB58" s="10">
        <v>3.2560000000002662</v>
      </c>
      <c r="AC58" s="10">
        <v>0.88199999999996603</v>
      </c>
      <c r="AE58" s="10">
        <v>0.83999999999991859</v>
      </c>
      <c r="AH58" s="10">
        <v>0.77446531153340703</v>
      </c>
      <c r="AI58" s="10">
        <v>0.6139606716747763</v>
      </c>
      <c r="AJ58" s="10">
        <v>0.61200000000006571</v>
      </c>
      <c r="AK58" s="10">
        <v>0.74978789217865138</v>
      </c>
      <c r="AL58" s="10">
        <v>0.70131197525059941</v>
      </c>
      <c r="AM58" s="10">
        <v>0.91914935925752095</v>
      </c>
      <c r="AN58" s="10">
        <v>0.97621166592979802</v>
      </c>
      <c r="AO58" s="10">
        <v>0.91543084401235031</v>
      </c>
      <c r="AP58" s="10"/>
      <c r="AQ58" s="10">
        <v>0.62318392581141846</v>
      </c>
      <c r="AR58" s="10">
        <v>0.62403446752104874</v>
      </c>
      <c r="AS58" s="10">
        <v>0.77074679628825227</v>
      </c>
      <c r="AT58" s="10">
        <v>0.80894608926207245</v>
      </c>
      <c r="AU58" s="10">
        <v>0.71395492708625397</v>
      </c>
      <c r="AW58" s="10">
        <v>0.80736743261162369</v>
      </c>
      <c r="AX58" s="10">
        <v>0.64004396818383558</v>
      </c>
      <c r="AY58" s="10">
        <v>0.63800000000006851</v>
      </c>
      <c r="AZ58" s="10">
        <v>0.78164162616009747</v>
      </c>
      <c r="BA58" s="10">
        <v>0.73110627485274915</v>
      </c>
      <c r="BB58" s="10">
        <v>0.95819818824558556</v>
      </c>
      <c r="BC58" s="10">
        <v>1.0176847105608029</v>
      </c>
      <c r="BD58" s="10">
        <v>0.9543216968625482</v>
      </c>
      <c r="BE58" s="10">
        <v>0.64841651578712967</v>
      </c>
      <c r="BF58" s="10">
        <v>0.65054573574906727</v>
      </c>
      <c r="BG58" s="10">
        <v>0.80349094122860298</v>
      </c>
      <c r="BH58" s="10"/>
      <c r="BI58" s="10">
        <v>0.84331307998235661</v>
      </c>
      <c r="BJ58" s="10">
        <v>0.74428634555723872</v>
      </c>
    </row>
    <row r="59" spans="1:62" x14ac:dyDescent="0.3">
      <c r="A59" s="8">
        <v>46157</v>
      </c>
      <c r="B59" s="10">
        <v>1.2237899999999835</v>
      </c>
      <c r="C59" s="8"/>
      <c r="D59" s="10">
        <v>1.1564899999999947</v>
      </c>
      <c r="E59">
        <v>138.10000000000443</v>
      </c>
      <c r="G59" s="10">
        <v>1.2545000000000366</v>
      </c>
      <c r="H59">
        <v>118.64999999999289</v>
      </c>
      <c r="I59" s="10">
        <v>1.2139999999999558</v>
      </c>
      <c r="K59" s="10">
        <v>1.1350000000000104</v>
      </c>
      <c r="N59">
        <v>112.6499999999979</v>
      </c>
      <c r="Q59" s="10">
        <v>1.1584999999999721</v>
      </c>
      <c r="R59" s="10">
        <v>2.8119999999999736</v>
      </c>
      <c r="T59" s="10">
        <v>2.1000000000000245</v>
      </c>
      <c r="U59" s="10">
        <v>1.1609999999994895E-2</v>
      </c>
      <c r="V59" s="10">
        <v>1.1350000000000104</v>
      </c>
      <c r="W59" s="10">
        <v>3.7454999999997067E-2</v>
      </c>
      <c r="X59" s="10">
        <v>0.99599999999946687</v>
      </c>
      <c r="Z59" s="10">
        <v>2.5724999999999358</v>
      </c>
      <c r="AB59" s="10">
        <v>3.2720000000004319</v>
      </c>
      <c r="AC59" s="10">
        <v>0.88379999999982251</v>
      </c>
      <c r="AE59" s="10">
        <v>0.85249999999989068</v>
      </c>
      <c r="AH59" s="10">
        <v>0.76852244582047635</v>
      </c>
      <c r="AI59" s="10">
        <v>0.61061609907115499</v>
      </c>
      <c r="AJ59" s="10">
        <v>0.6090000000000001</v>
      </c>
      <c r="AK59" s="10">
        <v>0.74246284829718834</v>
      </c>
      <c r="AL59" s="10">
        <v>0.6944512383846474</v>
      </c>
      <c r="AM59" s="10">
        <v>0.91848297213621122</v>
      </c>
      <c r="AN59" s="10">
        <v>0.97814396284809224</v>
      </c>
      <c r="AO59" s="10">
        <v>0.91646284829722358</v>
      </c>
      <c r="AP59" s="10"/>
      <c r="AQ59" s="10">
        <v>0.62252735108849599</v>
      </c>
      <c r="AR59" s="10">
        <v>0.62145743034056133</v>
      </c>
      <c r="AS59" s="10">
        <v>0.76434752322003152</v>
      </c>
      <c r="AT59" s="10">
        <v>0.80198916408666321</v>
      </c>
      <c r="AU59" s="10">
        <v>0.70583126934681728</v>
      </c>
      <c r="AW59" s="10">
        <v>0.80007098628929729</v>
      </c>
      <c r="AX59" s="10">
        <v>0.63568244139755714</v>
      </c>
      <c r="AY59" s="10">
        <v>0.63400000000000012</v>
      </c>
      <c r="AZ59" s="10">
        <v>0.77294161875273804</v>
      </c>
      <c r="BA59" s="10">
        <v>0.72295908889304838</v>
      </c>
      <c r="BB59" s="10">
        <v>0.95618752764262394</v>
      </c>
      <c r="BC59" s="10">
        <v>1.0182976559042536</v>
      </c>
      <c r="BD59" s="10">
        <v>0.95408447589563183</v>
      </c>
      <c r="BE59" s="10">
        <v>0.64767377610783416</v>
      </c>
      <c r="BF59" s="10">
        <v>0.64696881910659432</v>
      </c>
      <c r="BG59" s="10">
        <v>0.79572467934564872</v>
      </c>
      <c r="BH59" s="10"/>
      <c r="BI59" s="10">
        <v>0.83491154356476938</v>
      </c>
      <c r="BJ59" s="10">
        <v>0.73480628040374751</v>
      </c>
    </row>
    <row r="60" spans="1:62" x14ac:dyDescent="0.3">
      <c r="A60" s="8">
        <v>46160</v>
      </c>
      <c r="B60" s="10">
        <v>1.2235100000000017</v>
      </c>
      <c r="C60" s="8"/>
      <c r="D60" s="10">
        <v>1.1559800000000222</v>
      </c>
      <c r="E60">
        <v>138.4000000000035</v>
      </c>
      <c r="G60" s="10">
        <v>1.2525000000000128</v>
      </c>
      <c r="H60">
        <v>118.4499999999957</v>
      </c>
      <c r="I60" s="10">
        <v>1.2149999999999803</v>
      </c>
      <c r="K60" s="10">
        <v>1.1325000000000338</v>
      </c>
      <c r="N60">
        <v>112.84999999999911</v>
      </c>
      <c r="Q60" s="10">
        <v>1.1604000000000068</v>
      </c>
      <c r="R60" s="10">
        <v>2.8170000000000486</v>
      </c>
      <c r="T60" s="10">
        <v>2.0984999999935963</v>
      </c>
      <c r="U60" s="10">
        <v>1.1600000000000166E-2</v>
      </c>
      <c r="V60" s="10">
        <v>1.1325000000000338</v>
      </c>
      <c r="W60" s="10">
        <v>3.7479999999999652E-2</v>
      </c>
      <c r="X60" s="10">
        <v>0.99599999999930688</v>
      </c>
      <c r="Z60" s="10">
        <v>2.5759999999999836</v>
      </c>
      <c r="AB60" s="10">
        <v>3.2779999999998988</v>
      </c>
      <c r="AC60" s="10">
        <v>0.88549999999997342</v>
      </c>
      <c r="AE60" s="10">
        <v>0.84900000000004183</v>
      </c>
      <c r="AH60" s="10">
        <v>0.76861752679852213</v>
      </c>
      <c r="AI60" s="10">
        <v>0.61107857221791173</v>
      </c>
      <c r="AJ60" s="10">
        <v>0.61000000000000754</v>
      </c>
      <c r="AK60" s="10">
        <v>0.74488893800441147</v>
      </c>
      <c r="AL60" s="10">
        <v>0.6916344347376383</v>
      </c>
      <c r="AM60" s="10">
        <v>0.93013371643260201</v>
      </c>
      <c r="AN60" s="10">
        <v>0.97947839540266701</v>
      </c>
      <c r="AO60" s="10">
        <v>0.91746049287217235</v>
      </c>
      <c r="AP60" s="10"/>
      <c r="AQ60" s="10">
        <v>0.62395005524864655</v>
      </c>
      <c r="AR60" s="10">
        <v>0.62199911592448243</v>
      </c>
      <c r="AS60" s="10">
        <v>0.7644380594542356</v>
      </c>
      <c r="AT60" s="10">
        <v>0.80117692562703424</v>
      </c>
      <c r="AU60" s="10">
        <v>0.70781301801045171</v>
      </c>
      <c r="AW60" s="10">
        <v>0.79822820201125211</v>
      </c>
      <c r="AX60" s="10">
        <v>0.63462012377056909</v>
      </c>
      <c r="AY60" s="10">
        <v>0.63350000000000795</v>
      </c>
      <c r="AZ60" s="10">
        <v>0.7735854790586798</v>
      </c>
      <c r="BA60" s="10">
        <v>0.71827936787917035</v>
      </c>
      <c r="BB60" s="10">
        <v>0.96596673665582533</v>
      </c>
      <c r="BC60" s="10">
        <v>1.0172123991599833</v>
      </c>
      <c r="BD60" s="10">
        <v>0.95280528235167405</v>
      </c>
      <c r="BE60" s="10">
        <v>0.64820000000002898</v>
      </c>
      <c r="BF60" s="10">
        <v>0.64596137694780265</v>
      </c>
      <c r="BG60" s="10">
        <v>0.79388772240042338</v>
      </c>
      <c r="BH60" s="10"/>
      <c r="BI60" s="10">
        <v>0.83204193833561679</v>
      </c>
      <c r="BJ60" s="10">
        <v>0.73508122444200197</v>
      </c>
    </row>
    <row r="61" spans="1:62" x14ac:dyDescent="0.3">
      <c r="A61" s="8">
        <v>46161</v>
      </c>
      <c r="B61" s="10">
        <v>1.2226000000000317</v>
      </c>
      <c r="C61" s="8"/>
      <c r="D61" s="10">
        <v>1.1531000000000042</v>
      </c>
      <c r="E61">
        <v>138.41199999999841</v>
      </c>
      <c r="G61" s="10">
        <v>1.2519999999999556</v>
      </c>
      <c r="H61">
        <v>118.54999999999771</v>
      </c>
      <c r="I61" s="10">
        <v>1.2174899999999971</v>
      </c>
      <c r="K61" s="10">
        <v>1.1349999999999771</v>
      </c>
      <c r="N61">
        <v>112.95000000000435</v>
      </c>
      <c r="Q61" s="10">
        <v>1.164499999999993</v>
      </c>
      <c r="R61" s="10">
        <v>2.8274999999999562</v>
      </c>
      <c r="T61" s="10">
        <v>2.1009999999926139</v>
      </c>
      <c r="U61" s="10">
        <v>1.1619999999999263E-2</v>
      </c>
      <c r="V61" s="10">
        <v>1.1349999999999771</v>
      </c>
      <c r="W61" s="10">
        <v>3.7389999999999354E-2</v>
      </c>
      <c r="X61" s="10">
        <v>0.99539999999916662</v>
      </c>
      <c r="Z61" s="10">
        <v>2.5769999999999298</v>
      </c>
      <c r="AB61" s="10">
        <v>3.2770000000004291</v>
      </c>
      <c r="AC61" s="10">
        <v>0.88600000000002677</v>
      </c>
      <c r="AE61" s="10">
        <v>0.84989999999991728</v>
      </c>
      <c r="AH61" s="10">
        <v>0.76496070562270535</v>
      </c>
      <c r="AI61" s="10">
        <v>0.60860123484012008</v>
      </c>
      <c r="AJ61" s="10">
        <v>0.60839999999998173</v>
      </c>
      <c r="AK61" s="10">
        <v>0.73973927232640502</v>
      </c>
      <c r="AL61" s="10">
        <v>0.68668035280270634</v>
      </c>
      <c r="AM61" s="10">
        <v>0.91696008820283181</v>
      </c>
      <c r="AN61" s="10">
        <v>0.977263461962249</v>
      </c>
      <c r="AO61" s="10">
        <v>0.91561852260188747</v>
      </c>
      <c r="AP61" s="10"/>
      <c r="AQ61" s="10">
        <v>0.62246524666153469</v>
      </c>
      <c r="AR61" s="10">
        <v>0.62007162072771094</v>
      </c>
      <c r="AS61" s="10">
        <v>0.75831995589869239</v>
      </c>
      <c r="AT61" s="10">
        <v>0.79554840132310611</v>
      </c>
      <c r="AU61" s="10">
        <v>0.70069971333658754</v>
      </c>
      <c r="AW61" s="10">
        <v>0.79526240352787814</v>
      </c>
      <c r="AX61" s="10">
        <v>0.6327092061741878</v>
      </c>
      <c r="AY61" s="10">
        <v>0.63249999999998086</v>
      </c>
      <c r="AZ61" s="10">
        <v>0.76904189636168818</v>
      </c>
      <c r="BA61" s="10">
        <v>0.71388120175495007</v>
      </c>
      <c r="BB61" s="10">
        <v>0.95328280044097791</v>
      </c>
      <c r="BC61" s="10">
        <v>1.0159749173095372</v>
      </c>
      <c r="BD61" s="10">
        <v>0.95188809261290874</v>
      </c>
      <c r="BE61" s="10">
        <v>0.64763809734026845</v>
      </c>
      <c r="BF61" s="10">
        <v>0.64463395810367696</v>
      </c>
      <c r="BG61" s="10">
        <v>0.7883585997796233</v>
      </c>
      <c r="BH61" s="10"/>
      <c r="BI61" s="10">
        <v>0.8270617420066807</v>
      </c>
      <c r="BJ61" s="10">
        <v>0.72845589856244497</v>
      </c>
    </row>
    <row r="62" spans="1:62" x14ac:dyDescent="0.3">
      <c r="A62" s="8">
        <v>46162</v>
      </c>
      <c r="B62" s="10">
        <v>1.223499999999994</v>
      </c>
      <c r="C62" s="8"/>
      <c r="D62" s="10">
        <v>1.1544999999999981</v>
      </c>
      <c r="E62">
        <v>138.47000000000398</v>
      </c>
      <c r="G62" s="10">
        <v>1.2520000000000089</v>
      </c>
      <c r="H62">
        <v>118.49999999999639</v>
      </c>
      <c r="I62" s="10">
        <v>1.2200000000000226</v>
      </c>
      <c r="K62" s="10">
        <v>1.1349999999999849</v>
      </c>
      <c r="N62">
        <v>113.44999999999901</v>
      </c>
      <c r="Q62" s="10">
        <v>1.1655000000000131</v>
      </c>
      <c r="R62" s="10">
        <v>2.8315000000000108</v>
      </c>
      <c r="T62" s="10">
        <v>2.0999999999961427</v>
      </c>
      <c r="U62" s="10">
        <v>1.1630000000000579E-2</v>
      </c>
      <c r="V62" s="10">
        <v>1.1349999999999849</v>
      </c>
      <c r="W62" s="10">
        <v>3.7240000000002202E-2</v>
      </c>
      <c r="X62" s="10">
        <v>0.9959999999990703</v>
      </c>
      <c r="Z62" s="10">
        <v>2.5815000000000299</v>
      </c>
      <c r="AB62" s="10">
        <v>3.2819999999999978</v>
      </c>
      <c r="AC62" s="10">
        <v>0.8864999999998866</v>
      </c>
      <c r="AE62" s="10">
        <v>0.85099999999995457</v>
      </c>
      <c r="AH62" s="10">
        <v>0.77417320175421356</v>
      </c>
      <c r="AI62" s="10">
        <v>0.61242774122809807</v>
      </c>
      <c r="AJ62" s="10">
        <v>0.61309999999995046</v>
      </c>
      <c r="AK62" s="10">
        <v>0.74842569078957355</v>
      </c>
      <c r="AL62" s="10">
        <v>0.69787183113539242</v>
      </c>
      <c r="AM62" s="10">
        <v>0.9236835526318381</v>
      </c>
      <c r="AN62" s="10">
        <v>0.97907767543846291</v>
      </c>
      <c r="AO62" s="10">
        <v>0.91689373903510718</v>
      </c>
      <c r="AP62" s="10"/>
      <c r="AQ62" s="10">
        <v>0.6294554276315939</v>
      </c>
      <c r="AR62" s="10">
        <v>0.62392336622803302</v>
      </c>
      <c r="AS62" s="10">
        <v>0.76845900219302832</v>
      </c>
      <c r="AT62" s="10">
        <v>0.80828947368405257</v>
      </c>
      <c r="AU62" s="10">
        <v>0.71393881578733154</v>
      </c>
      <c r="AW62" s="10">
        <v>0.80435219298227711</v>
      </c>
      <c r="AX62" s="10">
        <v>0.63630153508774834</v>
      </c>
      <c r="AY62" s="10">
        <v>0.63699999999994861</v>
      </c>
      <c r="AZ62" s="10">
        <v>0.77760098684220902</v>
      </c>
      <c r="BA62" s="10">
        <v>0.72507642543344486</v>
      </c>
      <c r="BB62" s="10">
        <v>0.95969078947395359</v>
      </c>
      <c r="BC62" s="10">
        <v>1.0172442982454755</v>
      </c>
      <c r="BD62" s="10">
        <v>0.95263629385966953</v>
      </c>
      <c r="BE62" s="10">
        <v>0.65322779605264714</v>
      </c>
      <c r="BF62" s="10">
        <v>0.64824528508768087</v>
      </c>
      <c r="BG62" s="10">
        <v>0.79841524122811791</v>
      </c>
      <c r="BH62" s="10"/>
      <c r="BI62" s="10">
        <v>0.8388157894735202</v>
      </c>
      <c r="BJ62" s="10">
        <v>0.74176973683987979</v>
      </c>
    </row>
    <row r="63" spans="1:62" x14ac:dyDescent="0.3">
      <c r="A63" s="8">
        <v>46163</v>
      </c>
      <c r="B63" s="10">
        <v>1.2250000000000041</v>
      </c>
      <c r="C63" s="8"/>
      <c r="D63" s="10">
        <v>1.1572000000000076</v>
      </c>
      <c r="E63">
        <v>138.61800000000457</v>
      </c>
      <c r="G63" s="10">
        <v>1.252900000000003</v>
      </c>
      <c r="H63">
        <v>118.14999999999787</v>
      </c>
      <c r="I63" s="10">
        <v>1.2225000000000454</v>
      </c>
      <c r="K63" s="10">
        <v>1.1349999999999929</v>
      </c>
      <c r="N63">
        <v>113.99999999999595</v>
      </c>
      <c r="Q63" s="10">
        <v>1.1669999999999983</v>
      </c>
      <c r="R63" s="10">
        <v>2.8349999999999573</v>
      </c>
      <c r="T63" s="10">
        <v>2.099999999999874</v>
      </c>
      <c r="U63" s="10">
        <v>1.154999999999996E-2</v>
      </c>
      <c r="V63" s="10">
        <v>1.1349999999999929</v>
      </c>
      <c r="W63" s="10">
        <v>3.7234999999998485E-2</v>
      </c>
      <c r="X63" s="10">
        <v>0.99899999999934597</v>
      </c>
      <c r="Z63" s="10">
        <v>2.5909999999998119</v>
      </c>
      <c r="AB63" s="10">
        <v>3.2770000000003505</v>
      </c>
      <c r="AC63" s="10">
        <v>0.8874999999999027</v>
      </c>
      <c r="AE63" s="10">
        <v>0.84899999999995956</v>
      </c>
      <c r="AH63" s="10">
        <v>0.77584032967023631</v>
      </c>
      <c r="AI63" s="10">
        <v>0.61796717205007157</v>
      </c>
      <c r="AJ63" s="10">
        <v>0.61580000000001545</v>
      </c>
      <c r="AK63" s="10">
        <v>0.74978725274708713</v>
      </c>
      <c r="AL63" s="10">
        <v>0.70065859340205061</v>
      </c>
      <c r="AM63" s="10">
        <v>0.92708351648354548</v>
      </c>
      <c r="AN63" s="10">
        <v>0.98040773626363631</v>
      </c>
      <c r="AO63" s="10">
        <v>0.91930142857144848</v>
      </c>
      <c r="AP63" s="10"/>
      <c r="AQ63" s="10">
        <v>0.62865736263732652</v>
      </c>
      <c r="AR63" s="10">
        <v>0.62628890109894575</v>
      </c>
      <c r="AS63" s="10">
        <v>0.77279516483545363</v>
      </c>
      <c r="AT63" s="10">
        <v>0.80933714285710934</v>
      </c>
      <c r="AU63" s="10">
        <v>0.7142096242564604</v>
      </c>
      <c r="AW63" s="10">
        <v>0.80393587912078257</v>
      </c>
      <c r="AX63" s="10">
        <v>0.64175830586681415</v>
      </c>
      <c r="AY63" s="10">
        <v>0.6381000000000161</v>
      </c>
      <c r="AZ63" s="10">
        <v>0.77693934065916903</v>
      </c>
      <c r="BA63" s="10">
        <v>0.72603158241287535</v>
      </c>
      <c r="BB63" s="10">
        <v>0.96065604395607418</v>
      </c>
      <c r="BC63" s="10">
        <v>1.0159112967031934</v>
      </c>
      <c r="BD63" s="10">
        <v>0.95259214285716354</v>
      </c>
      <c r="BE63" s="10">
        <v>0.65142296703292968</v>
      </c>
      <c r="BF63" s="10">
        <v>0.64896873626378271</v>
      </c>
      <c r="BG63" s="10">
        <v>0.80078043956073897</v>
      </c>
      <c r="BH63" s="10"/>
      <c r="BI63" s="10">
        <v>0.83864571428567969</v>
      </c>
      <c r="BJ63" s="10">
        <v>0.74170599867958908</v>
      </c>
    </row>
    <row r="64" spans="1:62" x14ac:dyDescent="0.3">
      <c r="A64" s="8">
        <v>46164</v>
      </c>
      <c r="B64" s="10">
        <v>1.2279700000000124</v>
      </c>
      <c r="C64" s="8"/>
      <c r="D64" s="10">
        <v>1.1585000000000016</v>
      </c>
      <c r="E64">
        <v>138.94999999999541</v>
      </c>
      <c r="G64" s="10">
        <v>1.2575000000000129</v>
      </c>
      <c r="H64">
        <v>118.7989999999967</v>
      </c>
      <c r="I64" s="10">
        <v>1.2184999999999764</v>
      </c>
      <c r="K64" s="10">
        <v>1.1360000000000046</v>
      </c>
      <c r="N64">
        <v>114.35000000000058</v>
      </c>
      <c r="Q64" s="10">
        <v>1.1699999999999939</v>
      </c>
      <c r="R64" s="10">
        <v>2.8419999999999765</v>
      </c>
      <c r="T64" s="10">
        <v>2.1019999999999985</v>
      </c>
      <c r="U64" s="10">
        <v>1.1604999999999952E-2</v>
      </c>
      <c r="V64" s="10">
        <v>1.1360000000000046</v>
      </c>
      <c r="W64" s="10">
        <v>3.7205000000000529E-2</v>
      </c>
      <c r="X64" s="10">
        <v>1.0004999999991064</v>
      </c>
      <c r="Z64" s="10">
        <v>2.5915000000000856</v>
      </c>
      <c r="AB64" s="10">
        <v>3.2800000000001925</v>
      </c>
      <c r="AC64" s="10">
        <v>0.88750000000007423</v>
      </c>
      <c r="AE64" s="10">
        <v>0.86000000000006338</v>
      </c>
      <c r="AH64" s="10">
        <v>0.77574872131143491</v>
      </c>
      <c r="AI64" s="10">
        <v>0.61731737704919365</v>
      </c>
      <c r="AJ64" s="10">
        <v>0.61529999999997687</v>
      </c>
      <c r="AK64" s="10">
        <v>0.74730370491790832</v>
      </c>
      <c r="AL64" s="10">
        <v>0.70171098360230744</v>
      </c>
      <c r="AM64" s="10">
        <v>0.92590881967195049</v>
      </c>
      <c r="AN64" s="10">
        <v>0.97876409836047384</v>
      </c>
      <c r="AO64" s="10">
        <v>0.91723409836074243</v>
      </c>
      <c r="AP64" s="10"/>
      <c r="AQ64" s="10">
        <v>0.63190973770490522</v>
      </c>
      <c r="AR64" s="10">
        <v>0.62471442622950846</v>
      </c>
      <c r="AS64" s="10">
        <v>0.77292439344283426</v>
      </c>
      <c r="AT64" s="10">
        <v>0.80890095081986058</v>
      </c>
      <c r="AU64" s="10">
        <v>0.71616885245698791</v>
      </c>
      <c r="AW64" s="10">
        <v>0.80562885245897453</v>
      </c>
      <c r="AX64" s="10">
        <v>0.64109508196722698</v>
      </c>
      <c r="AY64" s="10">
        <v>0.63899999999997614</v>
      </c>
      <c r="AZ64" s="10">
        <v>0.77608819672118234</v>
      </c>
      <c r="BA64" s="10">
        <v>0.72873934425788145</v>
      </c>
      <c r="BB64" s="10">
        <v>0.96157278688505832</v>
      </c>
      <c r="BC64" s="10">
        <v>1.0164639344260407</v>
      </c>
      <c r="BD64" s="10">
        <v>0.95256393442631959</v>
      </c>
      <c r="BE64" s="10">
        <v>0.65624950819670813</v>
      </c>
      <c r="BF64" s="10">
        <v>0.64877704918032819</v>
      </c>
      <c r="BG64" s="10">
        <v>0.80269573770513758</v>
      </c>
      <c r="BH64" s="10"/>
      <c r="BI64" s="10">
        <v>0.84005803278708113</v>
      </c>
      <c r="BJ64" s="10">
        <v>0.74375409835854922</v>
      </c>
    </row>
    <row r="65" spans="1:62" x14ac:dyDescent="0.3">
      <c r="A65" s="8">
        <v>46168</v>
      </c>
      <c r="B65" s="10">
        <v>1.2299999999999798</v>
      </c>
      <c r="C65" s="8"/>
      <c r="D65" s="10">
        <v>1.1595000000000015</v>
      </c>
      <c r="E65">
        <v>139.18599999999876</v>
      </c>
      <c r="G65" s="10">
        <v>1.2599999999999236</v>
      </c>
      <c r="H65">
        <v>118.94999999999614</v>
      </c>
      <c r="I65" s="10">
        <v>1.2199999999999536</v>
      </c>
      <c r="K65" s="10">
        <v>1.1370000000000622</v>
      </c>
      <c r="N65">
        <v>114.50000000000176</v>
      </c>
      <c r="Q65" s="10">
        <v>1.1714999999999955</v>
      </c>
      <c r="R65" s="10">
        <v>2.8445000000000458</v>
      </c>
      <c r="T65" s="10">
        <v>2.0965000000000291</v>
      </c>
      <c r="U65" s="10">
        <v>1.1640000000000211E-2</v>
      </c>
      <c r="V65" s="10">
        <v>1.1370000000000622</v>
      </c>
      <c r="W65" s="10">
        <v>3.7319999999998923E-2</v>
      </c>
      <c r="X65" s="10">
        <v>0.99749999999831407</v>
      </c>
      <c r="Z65" s="10">
        <v>2.5960000000000383</v>
      </c>
      <c r="AB65" s="10">
        <v>3.3024999999996627</v>
      </c>
      <c r="AC65" s="10">
        <v>0.89600000000000346</v>
      </c>
      <c r="AE65" s="10">
        <v>0.86199999999998977</v>
      </c>
      <c r="AH65" s="10">
        <v>0.7814123924641605</v>
      </c>
      <c r="AI65" s="10">
        <v>0.6174703256016093</v>
      </c>
      <c r="AJ65" s="10">
        <v>0.61699999999999933</v>
      </c>
      <c r="AK65" s="10">
        <v>0.75258815201996621</v>
      </c>
      <c r="AL65" s="10">
        <v>0.70474931939059349</v>
      </c>
      <c r="AM65" s="10">
        <v>0.92654143526096489</v>
      </c>
      <c r="AN65" s="10">
        <v>0.98432429489278661</v>
      </c>
      <c r="AO65" s="10">
        <v>0.92049439181080661</v>
      </c>
      <c r="AP65" s="10"/>
      <c r="AQ65" s="10">
        <v>0.62956441250135231</v>
      </c>
      <c r="AR65" s="10">
        <v>0.62801905695310789</v>
      </c>
      <c r="AS65" s="10">
        <v>0.77872481759762602</v>
      </c>
      <c r="AT65" s="10">
        <v>0.81635086573022964</v>
      </c>
      <c r="AU65" s="10">
        <v>0.72127790482252341</v>
      </c>
      <c r="AW65" s="10">
        <v>0.81180768811916804</v>
      </c>
      <c r="AX65" s="10">
        <v>0.64148862027655029</v>
      </c>
      <c r="AY65" s="10">
        <v>0.64099999999999913</v>
      </c>
      <c r="AZ65" s="10">
        <v>0.78186224545348171</v>
      </c>
      <c r="BA65" s="10">
        <v>0.73216258302977366</v>
      </c>
      <c r="BB65" s="10">
        <v>0.96258194489834426</v>
      </c>
      <c r="BC65" s="10">
        <v>1.0226124360231379</v>
      </c>
      <c r="BD65" s="10">
        <v>0.95629968419890898</v>
      </c>
      <c r="BE65" s="10">
        <v>0.65405314167482453</v>
      </c>
      <c r="BF65" s="10">
        <v>0.65244767505176993</v>
      </c>
      <c r="BG65" s="10">
        <v>0.80901557225296306</v>
      </c>
      <c r="BH65" s="10"/>
      <c r="BI65" s="10">
        <v>0.84810519438100007</v>
      </c>
      <c r="BJ65" s="10">
        <v>0.74933409560978503</v>
      </c>
    </row>
    <row r="66" spans="1:62" x14ac:dyDescent="0.3">
      <c r="A66" s="8">
        <v>46169</v>
      </c>
      <c r="B66" s="10">
        <v>1.2265099999999731</v>
      </c>
      <c r="C66" s="8"/>
      <c r="D66" s="10">
        <v>1.1571299999999836</v>
      </c>
      <c r="E66">
        <v>138.88000000000235</v>
      </c>
      <c r="G66" s="10">
        <v>1.2605000000000148</v>
      </c>
      <c r="H66">
        <v>119.19999999999833</v>
      </c>
      <c r="I66" s="10">
        <v>1.2273000000000012</v>
      </c>
      <c r="K66" s="10">
        <v>1.1370000000000469</v>
      </c>
      <c r="N66">
        <v>114.6000000000034</v>
      </c>
      <c r="Q66" s="10">
        <v>1.172499999999995</v>
      </c>
      <c r="R66" s="10">
        <v>2.8450000000000655</v>
      </c>
      <c r="T66" s="10">
        <v>2.1010000000000373</v>
      </c>
      <c r="U66" s="10">
        <v>1.1535000000000286E-2</v>
      </c>
      <c r="V66" s="10">
        <v>1.1370000000000469</v>
      </c>
      <c r="W66" s="10">
        <v>3.7365000000002209E-2</v>
      </c>
      <c r="X66" s="10">
        <v>0.99649999999786243</v>
      </c>
      <c r="Z66" s="10">
        <v>2.6050000000000311</v>
      </c>
      <c r="AB66" s="10">
        <v>3.3145000000003169</v>
      </c>
      <c r="AC66" s="10">
        <v>0.89849999999994101</v>
      </c>
      <c r="AE66" s="10">
        <v>0.86300000000004251</v>
      </c>
      <c r="AH66" s="10">
        <v>0.78282238708276597</v>
      </c>
      <c r="AI66" s="10">
        <v>0.61898210778969054</v>
      </c>
      <c r="AJ66" s="10">
        <v>0.6175000000000388</v>
      </c>
      <c r="AK66" s="10">
        <v>0.75149601789224407</v>
      </c>
      <c r="AL66" s="10">
        <v>0.71397174339732805</v>
      </c>
      <c r="AM66" s="10">
        <v>0.92833842461259608</v>
      </c>
      <c r="AN66" s="10">
        <v>0.98344588697356516</v>
      </c>
      <c r="AO66" s="10">
        <v>0.92294894174126962</v>
      </c>
      <c r="AP66" s="10"/>
      <c r="AQ66" s="10">
        <v>0.6333482201353805</v>
      </c>
      <c r="AR66" s="10">
        <v>0.62861580842240927</v>
      </c>
      <c r="AS66" s="10">
        <v>0.78147501636475258</v>
      </c>
      <c r="AT66" s="10">
        <v>0.81994245036014246</v>
      </c>
      <c r="AU66" s="10">
        <v>0.72421176085406413</v>
      </c>
      <c r="AW66" s="10">
        <v>0.81274078114779125</v>
      </c>
      <c r="AX66" s="10">
        <v>0.64263875190926401</v>
      </c>
      <c r="AY66" s="10">
        <v>0.64110000000004019</v>
      </c>
      <c r="AZ66" s="10">
        <v>0.78021716124812557</v>
      </c>
      <c r="BA66" s="10">
        <v>0.74125876063486129</v>
      </c>
      <c r="BB66" s="10">
        <v>0.96381824132653482</v>
      </c>
      <c r="BC66" s="10">
        <v>1.021031835042514</v>
      </c>
      <c r="BD66" s="10">
        <v>0.9582227798385875</v>
      </c>
      <c r="BE66" s="10">
        <v>0.65693088010480527</v>
      </c>
      <c r="BF66" s="10">
        <v>0.6526406393192008</v>
      </c>
      <c r="BG66" s="10">
        <v>0.81134191577561576</v>
      </c>
      <c r="BH66" s="10"/>
      <c r="BI66" s="10">
        <v>0.85127952214718572</v>
      </c>
      <c r="BJ66" s="10">
        <v>0.75189013746322331</v>
      </c>
    </row>
    <row r="67" spans="1:62" x14ac:dyDescent="0.3">
      <c r="A67" s="8">
        <v>46170</v>
      </c>
      <c r="B67" s="10">
        <v>1.2295000000000114</v>
      </c>
      <c r="C67" s="8"/>
      <c r="D67" s="10">
        <v>1.1600000000000212</v>
      </c>
      <c r="E67">
        <v>139.53999999999965</v>
      </c>
      <c r="G67" s="10">
        <v>1.2629999999999006</v>
      </c>
      <c r="H67">
        <v>119.1899999999993</v>
      </c>
      <c r="I67" s="10">
        <v>1.2263100000000533</v>
      </c>
      <c r="K67" s="10">
        <v>1.1399999999999935</v>
      </c>
      <c r="N67">
        <v>114.55000000000256</v>
      </c>
      <c r="Q67" s="10">
        <v>1.172950000000003</v>
      </c>
      <c r="R67" s="10">
        <v>2.8454999999999497</v>
      </c>
      <c r="T67" s="10">
        <v>2.0989999999999283</v>
      </c>
      <c r="U67" s="10">
        <v>1.1595000000000197E-2</v>
      </c>
      <c r="V67" s="10">
        <v>1.1399999999999935</v>
      </c>
      <c r="W67" s="10">
        <v>3.7380000000000906E-2</v>
      </c>
      <c r="X67" s="10">
        <v>0.99899999999815436</v>
      </c>
      <c r="Z67" s="10">
        <v>2.6109999999997324</v>
      </c>
      <c r="AB67" s="10">
        <v>3.3240000000001348</v>
      </c>
      <c r="AC67" s="10">
        <v>0.89910000000002754</v>
      </c>
      <c r="AE67" s="10">
        <v>0.8649999999999487</v>
      </c>
      <c r="AH67" s="10">
        <v>0.78556028739379191</v>
      </c>
      <c r="AI67" s="10">
        <v>0.61946962769428837</v>
      </c>
      <c r="AJ67" s="10">
        <v>0.61920000000003161</v>
      </c>
      <c r="AK67" s="10">
        <v>0.75933899412158634</v>
      </c>
      <c r="AL67" s="10">
        <v>0.71114304375931081</v>
      </c>
      <c r="AM67" s="10">
        <v>0.93021554539522699</v>
      </c>
      <c r="AN67" s="10">
        <v>0.98009666884378188</v>
      </c>
      <c r="AO67" s="10">
        <v>0.9207785760941275</v>
      </c>
      <c r="AP67" s="10"/>
      <c r="AQ67" s="10">
        <v>0.6333349923764231</v>
      </c>
      <c r="AR67" s="10">
        <v>0.63146806009150491</v>
      </c>
      <c r="AS67" s="10">
        <v>0.78562769431727153</v>
      </c>
      <c r="AT67" s="10">
        <v>0.82404964075753595</v>
      </c>
      <c r="AU67" s="10">
        <v>0.72882064684644765</v>
      </c>
      <c r="AW67" s="10">
        <v>0.8134710211190237</v>
      </c>
      <c r="AX67" s="10">
        <v>0.64147920748962817</v>
      </c>
      <c r="AY67" s="10">
        <v>0.64120000000003285</v>
      </c>
      <c r="AZ67" s="10">
        <v>0.78631809274993747</v>
      </c>
      <c r="BA67" s="10">
        <v>0.73640975397039754</v>
      </c>
      <c r="BB67" s="10">
        <v>0.96326583932076815</v>
      </c>
      <c r="BC67" s="10">
        <v>1.0149192249073531</v>
      </c>
      <c r="BD67" s="10">
        <v>0.9534935771827433</v>
      </c>
      <c r="BE67" s="10">
        <v>0.65550529296453131</v>
      </c>
      <c r="BF67" s="10">
        <v>0.65390394077951075</v>
      </c>
      <c r="BG67" s="10">
        <v>0.8135408229913349</v>
      </c>
      <c r="BH67" s="10"/>
      <c r="BI67" s="10">
        <v>0.85332789026765521</v>
      </c>
      <c r="BJ67" s="10">
        <v>0.75457693564092421</v>
      </c>
    </row>
    <row r="68" spans="1:62" x14ac:dyDescent="0.3">
      <c r="A68" s="8">
        <v>46171</v>
      </c>
      <c r="B68" s="10">
        <v>1.2329000000000234</v>
      </c>
      <c r="C68" s="8"/>
      <c r="D68" s="10">
        <v>1.1654899999999877</v>
      </c>
      <c r="E68">
        <v>139.8499999999988</v>
      </c>
      <c r="G68" s="10">
        <v>1.2688999999999759</v>
      </c>
      <c r="H68">
        <v>119.89000000000529</v>
      </c>
      <c r="I68" s="10">
        <v>1.2289999999999006</v>
      </c>
      <c r="K68" s="10">
        <v>1.1434999999999684</v>
      </c>
      <c r="N68">
        <v>114.8499999999985</v>
      </c>
      <c r="Q68" s="10">
        <v>1.176999999999998</v>
      </c>
      <c r="R68" s="10">
        <v>2.8574999999999728</v>
      </c>
      <c r="T68" s="10">
        <v>2.1020000000001193</v>
      </c>
      <c r="U68" s="10">
        <v>1.1699999999999424E-2</v>
      </c>
      <c r="V68" s="10">
        <v>1.1434999999999684</v>
      </c>
      <c r="W68" s="10">
        <v>3.7754999999998859E-2</v>
      </c>
      <c r="X68" s="10">
        <v>1.0039999999989013</v>
      </c>
      <c r="Z68" s="10">
        <v>2.6214999999636364</v>
      </c>
      <c r="AB68" s="10">
        <v>3.3424999999997835</v>
      </c>
      <c r="AC68" s="10">
        <v>0.90380000000003047</v>
      </c>
      <c r="AE68" s="10">
        <v>0.86490000000010281</v>
      </c>
      <c r="AH68" s="10">
        <v>0.78563317349613404</v>
      </c>
      <c r="AI68" s="10">
        <v>0.61813469921537545</v>
      </c>
      <c r="AJ68" s="10">
        <v>0.61799999999997413</v>
      </c>
      <c r="AK68" s="10">
        <v>0.76037707061908977</v>
      </c>
      <c r="AL68" s="10">
        <v>0.7126261987765351</v>
      </c>
      <c r="AM68" s="10">
        <v>0.90423583260663465</v>
      </c>
      <c r="AN68" s="10">
        <v>0.98323692240616867</v>
      </c>
      <c r="AO68" s="10">
        <v>0.92066913687880092</v>
      </c>
      <c r="AP68" s="10"/>
      <c r="AQ68" s="10">
        <v>0.63117001961640107</v>
      </c>
      <c r="AR68" s="10">
        <v>0.62965148212725619</v>
      </c>
      <c r="AS68" s="10">
        <v>0.78698016564955542</v>
      </c>
      <c r="AT68" s="10">
        <v>0.82402244986932316</v>
      </c>
      <c r="AU68" s="10">
        <v>0.72905950305001865</v>
      </c>
      <c r="AW68" s="10">
        <v>0.81321932214478454</v>
      </c>
      <c r="AX68" s="10">
        <v>0.63983942894510615</v>
      </c>
      <c r="AY68" s="10">
        <v>0.63969999999997318</v>
      </c>
      <c r="AZ68" s="10">
        <v>0.78707639494341697</v>
      </c>
      <c r="BA68" s="10">
        <v>0.73764883391156855</v>
      </c>
      <c r="BB68" s="10">
        <v>0.93598650828230445</v>
      </c>
      <c r="BC68" s="10">
        <v>1.017761584568327</v>
      </c>
      <c r="BD68" s="10">
        <v>0.95299683958150316</v>
      </c>
      <c r="BE68" s="10">
        <v>0.65342379032259146</v>
      </c>
      <c r="BF68" s="10">
        <v>0.65176060374887657</v>
      </c>
      <c r="BG68" s="10">
        <v>0.81461361159550238</v>
      </c>
      <c r="BH68" s="10"/>
      <c r="BI68" s="10">
        <v>0.85295657149094806</v>
      </c>
      <c r="BJ68" s="10">
        <v>0.75465916521213083</v>
      </c>
    </row>
    <row r="69" spans="1:62" x14ac:dyDescent="0.3">
      <c r="A69" s="8">
        <v>46174</v>
      </c>
      <c r="B69" s="10">
        <v>1.2354000000000105</v>
      </c>
      <c r="C69" s="8"/>
      <c r="D69" s="10">
        <v>1.1649999999999878</v>
      </c>
      <c r="E69">
        <v>139.99000000000018</v>
      </c>
      <c r="G69" s="10">
        <v>1.2689999999999975</v>
      </c>
      <c r="H69">
        <v>119.83999999999679</v>
      </c>
      <c r="I69" s="10">
        <v>1.2309999999999655</v>
      </c>
      <c r="K69" s="10">
        <v>1.1460000000000592</v>
      </c>
      <c r="N69">
        <v>115.09999999999874</v>
      </c>
      <c r="Q69" s="10">
        <v>1.1780000000000241</v>
      </c>
      <c r="R69" s="10">
        <v>2.8605000000000107</v>
      </c>
      <c r="T69" s="10">
        <v>2.1109999999999176</v>
      </c>
      <c r="U69" s="10">
        <v>1.1680000000000126E-2</v>
      </c>
      <c r="V69" s="10">
        <v>1.1460000000000592</v>
      </c>
      <c r="W69" s="10">
        <v>3.8094999999998845E-2</v>
      </c>
      <c r="X69" s="10">
        <v>1.0094999999993588</v>
      </c>
      <c r="Z69" s="10">
        <v>2.6434999999801421</v>
      </c>
      <c r="AB69" s="10">
        <v>3.3524999999996852</v>
      </c>
      <c r="AC69" s="10">
        <v>0.90599999999995728</v>
      </c>
      <c r="AE69" s="10">
        <v>0.87050000000010641</v>
      </c>
      <c r="AH69" s="10">
        <v>0.79081358866153439</v>
      </c>
      <c r="AI69" s="10">
        <v>0.61946384174680569</v>
      </c>
      <c r="AJ69" s="10">
        <v>0.62050000000005601</v>
      </c>
      <c r="AK69" s="10">
        <v>0.76490068159696689</v>
      </c>
      <c r="AL69" s="10">
        <v>0.71831115438497273</v>
      </c>
      <c r="AM69" s="10">
        <v>0.90191685599890703</v>
      </c>
      <c r="AN69" s="10">
        <v>0.98469046846261821</v>
      </c>
      <c r="AO69" s="10">
        <v>0.92306339932911452</v>
      </c>
      <c r="AP69" s="10"/>
      <c r="AQ69" s="10">
        <v>0.63306320907621239</v>
      </c>
      <c r="AR69" s="10">
        <v>0.63271800281289226</v>
      </c>
      <c r="AS69" s="10">
        <v>0.78980661040775135</v>
      </c>
      <c r="AT69" s="10">
        <v>0.82874310288862918</v>
      </c>
      <c r="AU69" s="10">
        <v>0.73516125716685499</v>
      </c>
      <c r="AW69" s="10">
        <v>0.81885210429498112</v>
      </c>
      <c r="AX69" s="10">
        <v>0.64144481677653109</v>
      </c>
      <c r="AY69" s="10">
        <v>0.64250000000005802</v>
      </c>
      <c r="AZ69" s="10">
        <v>0.79202044790660964</v>
      </c>
      <c r="BA69" s="10">
        <v>0.74377907605535054</v>
      </c>
      <c r="BB69" s="10">
        <v>0.93389456886268774</v>
      </c>
      <c r="BC69" s="10">
        <v>1.0196029427674975</v>
      </c>
      <c r="BD69" s="10">
        <v>0.95579086876544095</v>
      </c>
      <c r="BE69" s="10">
        <v>0.6559351701783207</v>
      </c>
      <c r="BF69" s="10">
        <v>0.65515119549924772</v>
      </c>
      <c r="BG69" s="10">
        <v>0.81780942334726869</v>
      </c>
      <c r="BH69" s="10"/>
      <c r="BI69" s="10">
        <v>0.85812641999346373</v>
      </c>
      <c r="BJ69" s="10">
        <v>0.76122660391572017</v>
      </c>
    </row>
    <row r="70" spans="1:62" x14ac:dyDescent="0.3">
      <c r="A70" s="8">
        <v>46175</v>
      </c>
      <c r="B70" s="10">
        <v>1.2359899999999895</v>
      </c>
      <c r="C70" s="8"/>
      <c r="D70" s="10">
        <v>1.168000000000009</v>
      </c>
      <c r="E70">
        <v>139.74999999999656</v>
      </c>
      <c r="G70" s="10">
        <v>1.2655500000000262</v>
      </c>
      <c r="H70">
        <v>119.60500000000064</v>
      </c>
      <c r="I70" s="10">
        <v>1.232999999999971</v>
      </c>
      <c r="K70" s="10">
        <v>1.1509999999999945</v>
      </c>
      <c r="N70">
        <v>115.10000000000218</v>
      </c>
      <c r="Q70" s="10">
        <v>1.1781500000000222</v>
      </c>
      <c r="R70" s="10">
        <v>2.8634999999999882</v>
      </c>
      <c r="T70" s="10">
        <v>2.1155000000000017</v>
      </c>
      <c r="U70" s="10">
        <v>1.1690000000000797E-2</v>
      </c>
      <c r="V70" s="10">
        <v>1.1509999999999945</v>
      </c>
      <c r="W70" s="10">
        <v>3.7665000000001614E-2</v>
      </c>
      <c r="X70" s="10">
        <v>1.0129999999995725</v>
      </c>
      <c r="Z70" s="10">
        <v>2.6539999999859964</v>
      </c>
      <c r="AA70" s="10">
        <v>0.94999999999996332</v>
      </c>
      <c r="AB70" s="10">
        <v>3.3575000000001851</v>
      </c>
      <c r="AC70" s="10">
        <v>0.91500000000002624</v>
      </c>
      <c r="AE70" s="10">
        <v>0.87499999999992528</v>
      </c>
      <c r="AH70" s="10">
        <v>0.78951229534516765</v>
      </c>
      <c r="AI70" s="10">
        <v>0.61913930444089416</v>
      </c>
      <c r="AJ70" s="10">
        <v>0.62120000000001596</v>
      </c>
      <c r="AK70" s="10">
        <v>0.76644579989311723</v>
      </c>
      <c r="AL70" s="10">
        <v>0.71798621722643929</v>
      </c>
      <c r="AM70" s="10">
        <v>0.90271760299638659</v>
      </c>
      <c r="AN70" s="10">
        <v>0.98115698234331861</v>
      </c>
      <c r="AO70" s="10">
        <v>0.92066559657567426</v>
      </c>
      <c r="AP70" s="10"/>
      <c r="AQ70" s="10">
        <v>0.63748614232209777</v>
      </c>
      <c r="AR70" s="10">
        <v>0.63156995184591491</v>
      </c>
      <c r="AS70" s="10">
        <v>0.78904697699311821</v>
      </c>
      <c r="AT70" s="10">
        <v>0.82760192616392048</v>
      </c>
      <c r="AU70" s="10">
        <v>0.73586773675709016</v>
      </c>
      <c r="AW70" s="10">
        <v>0.81823569823441555</v>
      </c>
      <c r="AX70" s="10">
        <v>0.64166433386839616</v>
      </c>
      <c r="AY70" s="10">
        <v>0.64380000000001658</v>
      </c>
      <c r="AZ70" s="10">
        <v>0.79433001605149522</v>
      </c>
      <c r="BA70" s="10">
        <v>0.74410741572823824</v>
      </c>
      <c r="BB70" s="10">
        <v>0.93555955056193441</v>
      </c>
      <c r="BC70" s="10">
        <v>1.0168526484749332</v>
      </c>
      <c r="BD70" s="10">
        <v>0.95416051364362375</v>
      </c>
      <c r="BE70" s="10">
        <v>0.66067865168539375</v>
      </c>
      <c r="BF70" s="10">
        <v>0.65454722311397295</v>
      </c>
      <c r="BG70" s="10">
        <v>0.81775345104341524</v>
      </c>
      <c r="BH70" s="10"/>
      <c r="BI70" s="10">
        <v>0.85771107544161618</v>
      </c>
      <c r="BJ70" s="10">
        <v>0.7626394863557866</v>
      </c>
    </row>
    <row r="71" spans="1:62" x14ac:dyDescent="0.3">
      <c r="A71" s="8">
        <v>46176</v>
      </c>
      <c r="B71" s="10">
        <v>1.2329999999999992</v>
      </c>
      <c r="C71" s="8"/>
      <c r="D71" s="10">
        <v>1.1629999999999938</v>
      </c>
      <c r="E71">
        <v>138.8509999999967</v>
      </c>
      <c r="G71" s="10">
        <v>1.2624900000000039</v>
      </c>
      <c r="H71">
        <v>119.18000000000302</v>
      </c>
      <c r="I71" s="10">
        <v>1.232889999999998</v>
      </c>
      <c r="K71" s="10">
        <v>1.1495000000000184</v>
      </c>
      <c r="N71">
        <v>114.84999999999847</v>
      </c>
      <c r="Q71" s="10">
        <v>1.1769999999999967</v>
      </c>
      <c r="R71" s="10">
        <v>2.8620000000000463</v>
      </c>
      <c r="T71" s="10">
        <v>2.1135000000000148</v>
      </c>
      <c r="U71" s="10">
        <v>1.1674999999999774E-2</v>
      </c>
      <c r="V71" s="10">
        <v>1.1495000000000184</v>
      </c>
      <c r="W71" s="10">
        <v>3.7630000000000344E-2</v>
      </c>
      <c r="X71" s="10">
        <v>1.0124999999994257</v>
      </c>
      <c r="Z71" s="10">
        <v>2.6544999999847265</v>
      </c>
      <c r="AA71" s="10">
        <v>0.95010000000004524</v>
      </c>
      <c r="AB71" s="10">
        <v>3.355000000000087</v>
      </c>
      <c r="AC71" s="10">
        <v>0.91099999999995573</v>
      </c>
      <c r="AE71" s="10">
        <v>0.87399999999990186</v>
      </c>
      <c r="AH71" s="10">
        <v>0.7867681823021927</v>
      </c>
      <c r="AI71" s="10">
        <v>0.61960387605153944</v>
      </c>
      <c r="AJ71" s="10">
        <v>0.6200000000000585</v>
      </c>
      <c r="AK71" s="10">
        <v>0.76240655947165903</v>
      </c>
      <c r="AL71" s="10">
        <v>0.71599403684124274</v>
      </c>
      <c r="AM71" s="10">
        <v>0.90309658183347707</v>
      </c>
      <c r="AN71" s="10">
        <v>0.98687679693319819</v>
      </c>
      <c r="AO71" s="10">
        <v>0.92105420083043965</v>
      </c>
      <c r="AP71" s="10"/>
      <c r="AQ71" s="10">
        <v>0.63135555318926229</v>
      </c>
      <c r="AR71" s="10">
        <v>0.63472260675107828</v>
      </c>
      <c r="AS71" s="10">
        <v>0.78762645085744609</v>
      </c>
      <c r="AT71" s="10">
        <v>0.82525822596088094</v>
      </c>
      <c r="AU71" s="10">
        <v>0.73282930465267493</v>
      </c>
      <c r="AW71" s="10">
        <v>0.81557404962196645</v>
      </c>
      <c r="AX71" s="10">
        <v>0.64228937280374898</v>
      </c>
      <c r="AY71" s="10">
        <v>0.64270000000006067</v>
      </c>
      <c r="AZ71" s="10">
        <v>0.7903204770523149</v>
      </c>
      <c r="BA71" s="10">
        <v>0.74220865722236551</v>
      </c>
      <c r="BB71" s="10">
        <v>0.93616156958770258</v>
      </c>
      <c r="BC71" s="10">
        <v>1.023009221595107</v>
      </c>
      <c r="BD71" s="10">
        <v>0.95477666915116699</v>
      </c>
      <c r="BE71" s="10">
        <v>0.65447131295925631</v>
      </c>
      <c r="BF71" s="10">
        <v>0.65796164412728719</v>
      </c>
      <c r="BG71" s="10">
        <v>0.81646374188077497</v>
      </c>
      <c r="BH71" s="10"/>
      <c r="BI71" s="10">
        <v>0.85547332552428723</v>
      </c>
      <c r="BJ71" s="10">
        <v>0.7596603130649584</v>
      </c>
    </row>
    <row r="72" spans="1:62" x14ac:dyDescent="0.3">
      <c r="A72" s="8">
        <v>46177</v>
      </c>
      <c r="B72" s="10">
        <v>1.2354999999999887</v>
      </c>
      <c r="C72" s="8"/>
      <c r="D72" s="10">
        <v>1.1669999999999974</v>
      </c>
      <c r="E72">
        <v>139.34999999999917</v>
      </c>
      <c r="G72" s="10">
        <v>1.2662000000000624</v>
      </c>
      <c r="H72">
        <v>119.5000000000032</v>
      </c>
      <c r="I72" s="10">
        <v>1.2265000000000104</v>
      </c>
      <c r="K72" s="10">
        <v>1.1510000000000309</v>
      </c>
      <c r="N72">
        <v>114.79999999999721</v>
      </c>
      <c r="Q72" s="10">
        <v>1.1776000000000135</v>
      </c>
      <c r="R72" s="10">
        <v>2.8650000000000073</v>
      </c>
      <c r="T72" s="10">
        <v>2.1174999999999367</v>
      </c>
      <c r="U72" s="10">
        <v>1.1709999999999228E-2</v>
      </c>
      <c r="V72" s="10">
        <v>1.1510000000000309</v>
      </c>
      <c r="W72" s="10">
        <v>3.8200000000000414E-2</v>
      </c>
      <c r="X72" s="10">
        <v>1.014499999999475</v>
      </c>
      <c r="Z72" s="10">
        <v>2.6579999999856092</v>
      </c>
      <c r="AA72" s="10">
        <v>0.96290000000000076</v>
      </c>
      <c r="AB72" s="10">
        <v>3.3594999999998469</v>
      </c>
      <c r="AC72" s="10">
        <v>0.91010000000009039</v>
      </c>
      <c r="AE72" s="10">
        <v>0.88200000000000134</v>
      </c>
      <c r="AH72" s="10">
        <v>0.7904414641944727</v>
      </c>
      <c r="AI72" s="10">
        <v>0.62156749786866827</v>
      </c>
      <c r="AJ72" s="10">
        <v>0.62169999999999082</v>
      </c>
      <c r="AK72" s="10">
        <v>0.76685608482560785</v>
      </c>
      <c r="AL72" s="10">
        <v>0.72028158567555423</v>
      </c>
      <c r="AM72" s="10">
        <v>0.90432704603595127</v>
      </c>
      <c r="AN72" s="10">
        <v>0.98555085251496299</v>
      </c>
      <c r="AO72" s="10">
        <v>0.92420236572882219</v>
      </c>
      <c r="AP72" s="10"/>
      <c r="AQ72" s="10">
        <v>0.63424652748187993</v>
      </c>
      <c r="AR72" s="10">
        <v>0.63296268115948395</v>
      </c>
      <c r="AS72" s="10">
        <v>0.79097147271946455</v>
      </c>
      <c r="AT72" s="10">
        <v>0.82699020025548209</v>
      </c>
      <c r="AU72" s="10">
        <v>0.73730810954726833</v>
      </c>
      <c r="AW72" s="10">
        <v>0.81892125959089568</v>
      </c>
      <c r="AX72" s="10">
        <v>0.64396272378512009</v>
      </c>
      <c r="AY72" s="10">
        <v>0.64409999999999035</v>
      </c>
      <c r="AZ72" s="10">
        <v>0.79448609335077036</v>
      </c>
      <c r="BA72" s="10">
        <v>0.74623350383404286</v>
      </c>
      <c r="BB72" s="10">
        <v>0.93691016624055989</v>
      </c>
      <c r="BC72" s="10">
        <v>1.0210604859335493</v>
      </c>
      <c r="BD72" s="10">
        <v>0.95750159846539218</v>
      </c>
      <c r="BE72" s="10">
        <v>0.65761243076266351</v>
      </c>
      <c r="BF72" s="10">
        <v>0.65576847826093543</v>
      </c>
      <c r="BG72" s="10">
        <v>0.81947036445006771</v>
      </c>
      <c r="BH72" s="10"/>
      <c r="BI72" s="10">
        <v>0.85745685982087883</v>
      </c>
      <c r="BJ72" s="10">
        <v>0.763873497441524</v>
      </c>
    </row>
    <row r="73" spans="1:62" x14ac:dyDescent="0.3">
      <c r="A73" s="8">
        <v>46178</v>
      </c>
      <c r="B73" s="10">
        <v>1.2374899999999744</v>
      </c>
      <c r="C73" s="8"/>
      <c r="D73" s="10">
        <v>1.1695499999999952</v>
      </c>
      <c r="E73">
        <v>139.60000000000204</v>
      </c>
      <c r="G73" s="10">
        <v>1.2672000000000052</v>
      </c>
      <c r="H73">
        <v>119.74999999999282</v>
      </c>
      <c r="I73" s="10">
        <v>1.2299999999999534</v>
      </c>
      <c r="K73" s="10">
        <v>1.1530000000000376</v>
      </c>
      <c r="N73">
        <v>114.99999999999977</v>
      </c>
      <c r="Q73" s="10">
        <v>1.1820000000000008</v>
      </c>
      <c r="R73" s="10">
        <v>2.8719999999999648</v>
      </c>
      <c r="T73" s="10">
        <v>2.1209999999999356</v>
      </c>
      <c r="U73" s="10">
        <v>1.1675000000000128E-2</v>
      </c>
      <c r="V73" s="10">
        <v>1.1530000000000376</v>
      </c>
      <c r="W73" s="10">
        <v>3.7960000000003331E-2</v>
      </c>
      <c r="X73" s="10">
        <v>1.0159999999995832</v>
      </c>
      <c r="Z73" s="10">
        <v>2.6659999999889914</v>
      </c>
      <c r="AA73" s="10">
        <v>0.97499999999999676</v>
      </c>
      <c r="AB73" s="10">
        <v>3.3610000000003581</v>
      </c>
      <c r="AC73" s="10">
        <v>0.91099999999998871</v>
      </c>
      <c r="AE73" s="10">
        <v>0.88680000000005221</v>
      </c>
      <c r="AH73" s="10">
        <v>0.78243859275042515</v>
      </c>
      <c r="AI73" s="10">
        <v>0.62076460554374624</v>
      </c>
      <c r="AJ73" s="10">
        <v>0.62050000000000305</v>
      </c>
      <c r="AK73" s="10">
        <v>0.76133630063973523</v>
      </c>
      <c r="AL73" s="10">
        <v>0.71383960554021686</v>
      </c>
      <c r="AM73" s="10">
        <v>0.90091572494673922</v>
      </c>
      <c r="AN73" s="10">
        <v>0.98697867803831596</v>
      </c>
      <c r="AO73" s="10">
        <v>0.92545788912584837</v>
      </c>
      <c r="AP73" s="10"/>
      <c r="AQ73" s="10">
        <v>0.6293399125146999</v>
      </c>
      <c r="AR73" s="10">
        <v>0.63121652452025834</v>
      </c>
      <c r="AS73" s="10">
        <v>0.78422468017088665</v>
      </c>
      <c r="AT73" s="10">
        <v>0.82153406183382605</v>
      </c>
      <c r="AU73" s="10">
        <v>0.72832675906044397</v>
      </c>
      <c r="AW73" s="10">
        <v>0.81081066098069843</v>
      </c>
      <c r="AX73" s="10">
        <v>0.64327420042647676</v>
      </c>
      <c r="AY73" s="10">
        <v>0.64300000000000324</v>
      </c>
      <c r="AZ73" s="10">
        <v>0.7889431769723606</v>
      </c>
      <c r="BA73" s="10">
        <v>0.73972420042281939</v>
      </c>
      <c r="BB73" s="10">
        <v>0.93358390191902241</v>
      </c>
      <c r="BC73" s="10">
        <v>1.0227675906182712</v>
      </c>
      <c r="BD73" s="10">
        <v>0.95901599147126604</v>
      </c>
      <c r="BE73" s="10">
        <v>0.65256241331487175</v>
      </c>
      <c r="BF73" s="10">
        <v>0.65410511727079157</v>
      </c>
      <c r="BG73" s="10">
        <v>0.81266151385959728</v>
      </c>
      <c r="BH73" s="10"/>
      <c r="BI73" s="10">
        <v>0.85132377398734915</v>
      </c>
      <c r="BJ73" s="10">
        <v>0.75473667377254716</v>
      </c>
    </row>
    <row r="74" spans="1:62" x14ac:dyDescent="0.3">
      <c r="A74" s="8">
        <v>46181</v>
      </c>
      <c r="B74" s="10">
        <v>1.2379999999999953</v>
      </c>
      <c r="C74" s="8"/>
      <c r="D74" s="10">
        <v>1.1724999999999737</v>
      </c>
      <c r="E74">
        <v>139.64999999999506</v>
      </c>
      <c r="G74" s="10">
        <v>1.2705000000000379</v>
      </c>
      <c r="H74">
        <v>119.90000000000431</v>
      </c>
      <c r="I74" s="10">
        <v>1.2350000000000501</v>
      </c>
      <c r="K74" s="10">
        <v>1.1574999999999891</v>
      </c>
      <c r="N74">
        <v>115.10000000000066</v>
      </c>
      <c r="Q74" s="10">
        <v>1.1833999999999674</v>
      </c>
      <c r="R74" s="10">
        <v>2.8734999999999702</v>
      </c>
      <c r="T74" s="10">
        <v>2.1240000000000951</v>
      </c>
      <c r="U74" s="10">
        <v>1.1714999999999707E-2</v>
      </c>
      <c r="V74" s="10">
        <v>1.1574999999999891</v>
      </c>
      <c r="W74" s="10">
        <v>3.7875000000000408E-2</v>
      </c>
      <c r="X74" s="10">
        <v>1.0164999999992965</v>
      </c>
      <c r="Z74" s="10">
        <v>2.6619999999807002</v>
      </c>
      <c r="AA74" s="11">
        <v>0.97499999999999676</v>
      </c>
      <c r="AB74" s="10">
        <v>3.3559999999998587</v>
      </c>
      <c r="AC74" s="10">
        <v>0.90799999999996917</v>
      </c>
      <c r="AE74" s="10">
        <v>0.88499999999996382</v>
      </c>
      <c r="AH74" s="10">
        <v>0.78157749548194899</v>
      </c>
      <c r="AI74" s="10">
        <v>0.61757434888917129</v>
      </c>
      <c r="AJ74" s="10">
        <v>0.61810000000003162</v>
      </c>
      <c r="AK74" s="10">
        <v>0.75930302965871266</v>
      </c>
      <c r="AL74" s="10">
        <v>0.71291431912052605</v>
      </c>
      <c r="AM74" s="10">
        <v>0.89610373126402942</v>
      </c>
      <c r="AN74" s="10">
        <v>0.98461023705743278</v>
      </c>
      <c r="AO74" s="10">
        <v>0.92330617625173061</v>
      </c>
      <c r="AP74" s="10"/>
      <c r="AQ74" s="10">
        <v>0.63422401872140244</v>
      </c>
      <c r="AR74" s="10">
        <v>0.62841590305090278</v>
      </c>
      <c r="AS74" s="10">
        <v>0.78289162325912076</v>
      </c>
      <c r="AT74" s="10">
        <v>0.81909584352080389</v>
      </c>
      <c r="AU74" s="10">
        <v>0.7302786937546959</v>
      </c>
      <c r="AW74" s="10">
        <v>0.81078707345579315</v>
      </c>
      <c r="AX74" s="10">
        <v>0.64065470394391966</v>
      </c>
      <c r="AY74" s="10">
        <v>0.64120000000003285</v>
      </c>
      <c r="AZ74" s="10">
        <v>0.78768015307744155</v>
      </c>
      <c r="BA74" s="10">
        <v>0.73955777612050055</v>
      </c>
      <c r="BB74" s="10">
        <v>0.92959345168499563</v>
      </c>
      <c r="BC74" s="10">
        <v>1.021407675135457</v>
      </c>
      <c r="BD74" s="10">
        <v>0.95781252258956429</v>
      </c>
      <c r="BE74" s="10">
        <v>0.65780874375065423</v>
      </c>
      <c r="BF74" s="10">
        <v>0.65190143510150289</v>
      </c>
      <c r="BG74" s="10">
        <v>0.81215031359609824</v>
      </c>
      <c r="BH74" s="10"/>
      <c r="BI74" s="10">
        <v>0.84970757946212516</v>
      </c>
      <c r="BJ74" s="10">
        <v>0.75743537921364179</v>
      </c>
    </row>
    <row r="75" spans="1:62" x14ac:dyDescent="0.3">
      <c r="A75" s="8">
        <v>46182</v>
      </c>
      <c r="B75" s="10">
        <v>1.2449999999999921</v>
      </c>
      <c r="C75" s="8"/>
      <c r="D75" s="10">
        <v>1.1725000000000083</v>
      </c>
      <c r="E75">
        <v>140.34899999999513</v>
      </c>
      <c r="G75" s="10">
        <v>1.2738799999999886</v>
      </c>
      <c r="H75">
        <v>120.35000000000215</v>
      </c>
      <c r="I75" s="10">
        <v>1.2389999999999979</v>
      </c>
      <c r="K75" s="10">
        <v>1.160000000000077</v>
      </c>
      <c r="N75">
        <v>115.09999999999559</v>
      </c>
      <c r="Q75" s="10">
        <v>1.1875000000000007</v>
      </c>
      <c r="R75" s="10">
        <v>2.8800000000000079</v>
      </c>
      <c r="T75" s="10">
        <v>2.1290000000000662</v>
      </c>
      <c r="U75" s="10">
        <v>1.1729999999999661E-2</v>
      </c>
      <c r="V75" s="10">
        <v>1.160000000000077</v>
      </c>
      <c r="W75" s="10">
        <v>3.7910000000000589E-2</v>
      </c>
      <c r="X75" s="10">
        <v>1.0209999999995418</v>
      </c>
      <c r="Z75" s="10">
        <v>2.6639999999807515</v>
      </c>
      <c r="AA75" s="10">
        <v>0.97500000000014664</v>
      </c>
      <c r="AB75" s="10">
        <v>3.3650000000002378</v>
      </c>
      <c r="AC75" s="10">
        <v>0.91050000000009779</v>
      </c>
      <c r="AE75" s="10">
        <v>0.88150000000002149</v>
      </c>
      <c r="AH75" s="10">
        <v>0.78397080346637582</v>
      </c>
      <c r="AI75" s="10">
        <v>0.61769999999999647</v>
      </c>
      <c r="AJ75" s="10">
        <v>0.61769999999995229</v>
      </c>
      <c r="AK75" s="10">
        <v>0.76064266609606324</v>
      </c>
      <c r="AL75" s="10">
        <v>0.71458115972676839</v>
      </c>
      <c r="AM75" s="10">
        <v>0.89876109981808749</v>
      </c>
      <c r="AN75" s="10">
        <v>0.98691899005030603</v>
      </c>
      <c r="AO75" s="10">
        <v>0.92255183481321679</v>
      </c>
      <c r="AP75" s="10"/>
      <c r="AQ75" s="10">
        <v>0.63270474917105335</v>
      </c>
      <c r="AR75" s="10">
        <v>0.62979362362249436</v>
      </c>
      <c r="AS75" s="10">
        <v>0.78443340109116189</v>
      </c>
      <c r="AT75" s="10">
        <v>0.8221020648336429</v>
      </c>
      <c r="AU75" s="10">
        <v>0.73315115010043375</v>
      </c>
      <c r="AW75" s="10">
        <v>0.81366955172785083</v>
      </c>
      <c r="AX75" s="10">
        <v>0.64109999999999634</v>
      </c>
      <c r="AY75" s="10">
        <v>0.64109999999995038</v>
      </c>
      <c r="AZ75" s="10">
        <v>0.78945768695837149</v>
      </c>
      <c r="BA75" s="10">
        <v>0.74165125708407176</v>
      </c>
      <c r="BB75" s="10">
        <v>0.93280838771794705</v>
      </c>
      <c r="BC75" s="10">
        <v>1.0243059163368156</v>
      </c>
      <c r="BD75" s="10">
        <v>0.95750037445159986</v>
      </c>
      <c r="BE75" s="10">
        <v>0.65625582415233552</v>
      </c>
      <c r="BF75" s="10">
        <v>0.65365175992290925</v>
      </c>
      <c r="BG75" s="10">
        <v>0.81414967369199265</v>
      </c>
      <c r="BH75" s="10"/>
      <c r="BI75" s="10">
        <v>0.85324531935380987</v>
      </c>
      <c r="BJ75" s="10">
        <v>0.76092472450928927</v>
      </c>
    </row>
    <row r="76" spans="1:62" x14ac:dyDescent="0.3">
      <c r="A76" s="8">
        <v>46183</v>
      </c>
      <c r="B76" s="10">
        <v>1.2473999999999892</v>
      </c>
      <c r="C76" s="8"/>
      <c r="D76" s="10">
        <v>1.1712999999999791</v>
      </c>
      <c r="E76">
        <v>140.9499999999947</v>
      </c>
      <c r="G76" s="10">
        <v>1.2775000000000216</v>
      </c>
      <c r="H76">
        <v>120.64899999999818</v>
      </c>
      <c r="I76" s="10">
        <v>1.2474999999999925</v>
      </c>
      <c r="K76" s="10">
        <v>1.1620000000000075</v>
      </c>
      <c r="N76">
        <v>114.95000000000061</v>
      </c>
      <c r="Q76" s="10">
        <v>1.1877500000000092</v>
      </c>
      <c r="R76" s="10">
        <v>2.8820000000000476</v>
      </c>
      <c r="T76" s="10">
        <v>2.1340000000000394</v>
      </c>
      <c r="U76" s="10">
        <v>1.1840000000000152E-2</v>
      </c>
      <c r="V76" s="10">
        <v>1.1620000000000075</v>
      </c>
      <c r="W76" s="10">
        <v>3.7980000000002352E-2</v>
      </c>
      <c r="X76" s="10">
        <v>1.022999999999664</v>
      </c>
      <c r="Z76" s="10">
        <v>2.6684999999821555</v>
      </c>
      <c r="AA76" s="10">
        <v>0.96999999999998221</v>
      </c>
      <c r="AB76" s="10">
        <v>3.3810000000002343</v>
      </c>
      <c r="AC76" s="10">
        <v>0.9154999999999347</v>
      </c>
      <c r="AE76" s="10">
        <v>0.87999999999990808</v>
      </c>
      <c r="AH76" s="10">
        <v>0.78192793958981965</v>
      </c>
      <c r="AI76" s="10">
        <v>0.61998705501616291</v>
      </c>
      <c r="AJ76" s="10">
        <v>0.61599999999993982</v>
      </c>
      <c r="AK76" s="10">
        <v>0.76086299892136888</v>
      </c>
      <c r="AL76" s="10">
        <v>0.71667313915540121</v>
      </c>
      <c r="AM76" s="10">
        <v>0.90107443365694162</v>
      </c>
      <c r="AN76" s="10">
        <v>0.98546709816610023</v>
      </c>
      <c r="AO76" s="10">
        <v>0.9232690399136978</v>
      </c>
      <c r="AP76" s="10"/>
      <c r="AQ76" s="10">
        <v>0.63349220331678568</v>
      </c>
      <c r="AR76" s="10">
        <v>0.62799043412685462</v>
      </c>
      <c r="AS76" s="10">
        <v>0.78677885652624913</v>
      </c>
      <c r="AT76" s="10">
        <v>0.81787788565269015</v>
      </c>
      <c r="AU76" s="10">
        <v>0.72630852211281705</v>
      </c>
      <c r="AW76" s="10">
        <v>0.81023474649380167</v>
      </c>
      <c r="AX76" s="10">
        <v>0.64243139158574147</v>
      </c>
      <c r="AY76" s="10">
        <v>0.63829999999993758</v>
      </c>
      <c r="AZ76" s="10">
        <v>0.78840722761608728</v>
      </c>
      <c r="BA76" s="10">
        <v>0.74261763753716326</v>
      </c>
      <c r="BB76" s="10">
        <v>0.93369449838186014</v>
      </c>
      <c r="BC76" s="10">
        <v>1.0211422869471132</v>
      </c>
      <c r="BD76" s="10">
        <v>0.95669257820927467</v>
      </c>
      <c r="BE76" s="10">
        <v>0.65768308205897696</v>
      </c>
      <c r="BF76" s="10">
        <v>0.65208109447372353</v>
      </c>
      <c r="BG76" s="10">
        <v>0.81526127292322204</v>
      </c>
      <c r="BH76" s="10"/>
      <c r="BI76" s="10">
        <v>0.8474861272923897</v>
      </c>
      <c r="BJ76" s="10">
        <v>0.75260183387112189</v>
      </c>
    </row>
    <row r="77" spans="1:62" x14ac:dyDescent="0.3">
      <c r="A77" s="8">
        <v>46184</v>
      </c>
      <c r="B77" s="10">
        <v>1.2477100000000128</v>
      </c>
      <c r="C77" s="8"/>
      <c r="D77" s="10">
        <v>1.1789999999999983</v>
      </c>
      <c r="E77">
        <v>141.50900000000058</v>
      </c>
      <c r="G77" s="10">
        <v>1.2854999999999455</v>
      </c>
      <c r="H77">
        <v>120.95999999999762</v>
      </c>
      <c r="I77" s="10">
        <v>1.2495000000000385</v>
      </c>
      <c r="K77" s="10">
        <v>1.1630000000000167</v>
      </c>
      <c r="N77">
        <v>115.10000000000477</v>
      </c>
      <c r="Q77" s="10">
        <v>1.1880000000000044</v>
      </c>
      <c r="R77" s="10">
        <v>2.8830000000000275</v>
      </c>
      <c r="T77" s="10">
        <v>2.1345000000000347</v>
      </c>
      <c r="U77" s="10">
        <v>1.1755000000000832E-2</v>
      </c>
      <c r="V77" s="10">
        <v>1.1630000000000167</v>
      </c>
      <c r="W77" s="10">
        <v>3.7954999999997907E-2</v>
      </c>
      <c r="X77" s="10">
        <v>1.0259999999997402</v>
      </c>
      <c r="Z77" s="10">
        <v>2.6749999999853289</v>
      </c>
      <c r="AA77" s="10">
        <v>0.97049999999986614</v>
      </c>
      <c r="AB77" s="10">
        <v>3.4029999999997336</v>
      </c>
      <c r="AC77" s="10">
        <v>0.9214999999999427</v>
      </c>
      <c r="AE77" s="10">
        <v>0.88070000000012372</v>
      </c>
      <c r="AH77" s="10">
        <v>0.8083625293740111</v>
      </c>
      <c r="AI77" s="10">
        <v>0.63624225592820105</v>
      </c>
      <c r="AJ77" s="10">
        <v>0.62699999999995759</v>
      </c>
      <c r="AK77" s="10">
        <v>0.78532386242259977</v>
      </c>
      <c r="AL77" s="10">
        <v>0.73268318735186222</v>
      </c>
      <c r="AM77" s="10">
        <v>0.91538517410817688</v>
      </c>
      <c r="AN77" s="10">
        <v>0.99454710531929436</v>
      </c>
      <c r="AO77" s="10">
        <v>0.93695043794068922</v>
      </c>
      <c r="AP77" s="10"/>
      <c r="AQ77" s="10">
        <v>0.64331824973318907</v>
      </c>
      <c r="AR77" s="10">
        <v>0.6402606280709513</v>
      </c>
      <c r="AS77" s="10">
        <v>0.81171117282635807</v>
      </c>
      <c r="AT77" s="10">
        <v>0.84894808801546384</v>
      </c>
      <c r="AU77" s="10">
        <v>0.7542484511851566</v>
      </c>
      <c r="AW77" s="10">
        <v>0.83285836359746601</v>
      </c>
      <c r="AX77" s="10">
        <v>0.65552232428966162</v>
      </c>
      <c r="AY77" s="10">
        <v>0.64599999999995616</v>
      </c>
      <c r="AZ77" s="10">
        <v>0.80912155522328444</v>
      </c>
      <c r="BA77" s="10">
        <v>0.75488570818070655</v>
      </c>
      <c r="BB77" s="10">
        <v>0.94312411877812152</v>
      </c>
      <c r="BC77" s="10">
        <v>1.0246848963895758</v>
      </c>
      <c r="BD77" s="10">
        <v>0.96534287545404329</v>
      </c>
      <c r="BE77" s="10">
        <v>0.66313319103521673</v>
      </c>
      <c r="BF77" s="10">
        <v>0.65966246528522243</v>
      </c>
      <c r="BG77" s="10">
        <v>0.83630848109382339</v>
      </c>
      <c r="BH77" s="10"/>
      <c r="BI77" s="10">
        <v>0.87467378765229609</v>
      </c>
      <c r="BJ77" s="10">
        <v>0.77710446485743401</v>
      </c>
    </row>
    <row r="78" spans="1:62" x14ac:dyDescent="0.3">
      <c r="A78" s="8">
        <v>46185</v>
      </c>
      <c r="B78" s="10">
        <v>1.253999999999988</v>
      </c>
      <c r="C78" s="8"/>
      <c r="D78" s="10">
        <v>1.1820100000000295</v>
      </c>
      <c r="E78">
        <v>141.94999999999959</v>
      </c>
      <c r="G78" s="10">
        <v>1.287450000000018</v>
      </c>
      <c r="H78">
        <v>121.34999999999832</v>
      </c>
      <c r="I78" s="10">
        <v>1.2500000000000171</v>
      </c>
      <c r="K78" s="10">
        <v>1.1690000000000722</v>
      </c>
      <c r="N78">
        <v>115.30000000000229</v>
      </c>
      <c r="Q78" s="10">
        <v>1.1865000000000112</v>
      </c>
      <c r="R78" s="10">
        <v>2.8825000000000518</v>
      </c>
      <c r="T78" s="10">
        <v>2.1324999999999319</v>
      </c>
      <c r="U78" s="10">
        <v>1.1849999999999507E-2</v>
      </c>
      <c r="V78" s="10">
        <v>1.1690000000000722</v>
      </c>
      <c r="W78" s="10">
        <v>3.8235000000002899E-2</v>
      </c>
      <c r="X78" s="10">
        <v>1.0249999999995552</v>
      </c>
      <c r="Z78" s="10">
        <v>2.6749999999806904</v>
      </c>
      <c r="AA78" s="10">
        <v>0.97699999999990372</v>
      </c>
      <c r="AB78" s="10">
        <v>3.4050000000003284</v>
      </c>
      <c r="AC78" s="10">
        <v>0.91949999999993526</v>
      </c>
      <c r="AE78" s="10">
        <v>0.88309999999992539</v>
      </c>
      <c r="AH78" s="10">
        <v>0.80861500266951869</v>
      </c>
      <c r="AI78" s="10">
        <v>0.62997760811533798</v>
      </c>
      <c r="AJ78" s="10">
        <v>0.62609999999999322</v>
      </c>
      <c r="AK78" s="10">
        <v>0.78695388147345047</v>
      </c>
      <c r="AL78" s="10">
        <v>0.73360334223067913</v>
      </c>
      <c r="AM78" s="10">
        <v>0.91585092365183018</v>
      </c>
      <c r="AN78" s="10">
        <v>0.99400478376937618</v>
      </c>
      <c r="AO78" s="10">
        <v>0.93497154297921403</v>
      </c>
      <c r="AP78" s="10"/>
      <c r="AQ78" s="10">
        <v>0.64357638518205373</v>
      </c>
      <c r="AR78" s="10">
        <v>0.63980533902827263</v>
      </c>
      <c r="AS78" s="10">
        <v>0.81329487453268601</v>
      </c>
      <c r="AT78" s="10">
        <v>0.85026586225305867</v>
      </c>
      <c r="AU78" s="10">
        <v>0.75813924185765458</v>
      </c>
      <c r="AW78" s="10">
        <v>0.83392861719167566</v>
      </c>
      <c r="AX78" s="10">
        <v>0.64969899626269556</v>
      </c>
      <c r="AY78" s="10">
        <v>0.64569999999999295</v>
      </c>
      <c r="AZ78" s="10">
        <v>0.81158939668967722</v>
      </c>
      <c r="BA78" s="10">
        <v>0.75656872397116981</v>
      </c>
      <c r="BB78" s="10">
        <v>0.94452154831813873</v>
      </c>
      <c r="BC78" s="10">
        <v>1.0251220074746623</v>
      </c>
      <c r="BD78" s="10">
        <v>0.96424073678594224</v>
      </c>
      <c r="BE78" s="10">
        <v>0.66362389238820396</v>
      </c>
      <c r="BF78" s="10">
        <v>0.65983438334220668</v>
      </c>
      <c r="BG78" s="10">
        <v>0.83875499199130377</v>
      </c>
      <c r="BH78" s="10"/>
      <c r="BI78" s="10">
        <v>0.87688335290975861</v>
      </c>
      <c r="BJ78" s="10">
        <v>0.78187271756506549</v>
      </c>
    </row>
    <row r="79" spans="1:62" x14ac:dyDescent="0.3">
      <c r="A79" s="8">
        <v>46189</v>
      </c>
      <c r="B79" s="10">
        <v>1.2549899999999974</v>
      </c>
      <c r="C79" s="8"/>
      <c r="D79" s="10">
        <v>1.1847999999999781</v>
      </c>
      <c r="E79">
        <v>141.76200000000665</v>
      </c>
      <c r="G79" s="10">
        <v>1.2905000000000069</v>
      </c>
      <c r="H79">
        <v>121.79999999999784</v>
      </c>
      <c r="I79" s="10">
        <v>1.2365000000000157</v>
      </c>
      <c r="K79" s="10">
        <v>1.1679999999999808</v>
      </c>
      <c r="N79">
        <v>115.35000000000197</v>
      </c>
      <c r="Q79" s="10">
        <v>1.1845000000000103</v>
      </c>
      <c r="R79" s="10">
        <v>2.8785000000000172</v>
      </c>
      <c r="T79" s="10">
        <v>2.1325000000000625</v>
      </c>
      <c r="U79" s="10">
        <v>1.1835000000000291E-2</v>
      </c>
      <c r="V79" s="10">
        <v>1.1679999999999808</v>
      </c>
      <c r="W79" s="10">
        <v>3.8140000000000965E-2</v>
      </c>
      <c r="X79" s="10">
        <v>1.0229999999993029</v>
      </c>
      <c r="Z79" s="10">
        <v>2.6814999999835765</v>
      </c>
      <c r="AA79" s="10">
        <v>0.97300000000004228</v>
      </c>
      <c r="AB79" s="10">
        <v>3.406999999999599</v>
      </c>
      <c r="AC79" s="10">
        <v>0.92099999999992965</v>
      </c>
      <c r="AE79" s="10">
        <v>0.88149999999998574</v>
      </c>
      <c r="AH79" s="10">
        <v>0.81085392010234925</v>
      </c>
      <c r="AI79" s="10">
        <v>0.62990743430886997</v>
      </c>
      <c r="AJ79" s="10">
        <v>0.62510000000001009</v>
      </c>
      <c r="AK79" s="10">
        <v>0.78614904934836427</v>
      </c>
      <c r="AL79" s="10">
        <v>0.73527036957796743</v>
      </c>
      <c r="AM79" s="10">
        <v>0.91882088229009606</v>
      </c>
      <c r="AN79" s="10">
        <v>0.99754261909854403</v>
      </c>
      <c r="AO79" s="10">
        <v>0.94152265541553315</v>
      </c>
      <c r="AP79" s="10"/>
      <c r="AQ79" s="10">
        <v>0.64105801110872007</v>
      </c>
      <c r="AR79" s="10">
        <v>0.63898814355910327</v>
      </c>
      <c r="AS79" s="10">
        <v>0.81632905362111985</v>
      </c>
      <c r="AT79" s="10">
        <v>0.85612392651156599</v>
      </c>
      <c r="AU79" s="10">
        <v>0.7598417004911644</v>
      </c>
      <c r="AW79" s="10">
        <v>0.83537022003825467</v>
      </c>
      <c r="AX79" s="10">
        <v>0.64895278786580124</v>
      </c>
      <c r="AY79" s="10">
        <v>0.64400000000001056</v>
      </c>
      <c r="AZ79" s="10">
        <v>0.80991839350559369</v>
      </c>
      <c r="BA79" s="10">
        <v>0.75750138859096305</v>
      </c>
      <c r="BB79" s="10">
        <v>0.94660158085877766</v>
      </c>
      <c r="BC79" s="10">
        <v>1.0277034821619939</v>
      </c>
      <c r="BD79" s="10">
        <v>0.96998974578084041</v>
      </c>
      <c r="BE79" s="10">
        <v>0.66044050416575872</v>
      </c>
      <c r="BF79" s="10">
        <v>0.6583080538346866</v>
      </c>
      <c r="BG79" s="10">
        <v>0.84101089510798455</v>
      </c>
      <c r="BH79" s="10"/>
      <c r="BI79" s="10">
        <v>0.88200897244192689</v>
      </c>
      <c r="BJ79" s="10">
        <v>0.78281563768406637</v>
      </c>
    </row>
    <row r="80" spans="1:62" x14ac:dyDescent="0.3">
      <c r="A80" s="8">
        <v>46190</v>
      </c>
      <c r="B80" s="10">
        <v>1.251249999999992</v>
      </c>
      <c r="C80" s="8"/>
      <c r="D80" s="10">
        <v>1.1799999999999968</v>
      </c>
      <c r="E80">
        <v>141.75000000000176</v>
      </c>
      <c r="G80" s="10">
        <v>1.2883999999999463</v>
      </c>
      <c r="H80">
        <v>121.65599999999712</v>
      </c>
      <c r="I80" s="10">
        <v>1.2409999999999612</v>
      </c>
      <c r="K80" s="10">
        <v>1.1680000000000101</v>
      </c>
      <c r="N80">
        <v>115.5000000000004</v>
      </c>
      <c r="Q80" s="10">
        <v>1.1819999999999902</v>
      </c>
      <c r="R80" s="10">
        <v>2.8729999999999558</v>
      </c>
      <c r="T80" s="10">
        <v>2.1289999999999898</v>
      </c>
      <c r="U80" s="10">
        <v>1.1849999999999887E-2</v>
      </c>
      <c r="V80" s="10">
        <v>1.1680000000000101</v>
      </c>
      <c r="W80" s="10">
        <v>3.8065000000000286E-2</v>
      </c>
      <c r="X80" s="10">
        <v>1.0214999999991479</v>
      </c>
      <c r="Z80" s="10">
        <v>2.6799999999808786</v>
      </c>
      <c r="AA80" s="10">
        <v>0.97800000000001686</v>
      </c>
      <c r="AB80" s="10">
        <v>3.4050000000002614</v>
      </c>
      <c r="AC80" s="10">
        <v>0.92100000000006288</v>
      </c>
      <c r="AE80" s="10">
        <v>0.88290000000012669</v>
      </c>
      <c r="AH80" s="10">
        <v>0.81082348565365225</v>
      </c>
      <c r="AI80" s="10">
        <v>0.62503469713064663</v>
      </c>
      <c r="AJ80" s="10">
        <v>0.62549999999999739</v>
      </c>
      <c r="AK80" s="10">
        <v>0.78323767268862621</v>
      </c>
      <c r="AL80" s="10">
        <v>0.73311790648106057</v>
      </c>
      <c r="AM80" s="10">
        <v>0.91638076514347799</v>
      </c>
      <c r="AN80" s="10">
        <v>0.99774229542930781</v>
      </c>
      <c r="AO80" s="10">
        <v>0.94323538788534189</v>
      </c>
      <c r="AP80" s="10"/>
      <c r="AQ80" s="10">
        <v>0.63706609989371876</v>
      </c>
      <c r="AR80" s="10">
        <v>0.63912672688627137</v>
      </c>
      <c r="AS80" s="10">
        <v>0.81095642933038281</v>
      </c>
      <c r="AT80" s="10">
        <v>0.85083953241238353</v>
      </c>
      <c r="AU80" s="10">
        <v>0.75576649309213684</v>
      </c>
      <c r="AW80" s="10">
        <v>0.83454541976630114</v>
      </c>
      <c r="AX80" s="10">
        <v>0.64332108395317389</v>
      </c>
      <c r="AY80" s="10">
        <v>0.64379999999999726</v>
      </c>
      <c r="AZ80" s="10">
        <v>0.80615253985121915</v>
      </c>
      <c r="BA80" s="10">
        <v>0.75456643995604589</v>
      </c>
      <c r="BB80" s="10">
        <v>0.94319094580235197</v>
      </c>
      <c r="BC80" s="10">
        <v>1.0269328374058966</v>
      </c>
      <c r="BD80" s="10">
        <v>0.97083124335824644</v>
      </c>
      <c r="BE80" s="10">
        <v>0.65570448459084929</v>
      </c>
      <c r="BF80" s="10">
        <v>0.65782539851220068</v>
      </c>
      <c r="BG80" s="10">
        <v>0.83468225292230291</v>
      </c>
      <c r="BH80" s="10"/>
      <c r="BI80" s="10">
        <v>0.87573219978751793</v>
      </c>
      <c r="BJ80" s="10">
        <v>0.77885902231635673</v>
      </c>
    </row>
    <row r="81" spans="1:62" x14ac:dyDescent="0.3">
      <c r="A81" s="8">
        <v>46191</v>
      </c>
      <c r="B81" s="10">
        <v>1.2519000000000005</v>
      </c>
      <c r="C81" s="8"/>
      <c r="D81" s="10">
        <v>1.1798899999999848</v>
      </c>
      <c r="E81">
        <v>141.9799999999982</v>
      </c>
      <c r="G81" s="10">
        <v>1.2885000000000004</v>
      </c>
      <c r="H81">
        <v>121.74999999999589</v>
      </c>
      <c r="I81" s="10">
        <v>1.2400000000000091</v>
      </c>
      <c r="K81" s="10">
        <v>1.1600000000000243</v>
      </c>
      <c r="N81">
        <v>115.8499999999955</v>
      </c>
      <c r="Q81" s="10">
        <v>1.183500000000018</v>
      </c>
      <c r="R81" s="10">
        <v>2.8700000000000498</v>
      </c>
      <c r="T81" s="10">
        <v>2.1310000000000882</v>
      </c>
      <c r="U81" s="10">
        <v>1.1890000000000815E-2</v>
      </c>
      <c r="V81" s="10">
        <v>1.1600000000000243</v>
      </c>
      <c r="W81" s="10">
        <v>3.8024999999995701E-2</v>
      </c>
      <c r="X81" s="10">
        <v>1.0209999999989099</v>
      </c>
      <c r="Z81" s="10">
        <v>2.6724999999719539</v>
      </c>
      <c r="AA81" s="10">
        <v>0.97000000000006292</v>
      </c>
      <c r="AB81" s="10">
        <v>3.4059999999995596</v>
      </c>
      <c r="AC81" s="10">
        <v>0.9220000000000137</v>
      </c>
      <c r="AE81" s="10">
        <v>0.88499999999998058</v>
      </c>
      <c r="AH81" s="10">
        <v>0.81547254839753436</v>
      </c>
      <c r="AI81" s="10">
        <v>0.6264263725801682</v>
      </c>
      <c r="AJ81" s="10">
        <v>0.62550000000002337</v>
      </c>
      <c r="AK81" s="10">
        <v>0.78907092986355554</v>
      </c>
      <c r="AL81" s="10">
        <v>0.74076721675553503</v>
      </c>
      <c r="AM81" s="10">
        <v>0.92154220882265581</v>
      </c>
      <c r="AN81" s="10">
        <v>0.99737242145353278</v>
      </c>
      <c r="AO81" s="10">
        <v>0.94291494763579631</v>
      </c>
      <c r="AP81" s="10"/>
      <c r="AQ81" s="10">
        <v>0.63727816566169393</v>
      </c>
      <c r="AR81" s="10">
        <v>0.63985877499207522</v>
      </c>
      <c r="AS81" s="10">
        <v>0.81659742938767177</v>
      </c>
      <c r="AT81" s="10">
        <v>0.85590209457310351</v>
      </c>
      <c r="AU81" s="10">
        <v>0.76207378609935428</v>
      </c>
      <c r="AW81" s="10">
        <v>0.8393304982547285</v>
      </c>
      <c r="AX81" s="10">
        <v>0.64475347508730996</v>
      </c>
      <c r="AY81" s="10">
        <v>0.64380000000002413</v>
      </c>
      <c r="AZ81" s="10">
        <v>0.81215645826723759</v>
      </c>
      <c r="BA81" s="10">
        <v>0.7624395430011407</v>
      </c>
      <c r="BB81" s="10">
        <v>0.94850339574744336</v>
      </c>
      <c r="BC81" s="10">
        <v>1.0265521421771133</v>
      </c>
      <c r="BD81" s="10">
        <v>0.97050142811818663</v>
      </c>
      <c r="BE81" s="10">
        <v>0.65592275468105288</v>
      </c>
      <c r="BF81" s="10">
        <v>0.65857886385275477</v>
      </c>
      <c r="BG81" s="10">
        <v>0.8404882894321074</v>
      </c>
      <c r="BH81" s="10"/>
      <c r="BI81" s="10">
        <v>0.88094287527764037</v>
      </c>
      <c r="BJ81" s="10">
        <v>0.78436947000921564</v>
      </c>
    </row>
    <row r="82" spans="1:62" x14ac:dyDescent="0.3">
      <c r="A82" s="8">
        <v>46192</v>
      </c>
      <c r="B82" s="10">
        <v>1.2524700000000077</v>
      </c>
      <c r="C82" s="8"/>
      <c r="D82" s="10">
        <v>1.1814999999999976</v>
      </c>
      <c r="E82">
        <v>142.20000000000212</v>
      </c>
      <c r="G82" s="10">
        <v>1.2919999999999319</v>
      </c>
      <c r="H82">
        <v>122.0999999999971</v>
      </c>
      <c r="I82" s="10">
        <v>1.2499999999999445</v>
      </c>
      <c r="K82" s="10">
        <v>1.1599999999999582</v>
      </c>
      <c r="N82">
        <v>115.99999999999871</v>
      </c>
      <c r="Q82" s="10">
        <v>1.1830099999999724</v>
      </c>
      <c r="R82" s="10">
        <v>2.8744999999999532</v>
      </c>
      <c r="T82" s="10">
        <v>2.13250000000003</v>
      </c>
      <c r="U82" s="10">
        <v>1.1819999999999333E-2</v>
      </c>
      <c r="V82" s="10">
        <v>1.1599999999999582</v>
      </c>
      <c r="W82" s="10">
        <v>3.8040000000000386E-2</v>
      </c>
      <c r="X82" s="10">
        <v>1.0199999999986502</v>
      </c>
      <c r="Z82" s="10">
        <v>2.6739999999712483</v>
      </c>
      <c r="AA82" s="10">
        <v>0.97900000000012644</v>
      </c>
      <c r="AB82" s="10">
        <v>3.4095000000004005</v>
      </c>
      <c r="AC82" s="10">
        <v>0.92300000000000293</v>
      </c>
      <c r="AE82" s="10">
        <v>0.88499999999991308</v>
      </c>
      <c r="AH82" s="10">
        <v>0.81652406726215987</v>
      </c>
      <c r="AI82" s="10">
        <v>0.6297921702574808</v>
      </c>
      <c r="AJ82" s="10">
        <v>0.62649999999992922</v>
      </c>
      <c r="AK82" s="10">
        <v>0.79012086179725105</v>
      </c>
      <c r="AL82" s="10">
        <v>0.74080415133910482</v>
      </c>
      <c r="AM82" s="10">
        <v>0.92496815554387468</v>
      </c>
      <c r="AN82" s="10">
        <v>1.0013465055176491</v>
      </c>
      <c r="AO82" s="10">
        <v>0.9447211770889099</v>
      </c>
      <c r="AP82" s="10"/>
      <c r="AQ82" s="10">
        <v>0.64329006831322144</v>
      </c>
      <c r="AR82" s="10">
        <v>0.63947115081453321</v>
      </c>
      <c r="AS82" s="10">
        <v>0.81645822385721278</v>
      </c>
      <c r="AT82" s="10">
        <v>0.85365974776672715</v>
      </c>
      <c r="AU82" s="10">
        <v>0.75970120861781554</v>
      </c>
      <c r="AW82" s="10">
        <v>0.83959266421433909</v>
      </c>
      <c r="AX82" s="10">
        <v>0.64758518129268827</v>
      </c>
      <c r="AY82" s="10">
        <v>0.64419999999992728</v>
      </c>
      <c r="AZ82" s="10">
        <v>0.81244351024706973</v>
      </c>
      <c r="BA82" s="10">
        <v>0.76173349448148653</v>
      </c>
      <c r="BB82" s="10">
        <v>0.9511005359957927</v>
      </c>
      <c r="BC82" s="10">
        <v>1.0296367419863841</v>
      </c>
      <c r="BD82" s="10">
        <v>0.97141162375207624</v>
      </c>
      <c r="BE82" s="10">
        <v>0.6614644245927811</v>
      </c>
      <c r="BF82" s="10">
        <v>0.65753761429325197</v>
      </c>
      <c r="BG82" s="10">
        <v>0.83952496058869353</v>
      </c>
      <c r="BH82" s="10"/>
      <c r="BI82" s="10">
        <v>0.87777750919605058</v>
      </c>
      <c r="BJ82" s="10">
        <v>0.78116443510230937</v>
      </c>
    </row>
    <row r="83" spans="1:62" x14ac:dyDescent="0.3">
      <c r="A83" s="8">
        <v>46195</v>
      </c>
      <c r="B83" s="10">
        <v>1.2529999999999974</v>
      </c>
      <c r="C83" s="8"/>
      <c r="D83" s="10">
        <v>1.1820000000000173</v>
      </c>
      <c r="E83">
        <v>141.9000000000014</v>
      </c>
      <c r="G83" s="10">
        <v>1.2920000000000176</v>
      </c>
      <c r="H83">
        <v>122.21000000000063</v>
      </c>
      <c r="I83" s="10">
        <v>1.2499999999999964</v>
      </c>
      <c r="K83" s="10">
        <v>1.1650000000000262</v>
      </c>
      <c r="N83">
        <v>115.89999999999915</v>
      </c>
      <c r="Q83" s="10">
        <v>1.1850000000000214</v>
      </c>
      <c r="R83" s="10">
        <v>2.8750000000000346</v>
      </c>
      <c r="T83" s="10">
        <v>2.1339999999999573</v>
      </c>
      <c r="U83" s="10">
        <v>1.1900000000000242E-2</v>
      </c>
      <c r="V83" s="10">
        <v>1.1650000000000262</v>
      </c>
      <c r="W83" s="10">
        <v>3.8054999999997466E-2</v>
      </c>
      <c r="X83" s="10">
        <v>1.0204999999983138</v>
      </c>
      <c r="Z83" s="10">
        <v>2.6749999999639651</v>
      </c>
      <c r="AA83" s="10">
        <v>0.96610000000000273</v>
      </c>
      <c r="AB83" s="10">
        <v>3.3999999999999901</v>
      </c>
      <c r="AC83" s="10">
        <v>0.92250000000004007</v>
      </c>
      <c r="AE83" s="10">
        <v>0.88999999999995505</v>
      </c>
      <c r="AH83" s="10">
        <v>0.81680344827580909</v>
      </c>
      <c r="AI83" s="10">
        <v>0.6273931034482968</v>
      </c>
      <c r="AJ83" s="10">
        <v>0.6270000000000141</v>
      </c>
      <c r="AK83" s="10">
        <v>0.79144827586202426</v>
      </c>
      <c r="AL83" s="10">
        <v>0.7430310344817771</v>
      </c>
      <c r="AM83" s="10">
        <v>0.92510344827591184</v>
      </c>
      <c r="AN83" s="10">
        <v>0.99979310344830297</v>
      </c>
      <c r="AO83" s="10">
        <v>0.94272758620686536</v>
      </c>
      <c r="AP83" s="10"/>
      <c r="AQ83" s="10">
        <v>0.64244474647153216</v>
      </c>
      <c r="AR83" s="10">
        <v>0.6401034482758492</v>
      </c>
      <c r="AS83" s="10">
        <v>0.81765517241375152</v>
      </c>
      <c r="AT83" s="10">
        <v>0.85545862068950995</v>
      </c>
      <c r="AU83" s="10">
        <v>0.76301379310316297</v>
      </c>
      <c r="AW83" s="10">
        <v>0.83973126436776147</v>
      </c>
      <c r="AX83" s="10">
        <v>0.64500413793105593</v>
      </c>
      <c r="AY83" s="10">
        <v>0.64460000000001438</v>
      </c>
      <c r="AZ83" s="10">
        <v>0.8136643678160459</v>
      </c>
      <c r="BA83" s="10">
        <v>0.76388804597600224</v>
      </c>
      <c r="BB83" s="10">
        <v>0.95107126436786715</v>
      </c>
      <c r="BC83" s="10">
        <v>1.0278574712643958</v>
      </c>
      <c r="BD83" s="10">
        <v>0.96919011494249641</v>
      </c>
      <c r="BE83" s="10">
        <v>0.66182885520127666</v>
      </c>
      <c r="BF83" s="10">
        <v>0.65807126436780261</v>
      </c>
      <c r="BG83" s="10">
        <v>0.84060689655168119</v>
      </c>
      <c r="BH83" s="10"/>
      <c r="BI83" s="10">
        <v>0.8794714942527242</v>
      </c>
      <c r="BJ83" s="10">
        <v>0.78443172413763762</v>
      </c>
    </row>
    <row r="84" spans="1:62" x14ac:dyDescent="0.3">
      <c r="A84" s="8">
        <v>46196</v>
      </c>
      <c r="B84" s="10">
        <v>1.2455600000000018</v>
      </c>
      <c r="C84" s="8"/>
      <c r="D84" s="10">
        <v>1.1750000000000003</v>
      </c>
      <c r="E84">
        <v>141.51899999999259</v>
      </c>
      <c r="G84" s="10">
        <v>1.286500000000089</v>
      </c>
      <c r="H84">
        <v>121.49999999999996</v>
      </c>
      <c r="I84" s="10">
        <v>1.245200000000007</v>
      </c>
      <c r="K84" s="10">
        <v>1.1600000000000272</v>
      </c>
      <c r="N84">
        <v>115.79999999999939</v>
      </c>
      <c r="Q84" s="10">
        <v>1.1839999999999786</v>
      </c>
      <c r="R84" s="10">
        <v>2.8720000000000208</v>
      </c>
      <c r="T84" s="10">
        <v>2.1239999999999735</v>
      </c>
      <c r="U84" s="10">
        <v>1.1844999999999828E-2</v>
      </c>
      <c r="V84" s="10">
        <v>1.1600000000000272</v>
      </c>
      <c r="W84" s="10">
        <v>3.7839999999999971E-2</v>
      </c>
      <c r="X84" s="10">
        <v>1.0199999999979668</v>
      </c>
      <c r="Z84" s="10">
        <v>2.6660000000001109</v>
      </c>
      <c r="AA84" s="10">
        <v>0.97900000000003429</v>
      </c>
      <c r="AB84" s="10">
        <v>3.3855000000001394</v>
      </c>
      <c r="AC84" s="10">
        <v>0.9166000000000325</v>
      </c>
      <c r="AE84" s="10">
        <v>0.88299999999999368</v>
      </c>
      <c r="AH84" s="10">
        <v>0.81443298969068989</v>
      </c>
      <c r="AI84" s="10">
        <v>0.63046595218464174</v>
      </c>
      <c r="AJ84" s="10">
        <v>0.62499999999994493</v>
      </c>
      <c r="AK84" s="10">
        <v>0.78775773195887955</v>
      </c>
      <c r="AL84" s="10">
        <v>0.73840206185430046</v>
      </c>
      <c r="AM84" s="10">
        <v>0.92609536082471355</v>
      </c>
      <c r="AN84" s="10">
        <v>0.99806701030923561</v>
      </c>
      <c r="AO84" s="10">
        <v>0.94329896907206034</v>
      </c>
      <c r="AP84" s="10"/>
      <c r="AQ84" s="10">
        <v>0.64071477776632746</v>
      </c>
      <c r="AR84" s="10">
        <v>0.63994845360827246</v>
      </c>
      <c r="AS84" s="10">
        <v>0.81636597938151123</v>
      </c>
      <c r="AT84" s="10">
        <v>0.85283505154627504</v>
      </c>
      <c r="AU84" s="10">
        <v>0.75953608247381565</v>
      </c>
      <c r="AW84" s="10">
        <v>0.83893113402058572</v>
      </c>
      <c r="AX84" s="10">
        <v>0.64973915910962032</v>
      </c>
      <c r="AY84" s="10">
        <v>0.64379999999994331</v>
      </c>
      <c r="AZ84" s="10">
        <v>0.81145348453620258</v>
      </c>
      <c r="BA84" s="10">
        <v>0.76061319587487786</v>
      </c>
      <c r="BB84" s="10">
        <v>0.95395230927832086</v>
      </c>
      <c r="BC84" s="10">
        <v>1.0280888659793375</v>
      </c>
      <c r="BD84" s="10">
        <v>0.9716734020617479</v>
      </c>
      <c r="BE84" s="10">
        <v>0.66040383623802001</v>
      </c>
      <c r="BF84" s="10">
        <v>0.65919810309280924</v>
      </c>
      <c r="BG84" s="10">
        <v>0.84092226804130699</v>
      </c>
      <c r="BH84" s="10"/>
      <c r="BI84" s="10">
        <v>0.87848832989678693</v>
      </c>
      <c r="BJ84" s="10">
        <v>0.78238292783462793</v>
      </c>
    </row>
    <row r="85" spans="1:62" x14ac:dyDescent="0.3">
      <c r="A85" s="8">
        <v>46197</v>
      </c>
      <c r="B85" s="10">
        <v>1.2460100000000016</v>
      </c>
      <c r="C85" s="8"/>
      <c r="D85" s="10">
        <v>1.1784699999999635</v>
      </c>
      <c r="E85">
        <v>141.34999999999647</v>
      </c>
      <c r="G85" s="10">
        <v>1.2860000000000162</v>
      </c>
      <c r="H85">
        <v>121.52400000000232</v>
      </c>
      <c r="I85" s="10">
        <v>1.2446900000000436</v>
      </c>
      <c r="K85" s="10">
        <v>1.157499999999964</v>
      </c>
      <c r="N85">
        <v>115.85000000000105</v>
      </c>
      <c r="Q85" s="10">
        <v>1.1837999999999966</v>
      </c>
      <c r="R85" s="10">
        <v>2.8734999999999986</v>
      </c>
      <c r="T85" s="10">
        <v>2.1180000000001002</v>
      </c>
      <c r="U85" s="10">
        <v>1.1675000000000008E-2</v>
      </c>
      <c r="V85" s="10">
        <v>1.157499999999964</v>
      </c>
      <c r="W85" s="10">
        <v>3.7659999999995392E-2</v>
      </c>
      <c r="X85" s="10">
        <v>1.0164999999965232</v>
      </c>
      <c r="Z85" s="10">
        <v>2.6600000000001049</v>
      </c>
      <c r="AA85" s="10">
        <v>0.98500000000000587</v>
      </c>
      <c r="AB85" s="10">
        <v>3.3774999999999604</v>
      </c>
      <c r="AC85" s="10">
        <v>0.91600000000001969</v>
      </c>
      <c r="AE85" s="10">
        <v>0.88050000000004847</v>
      </c>
      <c r="AH85" s="10">
        <v>0.8151657927334367</v>
      </c>
      <c r="AI85" s="10">
        <v>0.62918073905861926</v>
      </c>
      <c r="AJ85" s="10">
        <v>0.6238999999999949</v>
      </c>
      <c r="AK85" s="10">
        <v>0.78947048926513441</v>
      </c>
      <c r="AL85" s="10">
        <v>0.74072025185682899</v>
      </c>
      <c r="AM85" s="10">
        <v>0.92103817093303875</v>
      </c>
      <c r="AN85" s="10">
        <v>0.99625650289014034</v>
      </c>
      <c r="AO85" s="10">
        <v>0.9408731420313815</v>
      </c>
      <c r="AP85" s="10"/>
      <c r="AQ85" s="10">
        <v>0.64241153210818736</v>
      </c>
      <c r="AR85" s="10">
        <v>0.63884062758055815</v>
      </c>
      <c r="AS85" s="10">
        <v>0.81716216969466193</v>
      </c>
      <c r="AT85" s="10">
        <v>0.85135817506202049</v>
      </c>
      <c r="AU85" s="10">
        <v>0.75797925268354294</v>
      </c>
      <c r="AW85" s="10">
        <v>0.8406438067714268</v>
      </c>
      <c r="AX85" s="10">
        <v>0.64884578860444875</v>
      </c>
      <c r="AY85" s="10">
        <v>0.64339999999999464</v>
      </c>
      <c r="AZ85" s="10">
        <v>0.81414539636670535</v>
      </c>
      <c r="BA85" s="10">
        <v>0.76387146985844501</v>
      </c>
      <c r="BB85" s="10">
        <v>0.94982522708497696</v>
      </c>
      <c r="BC85" s="10">
        <v>1.0273945086704861</v>
      </c>
      <c r="BD85" s="10">
        <v>0.97028014037985388</v>
      </c>
      <c r="BE85" s="10">
        <v>0.66258014660333475</v>
      </c>
      <c r="BF85" s="10">
        <v>0.65880759702729774</v>
      </c>
      <c r="BG85" s="10">
        <v>0.84270258051217406</v>
      </c>
      <c r="BH85" s="10"/>
      <c r="BI85" s="10">
        <v>0.87796738232874494</v>
      </c>
      <c r="BJ85" s="10">
        <v>0.7816699009081447</v>
      </c>
    </row>
    <row r="86" spans="1:62" x14ac:dyDescent="0.3">
      <c r="A86" s="8">
        <v>46198</v>
      </c>
      <c r="B86" s="10">
        <v>1.2504900000000061</v>
      </c>
      <c r="C86" s="8"/>
      <c r="D86" s="10">
        <v>1.1760000000000139</v>
      </c>
      <c r="E86">
        <v>141.19999999999828</v>
      </c>
      <c r="G86" s="10">
        <v>1.2879999999999736</v>
      </c>
      <c r="H86">
        <v>121.79000000000353</v>
      </c>
      <c r="I86" s="10">
        <v>1.2294999999999572</v>
      </c>
      <c r="K86" s="10">
        <v>1.1540000000000674</v>
      </c>
      <c r="N86">
        <v>115.90000000000144</v>
      </c>
      <c r="Q86" s="10">
        <v>1.1825000000000259</v>
      </c>
      <c r="R86" s="10">
        <v>2.8699999999999513</v>
      </c>
      <c r="T86" s="10">
        <v>2.1140000000000034</v>
      </c>
      <c r="U86" s="10">
        <v>1.1700000000000288E-2</v>
      </c>
      <c r="V86" s="10">
        <v>1.1540000000000674</v>
      </c>
      <c r="W86" s="10">
        <v>3.7559999999994563E-2</v>
      </c>
      <c r="X86" s="10">
        <v>1.013499999994584</v>
      </c>
      <c r="Z86" s="10">
        <v>2.6560000000000348</v>
      </c>
      <c r="AA86" s="10">
        <v>0.9805999999999756</v>
      </c>
      <c r="AB86" s="10">
        <v>3.3649999999997346</v>
      </c>
      <c r="AC86" s="10">
        <v>0.91399999999994463</v>
      </c>
      <c r="AE86" s="10">
        <v>0.87580000000004465</v>
      </c>
      <c r="AH86" s="10">
        <v>0.81711854229216963</v>
      </c>
      <c r="AI86" s="10">
        <v>0.62883163888602489</v>
      </c>
      <c r="AJ86" s="10">
        <v>0.62540000000003526</v>
      </c>
      <c r="AK86" s="10">
        <v>0.7935503054147045</v>
      </c>
      <c r="AL86" s="10">
        <v>0.7420757221235541</v>
      </c>
      <c r="AM86" s="10">
        <v>0.92531228905703211</v>
      </c>
      <c r="AN86" s="10">
        <v>0.99970763018951692</v>
      </c>
      <c r="AO86" s="10">
        <v>0.94143451703073866</v>
      </c>
      <c r="AP86" s="10"/>
      <c r="AQ86" s="10">
        <v>0.64225597184844463</v>
      </c>
      <c r="AR86" s="10">
        <v>0.64229920281600106</v>
      </c>
      <c r="AS86" s="10">
        <v>0.82067967698526223</v>
      </c>
      <c r="AT86" s="10">
        <v>0.8556294038502239</v>
      </c>
      <c r="AU86" s="10">
        <v>0.76273030334408565</v>
      </c>
      <c r="AW86" s="10">
        <v>0.84168174759292569</v>
      </c>
      <c r="AX86" s="10">
        <v>0.64773479656280342</v>
      </c>
      <c r="AY86" s="10">
        <v>0.64420000000003641</v>
      </c>
      <c r="AZ86" s="10">
        <v>0.81740503157683519</v>
      </c>
      <c r="BA86" s="10">
        <v>0.76438308313398406</v>
      </c>
      <c r="BB86" s="10">
        <v>0.9531278807331951</v>
      </c>
      <c r="BC86" s="10">
        <v>1.0297596024433751</v>
      </c>
      <c r="BD86" s="10">
        <v>0.96973475515062657</v>
      </c>
      <c r="BE86" s="10">
        <v>0.66207932105150713</v>
      </c>
      <c r="BF86" s="10">
        <v>0.6616072057148511</v>
      </c>
      <c r="BG86" s="10">
        <v>0.84534993270531811</v>
      </c>
      <c r="BH86" s="10"/>
      <c r="BI86" s="10">
        <v>0.8820385634445137</v>
      </c>
      <c r="BJ86" s="10">
        <v>0.78565855678647267</v>
      </c>
    </row>
    <row r="87" spans="1:62" x14ac:dyDescent="0.3">
      <c r="A87" s="8">
        <v>46199</v>
      </c>
      <c r="B87" s="10">
        <v>1.2505999999999682</v>
      </c>
      <c r="C87" s="8"/>
      <c r="D87" s="10">
        <v>1.1811000000000313</v>
      </c>
      <c r="E87">
        <v>141.60000000000085</v>
      </c>
      <c r="G87" s="10">
        <v>1.2909999999999757</v>
      </c>
      <c r="H87">
        <v>122.80000000000007</v>
      </c>
      <c r="I87" s="10">
        <v>1.2249999999999914</v>
      </c>
      <c r="K87" s="10">
        <v>1.1580000000000199</v>
      </c>
      <c r="N87">
        <v>116.19999999999844</v>
      </c>
      <c r="Q87" s="10">
        <v>1.1854999999999942</v>
      </c>
      <c r="R87" s="10">
        <v>2.8749999999999964</v>
      </c>
      <c r="T87" s="10">
        <v>2.1250000000000626</v>
      </c>
      <c r="U87" s="10">
        <v>1.1665000000000253E-2</v>
      </c>
      <c r="V87" s="10">
        <v>1.1580000000000199</v>
      </c>
      <c r="W87" s="10">
        <v>3.7524999999993189E-2</v>
      </c>
      <c r="X87" s="10">
        <v>1.0159999999955038</v>
      </c>
      <c r="Z87" s="10">
        <v>2.6675000000001008</v>
      </c>
      <c r="AA87" s="10">
        <v>0.97220000000006379</v>
      </c>
      <c r="AB87" s="10">
        <v>3.3785000000001033</v>
      </c>
      <c r="AC87" s="10">
        <v>0.91899999999999127</v>
      </c>
      <c r="AE87" s="10">
        <v>0.89150000000002816</v>
      </c>
      <c r="AH87" s="10">
        <v>0.81897231567995776</v>
      </c>
      <c r="AI87" s="10">
        <v>0.63066633437180775</v>
      </c>
      <c r="AJ87" s="10">
        <v>0.62379999999997782</v>
      </c>
      <c r="AK87" s="10">
        <v>0.79545835929417241</v>
      </c>
      <c r="AL87" s="10">
        <v>0.74493250259500809</v>
      </c>
      <c r="AM87" s="10">
        <v>0.9263073727932738</v>
      </c>
      <c r="AN87" s="10">
        <v>0.99833910695745087</v>
      </c>
      <c r="AO87" s="10">
        <v>0.95215329179644459</v>
      </c>
      <c r="AP87" s="10"/>
      <c r="AQ87" s="10">
        <v>0.64161360332297479</v>
      </c>
      <c r="AR87" s="10">
        <v>0.63979985462100375</v>
      </c>
      <c r="AS87" s="10">
        <v>0.82072128764273444</v>
      </c>
      <c r="AT87" s="10">
        <v>0.85796791277264495</v>
      </c>
      <c r="AU87" s="10">
        <v>0.76501329179606059</v>
      </c>
      <c r="AW87" s="10">
        <v>0.84326052959480091</v>
      </c>
      <c r="AX87" s="10">
        <v>0.6493699688474065</v>
      </c>
      <c r="AY87" s="10">
        <v>0.64229999999997711</v>
      </c>
      <c r="AZ87" s="10">
        <v>0.8190492211841085</v>
      </c>
      <c r="BA87" s="10">
        <v>0.76702492211730311</v>
      </c>
      <c r="BB87" s="10">
        <v>0.95377881619929417</v>
      </c>
      <c r="BC87" s="10">
        <v>1.0279467912772855</v>
      </c>
      <c r="BD87" s="10">
        <v>0.98039124610589345</v>
      </c>
      <c r="BE87" s="10">
        <v>0.66064190031155279</v>
      </c>
      <c r="BF87" s="10">
        <v>0.65877436137074497</v>
      </c>
      <c r="BG87" s="10">
        <v>0.84506137071646092</v>
      </c>
      <c r="BH87" s="10"/>
      <c r="BI87" s="10">
        <v>0.88341261682249095</v>
      </c>
      <c r="BJ87" s="10">
        <v>0.78770124610549819</v>
      </c>
    </row>
    <row r="88" spans="1:62" x14ac:dyDescent="0.3">
      <c r="A88" s="8">
        <v>46202</v>
      </c>
      <c r="B88" s="10">
        <v>1.2550199999999838</v>
      </c>
      <c r="C88" s="8"/>
      <c r="D88" s="10">
        <v>1.1855500000000281</v>
      </c>
      <c r="E88">
        <v>142.25000000000114</v>
      </c>
      <c r="G88" s="10">
        <v>1.2983899999999551</v>
      </c>
      <c r="H88">
        <v>122.85000000000015</v>
      </c>
      <c r="I88" s="10">
        <v>1.2374999999999325</v>
      </c>
      <c r="K88" s="10">
        <v>1.1645000000000396</v>
      </c>
      <c r="N88">
        <v>116.19999999999891</v>
      </c>
      <c r="Q88" s="10">
        <v>1.1876999999999795</v>
      </c>
      <c r="R88" s="10">
        <v>2.8819999999999606</v>
      </c>
      <c r="T88" s="10">
        <v>2.1275000000000284</v>
      </c>
      <c r="U88" s="10">
        <v>1.1750000000000045E-2</v>
      </c>
      <c r="V88" s="10">
        <v>1.1645000000000396</v>
      </c>
      <c r="W88" s="10">
        <v>3.770999999999429E-2</v>
      </c>
      <c r="X88" s="10">
        <v>1.0189999999953432</v>
      </c>
      <c r="Z88" s="10">
        <v>2.6649999999998717</v>
      </c>
      <c r="AA88" s="10">
        <v>0.95950000000005586</v>
      </c>
      <c r="AB88" s="10">
        <v>3.3820000000001635</v>
      </c>
      <c r="AC88" s="10">
        <v>0.91749999999984455</v>
      </c>
      <c r="AE88" s="10">
        <v>0.88239999999987528</v>
      </c>
      <c r="AH88" s="10">
        <v>0.81711701338814191</v>
      </c>
      <c r="AI88" s="10">
        <v>0.63030700308964915</v>
      </c>
      <c r="AJ88" s="10">
        <v>0.62420000000001674</v>
      </c>
      <c r="AK88" s="10">
        <v>0.79204615859942762</v>
      </c>
      <c r="AL88" s="10">
        <v>0.74923285272854701</v>
      </c>
      <c r="AM88" s="10">
        <v>0.92402170957778351</v>
      </c>
      <c r="AN88" s="10">
        <v>0.99222729145202637</v>
      </c>
      <c r="AO88" s="10">
        <v>0.93983563336776532</v>
      </c>
      <c r="AP88" s="10"/>
      <c r="AQ88" s="10">
        <v>0.64127706422013575</v>
      </c>
      <c r="AR88" s="10">
        <v>0.64072105046337635</v>
      </c>
      <c r="AS88" s="10">
        <v>0.82161691040165064</v>
      </c>
      <c r="AT88" s="10">
        <v>0.85813036045341973</v>
      </c>
      <c r="AU88" s="10">
        <v>0.76646102986544273</v>
      </c>
      <c r="AW88" s="10">
        <v>0.84185830072078516</v>
      </c>
      <c r="AX88" s="10">
        <v>0.6493919155510306</v>
      </c>
      <c r="AY88" s="10">
        <v>0.64310000000001732</v>
      </c>
      <c r="AZ88" s="10">
        <v>0.81602833161693678</v>
      </c>
      <c r="BA88" s="10">
        <v>0.77191869206941466</v>
      </c>
      <c r="BB88" s="10">
        <v>0.95199993820806239</v>
      </c>
      <c r="BC88" s="10">
        <v>1.0222707003088725</v>
      </c>
      <c r="BD88" s="10">
        <v>0.96829268795067269</v>
      </c>
      <c r="BE88" s="10">
        <v>0.66090275229352868</v>
      </c>
      <c r="BF88" s="10">
        <v>0.66012128733258146</v>
      </c>
      <c r="BG88" s="10">
        <v>0.84649444902163007</v>
      </c>
      <c r="BH88" s="10"/>
      <c r="BI88" s="10">
        <v>0.88411348094776399</v>
      </c>
      <c r="BJ88" s="10">
        <v>0.78966851699209595</v>
      </c>
    </row>
    <row r="89" spans="1:62" x14ac:dyDescent="0.3">
      <c r="A89" s="8">
        <v>46203</v>
      </c>
      <c r="B89" s="10">
        <v>1.2570000000000041</v>
      </c>
      <c r="C89" s="10">
        <v>1.0064499999999996</v>
      </c>
      <c r="D89" s="10">
        <v>1.1890000000000192</v>
      </c>
      <c r="E89">
        <v>142.84000000000216</v>
      </c>
      <c r="G89" s="10">
        <v>1.3018899999999989</v>
      </c>
      <c r="H89">
        <v>123.05999999999922</v>
      </c>
      <c r="I89" s="10">
        <v>1.2564499999999315</v>
      </c>
      <c r="K89" s="10">
        <v>1.1629999999999696</v>
      </c>
      <c r="N89">
        <v>116.49999999999818</v>
      </c>
      <c r="O89">
        <v>101.69999999999537</v>
      </c>
      <c r="Q89" s="10">
        <v>1.1890000000000207</v>
      </c>
      <c r="R89" s="10">
        <v>2.8850000000000522</v>
      </c>
      <c r="T89" s="10">
        <v>2.1285000000000052</v>
      </c>
      <c r="U89" s="10">
        <v>1.1815000000000041E-2</v>
      </c>
      <c r="V89" s="10">
        <v>1.1629999999999696</v>
      </c>
      <c r="W89" s="10">
        <v>3.7769999999996383E-2</v>
      </c>
      <c r="X89" s="10">
        <v>1.0199999999955669</v>
      </c>
      <c r="Y89" s="10">
        <v>0.9219999999999855</v>
      </c>
      <c r="Z89" s="10">
        <v>2.6700000000002753</v>
      </c>
      <c r="AA89" s="10">
        <v>0.95599999999999807</v>
      </c>
      <c r="AB89" s="10">
        <v>3.377000000000383</v>
      </c>
      <c r="AC89" s="10">
        <v>0.91950000000003063</v>
      </c>
      <c r="AD89" s="10">
        <v>0.81929999999999614</v>
      </c>
      <c r="AE89" s="10">
        <v>0.87979999999992531</v>
      </c>
      <c r="AH89" s="10">
        <v>0.81349051768320524</v>
      </c>
      <c r="AI89" s="10">
        <v>0.62795087647364556</v>
      </c>
      <c r="AJ89" s="10">
        <v>0.62240000000006201</v>
      </c>
      <c r="AK89" s="10">
        <v>0.78548092260350577</v>
      </c>
      <c r="AL89" s="10">
        <v>0.74975114300265711</v>
      </c>
      <c r="AM89" s="10">
        <v>0.92578411071263655</v>
      </c>
      <c r="AN89" s="10">
        <v>0.99526577139924388</v>
      </c>
      <c r="AO89" s="10">
        <v>0.93529078421317291</v>
      </c>
      <c r="AP89" s="10"/>
      <c r="AQ89" s="10">
        <v>0.64345504869303971</v>
      </c>
      <c r="AR89" s="10">
        <v>0.63771276268587263</v>
      </c>
      <c r="AS89" s="10">
        <v>0.81884998462317427</v>
      </c>
      <c r="AT89" s="10">
        <v>0.86006683751925894</v>
      </c>
      <c r="AU89" s="10">
        <v>0.76436207073296769</v>
      </c>
      <c r="AW89" s="10">
        <v>0.83806253203481873</v>
      </c>
      <c r="AX89" s="10">
        <v>0.64691854433628138</v>
      </c>
      <c r="AY89" s="10">
        <v>0.64120000000006383</v>
      </c>
      <c r="AZ89" s="10">
        <v>0.80920688877469127</v>
      </c>
      <c r="BA89" s="10">
        <v>0.7723978677591643</v>
      </c>
      <c r="BB89" s="10">
        <v>0.95374802665318559</v>
      </c>
      <c r="BC89" s="10">
        <v>1.0253284264479356</v>
      </c>
      <c r="BD89" s="10">
        <v>0.96354185545868665</v>
      </c>
      <c r="BE89" s="10">
        <v>0.66289103024096574</v>
      </c>
      <c r="BF89" s="10">
        <v>0.65697529472072869</v>
      </c>
      <c r="BG89" s="10">
        <v>0.84358388518698491</v>
      </c>
      <c r="BH89" s="10"/>
      <c r="BI89" s="10">
        <v>0.8860457201435552</v>
      </c>
      <c r="BJ89" s="10">
        <v>0.78745012813942639</v>
      </c>
    </row>
    <row r="90" spans="1:62" x14ac:dyDescent="0.3">
      <c r="A90" s="8">
        <v>46204</v>
      </c>
      <c r="B90" s="10">
        <v>1.2580000000000116</v>
      </c>
      <c r="C90" s="10">
        <v>1.0078999999999911</v>
      </c>
      <c r="D90" s="10">
        <v>1.1880000000000264</v>
      </c>
      <c r="E90">
        <v>143.00000000000205</v>
      </c>
      <c r="G90" s="10">
        <v>1.3029000000000499</v>
      </c>
      <c r="H90">
        <v>123.69999999999912</v>
      </c>
      <c r="I90" s="10">
        <v>1.248000000000012</v>
      </c>
      <c r="K90" s="10">
        <v>1.1630000000000142</v>
      </c>
      <c r="N90">
        <v>116.14999999999726</v>
      </c>
      <c r="O90">
        <v>101.59999999998949</v>
      </c>
      <c r="Q90" s="10">
        <v>1.1889999999999905</v>
      </c>
      <c r="R90" s="10">
        <v>2.8864999999999661</v>
      </c>
      <c r="T90" s="10">
        <v>2.1290000000000497</v>
      </c>
      <c r="U90" s="10">
        <v>1.1785000000000299E-2</v>
      </c>
      <c r="V90" s="10">
        <v>1.1630000000000142</v>
      </c>
      <c r="W90" s="10">
        <v>3.7699999999995494E-2</v>
      </c>
      <c r="X90" s="10">
        <v>1.0199999999950979</v>
      </c>
      <c r="Y90" s="10">
        <v>0.92349999999996124</v>
      </c>
      <c r="Z90" s="10">
        <v>2.6659999999997073</v>
      </c>
      <c r="AA90" s="10">
        <v>0.95749999999991953</v>
      </c>
      <c r="AB90" s="10">
        <v>3.3800000000000519</v>
      </c>
      <c r="AC90" s="10">
        <v>0.91759999999996911</v>
      </c>
      <c r="AD90" s="10">
        <v>0.82090000000003482</v>
      </c>
      <c r="AE90" s="10">
        <v>0.88000000000002121</v>
      </c>
      <c r="AH90" s="10">
        <v>0.81640269411990074</v>
      </c>
      <c r="AI90" s="10">
        <v>0.62707068223728879</v>
      </c>
      <c r="AJ90" s="10">
        <v>0.62209999999995358</v>
      </c>
      <c r="AK90" s="10">
        <v>0.78855412825249926</v>
      </c>
      <c r="AL90" s="10">
        <v>0.75235736529346797</v>
      </c>
      <c r="AM90" s="10">
        <v>0.91862031346041506</v>
      </c>
      <c r="AN90" s="10">
        <v>0.9920971931980489</v>
      </c>
      <c r="AO90" s="10">
        <v>0.94022366318383488</v>
      </c>
      <c r="AP90" s="10"/>
      <c r="AQ90" s="10">
        <v>0.64311904371859829</v>
      </c>
      <c r="AR90" s="10">
        <v>0.63662968653968255</v>
      </c>
      <c r="AS90" s="10">
        <v>0.8226479102640224</v>
      </c>
      <c r="AT90" s="10">
        <v>0.86203100799044208</v>
      </c>
      <c r="AU90" s="10">
        <v>0.76663214505187949</v>
      </c>
      <c r="AW90" s="10">
        <v>0.84225566482262082</v>
      </c>
      <c r="AX90" s="10">
        <v>0.64692808850649741</v>
      </c>
      <c r="AY90" s="10">
        <v>0.6417999999999523</v>
      </c>
      <c r="AZ90" s="10">
        <v>0.81352522024184881</v>
      </c>
      <c r="BA90" s="10">
        <v>0.77618221675831511</v>
      </c>
      <c r="BB90" s="10">
        <v>0.94771020282735008</v>
      </c>
      <c r="BC90" s="10">
        <v>1.0235138701085162</v>
      </c>
      <c r="BD90" s="10">
        <v>0.96999766441309321</v>
      </c>
      <c r="BE90" s="10">
        <v>0.66369140984944552</v>
      </c>
      <c r="BF90" s="10">
        <v>0.65678979717275088</v>
      </c>
      <c r="BG90" s="10">
        <v>0.84869864781779403</v>
      </c>
      <c r="BH90" s="10"/>
      <c r="BI90" s="10">
        <v>0.88932888752333372</v>
      </c>
      <c r="BJ90" s="10">
        <v>0.79090903503342924</v>
      </c>
    </row>
    <row r="91" spans="1:62" x14ac:dyDescent="0.3">
      <c r="A91" s="8">
        <v>46205</v>
      </c>
      <c r="B91" s="10">
        <v>1.2579999999999807</v>
      </c>
      <c r="C91" s="10">
        <v>1.0085499999999785</v>
      </c>
      <c r="D91" s="10">
        <v>1.1879999999999871</v>
      </c>
      <c r="E91">
        <v>143.24899999999764</v>
      </c>
      <c r="G91" s="10">
        <v>1.305500000000015</v>
      </c>
      <c r="H91">
        <v>123.44999999999722</v>
      </c>
      <c r="I91" s="10">
        <v>1.2519999999999423</v>
      </c>
      <c r="K91" s="10">
        <v>1.163000000000006</v>
      </c>
      <c r="N91">
        <v>116.20000000000172</v>
      </c>
      <c r="O91">
        <v>101.69999999998738</v>
      </c>
      <c r="Q91" s="10">
        <v>1.1906999999999592</v>
      </c>
      <c r="R91" s="10">
        <v>2.8924999999999415</v>
      </c>
      <c r="T91" s="10">
        <v>2.1309999999999643</v>
      </c>
      <c r="U91" s="10">
        <v>1.1875000000000007E-2</v>
      </c>
      <c r="V91" s="10">
        <v>1.163000000000006</v>
      </c>
      <c r="W91" s="10">
        <v>3.7789999999993489E-2</v>
      </c>
      <c r="X91" s="10">
        <v>1.0219999999957701</v>
      </c>
      <c r="Y91" s="10">
        <v>0.92599999999032934</v>
      </c>
      <c r="Z91" s="10">
        <v>2.6629999999998644</v>
      </c>
      <c r="AA91" s="10">
        <v>0.96200000000008101</v>
      </c>
      <c r="AB91" s="10">
        <v>3.3874999999997324</v>
      </c>
      <c r="AC91" s="10">
        <v>0.92099999999993198</v>
      </c>
      <c r="AD91" s="10">
        <v>0.82199999999995554</v>
      </c>
      <c r="AE91" s="10">
        <v>0.88149999999999229</v>
      </c>
      <c r="AH91" s="10">
        <v>0.82013067777682414</v>
      </c>
      <c r="AI91" s="10">
        <v>0.63282627781730827</v>
      </c>
      <c r="AJ91" s="10">
        <v>0.62419999999996501</v>
      </c>
      <c r="AK91" s="10">
        <v>0.79266613149088994</v>
      </c>
      <c r="AL91" s="10">
        <v>0.76063473224203149</v>
      </c>
      <c r="AM91" s="10">
        <v>0.9226945838837185</v>
      </c>
      <c r="AN91" s="10">
        <v>0.99284651966256665</v>
      </c>
      <c r="AO91" s="10">
        <v>0.9403277105984813</v>
      </c>
      <c r="AP91" s="10"/>
      <c r="AQ91" s="10">
        <v>0.64697083629718066</v>
      </c>
      <c r="AR91" s="10">
        <v>0.64316512549537652</v>
      </c>
      <c r="AS91" s="10">
        <v>0.82552210141265436</v>
      </c>
      <c r="AT91" s="10">
        <v>0.85888549944104664</v>
      </c>
      <c r="AU91" s="10">
        <v>0.77249586424123029</v>
      </c>
      <c r="AW91" s="10">
        <v>0.84522599329354531</v>
      </c>
      <c r="AX91" s="10">
        <v>0.65219023473225635</v>
      </c>
      <c r="AY91" s="10">
        <v>0.6432999999999639</v>
      </c>
      <c r="AZ91" s="10">
        <v>0.81692105477105026</v>
      </c>
      <c r="BA91" s="10">
        <v>0.78390952138945669</v>
      </c>
      <c r="BB91" s="10">
        <v>0.95092826948477438</v>
      </c>
      <c r="BC91" s="10">
        <v>1.0232267960572399</v>
      </c>
      <c r="BD91" s="10">
        <v>0.96910095518744466</v>
      </c>
      <c r="BE91" s="10">
        <v>0.66676760491825759</v>
      </c>
      <c r="BF91" s="10">
        <v>0.66284544253632771</v>
      </c>
      <c r="BG91" s="10">
        <v>0.85078239000121836</v>
      </c>
      <c r="BH91" s="10"/>
      <c r="BI91" s="10">
        <v>0.88516668021535627</v>
      </c>
      <c r="BJ91" s="10">
        <v>0.79613359414672136</v>
      </c>
    </row>
    <row r="92" spans="1:62" x14ac:dyDescent="0.3">
      <c r="A92" s="8">
        <v>46206</v>
      </c>
      <c r="B92" s="10">
        <v>1.2606000000000146</v>
      </c>
      <c r="C92" s="10">
        <v>1.012290000000021</v>
      </c>
      <c r="D92" s="10">
        <v>1.1904999999999952</v>
      </c>
      <c r="E92">
        <v>143.99999999999963</v>
      </c>
      <c r="G92" s="10">
        <v>1.3100000000000049</v>
      </c>
      <c r="H92">
        <v>123.609999999994</v>
      </c>
      <c r="I92" s="10">
        <v>1.2560000000000466</v>
      </c>
      <c r="K92" s="10">
        <v>1.1649999999999661</v>
      </c>
      <c r="N92">
        <v>116.54999999999748</v>
      </c>
      <c r="O92">
        <v>102.29999999999512</v>
      </c>
      <c r="Q92" s="10">
        <v>1.1941200000000296</v>
      </c>
      <c r="R92" s="10">
        <v>2.899500000000097</v>
      </c>
      <c r="T92" s="10">
        <v>2.1400000000000134</v>
      </c>
      <c r="U92" s="10">
        <v>1.1845000000000234E-2</v>
      </c>
      <c r="V92" s="10">
        <v>1.1649999999999661</v>
      </c>
      <c r="W92" s="10">
        <v>3.8045000000000079E-2</v>
      </c>
      <c r="X92" s="10">
        <v>1.0279999999973501</v>
      </c>
      <c r="Y92" s="10">
        <v>0.93099999999321892</v>
      </c>
      <c r="Z92" s="10">
        <v>2.6749999999999097</v>
      </c>
      <c r="AA92" s="10">
        <v>0.96499999999999686</v>
      </c>
      <c r="AB92" s="10">
        <v>3.4099999999997719</v>
      </c>
      <c r="AC92" s="10">
        <v>0.92599999999999694</v>
      </c>
      <c r="AD92" s="10">
        <v>0.82650000000001145</v>
      </c>
      <c r="AE92" s="10">
        <v>0.88239999999999286</v>
      </c>
      <c r="AH92" s="10">
        <v>0.82354665919723591</v>
      </c>
      <c r="AI92" s="10">
        <v>0.63011916887348995</v>
      </c>
      <c r="AJ92" s="10">
        <v>0.62489999999996626</v>
      </c>
      <c r="AK92" s="10">
        <v>0.79528676919960006</v>
      </c>
      <c r="AL92" s="10">
        <v>0.76314432674665611</v>
      </c>
      <c r="AM92" s="10">
        <v>0.9323854247298613</v>
      </c>
      <c r="AN92" s="10">
        <v>0.99227856997350949</v>
      </c>
      <c r="AO92" s="10">
        <v>0.94326930128338871</v>
      </c>
      <c r="AP92" s="10"/>
      <c r="AQ92" s="10">
        <v>0.64463100427780518</v>
      </c>
      <c r="AR92" s="10">
        <v>0.64284884905280759</v>
      </c>
      <c r="AS92" s="10">
        <v>0.82838393766576568</v>
      </c>
      <c r="AT92" s="10">
        <v>0.86561825218963806</v>
      </c>
      <c r="AU92" s="10">
        <v>0.77364631289439989</v>
      </c>
      <c r="AW92" s="10">
        <v>0.84871827256044152</v>
      </c>
      <c r="AX92" s="10">
        <v>0.64937869219799582</v>
      </c>
      <c r="AY92" s="10">
        <v>0.64399999999996527</v>
      </c>
      <c r="AZ92" s="10">
        <v>0.81959462212280754</v>
      </c>
      <c r="BA92" s="10">
        <v>0.78646974943966486</v>
      </c>
      <c r="BB92" s="10">
        <v>0.96088368303093408</v>
      </c>
      <c r="BC92" s="10">
        <v>1.0226074556936151</v>
      </c>
      <c r="BD92" s="10">
        <v>0.97210022407825636</v>
      </c>
      <c r="BE92" s="10">
        <v>0.66433408026069218</v>
      </c>
      <c r="BF92" s="10">
        <v>0.66249745365659807</v>
      </c>
      <c r="BG92" s="10">
        <v>0.85370340191511151</v>
      </c>
      <c r="BH92" s="10"/>
      <c r="BI92" s="10">
        <v>0.89207577918087211</v>
      </c>
      <c r="BJ92" s="10">
        <v>0.79729272764281245</v>
      </c>
    </row>
    <row r="93" spans="1:62" x14ac:dyDescent="0.3">
      <c r="A93" s="8">
        <v>46209</v>
      </c>
      <c r="B93" s="10">
        <v>1.2625200000000136</v>
      </c>
      <c r="C93" s="10">
        <v>1.0138500000000277</v>
      </c>
      <c r="D93" s="10">
        <v>1.1909999999999537</v>
      </c>
      <c r="E93">
        <v>143.20000000000056</v>
      </c>
      <c r="G93" s="10">
        <v>1.3119999999999485</v>
      </c>
      <c r="H93">
        <v>123.99900000000123</v>
      </c>
      <c r="I93" s="10">
        <v>1.2590000000000168</v>
      </c>
      <c r="K93" s="10">
        <v>1.1614999999999771</v>
      </c>
      <c r="N93">
        <v>116.60000000000039</v>
      </c>
      <c r="O93">
        <v>102.49999999999355</v>
      </c>
      <c r="Q93" s="10">
        <v>1.1967499999999733</v>
      </c>
      <c r="R93" s="10">
        <v>2.9024999999999057</v>
      </c>
      <c r="T93" s="10">
        <v>2.1440000000000494</v>
      </c>
      <c r="U93" s="10">
        <v>1.1884999999999668E-2</v>
      </c>
      <c r="V93" s="10">
        <v>1.1614999999999771</v>
      </c>
      <c r="W93" s="10">
        <v>3.8280000000001452E-2</v>
      </c>
      <c r="X93" s="10">
        <v>1.0299999999977176</v>
      </c>
      <c r="Y93" s="10">
        <v>0.93299999999415884</v>
      </c>
      <c r="Z93" s="10">
        <v>2.6834999999999387</v>
      </c>
      <c r="AA93" s="10">
        <v>0.96899999999991726</v>
      </c>
      <c r="AB93" s="10">
        <v>3.4244999999999446</v>
      </c>
      <c r="AC93" s="10">
        <v>0.92999999999991556</v>
      </c>
      <c r="AD93" s="10">
        <v>0.83149999999991864</v>
      </c>
      <c r="AE93" s="10">
        <v>0.88549999999985773</v>
      </c>
      <c r="AH93" s="10">
        <v>0.82420410345179096</v>
      </c>
      <c r="AI93" s="10">
        <v>0.63478678342327233</v>
      </c>
      <c r="AJ93" s="10">
        <v>0.62529999999994734</v>
      </c>
      <c r="AK93" s="10">
        <v>0.79389733224711734</v>
      </c>
      <c r="AL93" s="10">
        <v>0.76339955197997977</v>
      </c>
      <c r="AM93" s="10">
        <v>0.92824037267069259</v>
      </c>
      <c r="AN93" s="10">
        <v>0.99420216882195422</v>
      </c>
      <c r="AO93" s="10">
        <v>0.94434880358414064</v>
      </c>
      <c r="AP93" s="10"/>
      <c r="AQ93" s="10">
        <v>0.64626084300547293</v>
      </c>
      <c r="AR93" s="10">
        <v>0.64204512778736766</v>
      </c>
      <c r="AS93" s="10">
        <v>0.82961602688105496</v>
      </c>
      <c r="AT93" s="10">
        <v>0.86749949088688705</v>
      </c>
      <c r="AU93" s="10">
        <v>0.7768975257099372</v>
      </c>
      <c r="AW93" s="10">
        <v>0.84858884024030545</v>
      </c>
      <c r="AX93" s="10">
        <v>0.65356745748904965</v>
      </c>
      <c r="AY93" s="10">
        <v>0.64379999999994586</v>
      </c>
      <c r="AZ93" s="10">
        <v>0.81738541899999062</v>
      </c>
      <c r="BA93" s="10">
        <v>0.78598533754151778</v>
      </c>
      <c r="BB93" s="10">
        <v>0.95570310558994376</v>
      </c>
      <c r="BC93" s="10">
        <v>1.0236164341717162</v>
      </c>
      <c r="BD93" s="10">
        <v>0.9722881172996477</v>
      </c>
      <c r="BE93" s="10">
        <v>0.66589146813273759</v>
      </c>
      <c r="BF93" s="10">
        <v>0.66104054576924254</v>
      </c>
      <c r="BG93" s="10">
        <v>0.85416087974735844</v>
      </c>
      <c r="BH93" s="10"/>
      <c r="BI93" s="10">
        <v>0.89316515629774174</v>
      </c>
      <c r="BJ93" s="10">
        <v>0.79988265960668092</v>
      </c>
    </row>
    <row r="94" spans="1:62" x14ac:dyDescent="0.3">
      <c r="A94" s="8">
        <v>46210</v>
      </c>
      <c r="B94" s="10">
        <v>1.2635000000000172</v>
      </c>
      <c r="C94" s="10">
        <v>1.0143999999999784</v>
      </c>
      <c r="D94" s="10">
        <v>1.1910999999999721</v>
      </c>
      <c r="E94">
        <v>144.1999999999997</v>
      </c>
      <c r="G94" s="10">
        <v>1.313100000000033</v>
      </c>
      <c r="H94">
        <v>124.49999999999707</v>
      </c>
      <c r="I94" s="10">
        <v>1.2650000000000547</v>
      </c>
      <c r="K94" s="10">
        <v>1.1689999999999841</v>
      </c>
      <c r="N94">
        <v>116.64999999999654</v>
      </c>
      <c r="O94">
        <v>102.79999999999593</v>
      </c>
      <c r="Q94" s="10">
        <v>1.1960000000000157</v>
      </c>
      <c r="R94" s="10">
        <v>2.9044999999999681</v>
      </c>
      <c r="T94" s="10">
        <v>2.1469999999999589</v>
      </c>
      <c r="U94" s="10">
        <v>1.1879999999999882E-2</v>
      </c>
      <c r="V94" s="10">
        <v>1.1689999999999841</v>
      </c>
      <c r="W94" s="10">
        <v>3.8329999999999434E-2</v>
      </c>
      <c r="X94" s="10">
        <v>1.0324999999982158</v>
      </c>
      <c r="Y94" s="10">
        <v>0.93439999999475076</v>
      </c>
      <c r="Z94" s="10">
        <v>2.6884999999998302</v>
      </c>
      <c r="AA94" s="10">
        <v>0.9690000000000184</v>
      </c>
      <c r="AB94" s="10">
        <v>3.425000000000257</v>
      </c>
      <c r="AC94" s="10">
        <v>0.93139999999994405</v>
      </c>
      <c r="AD94" s="10">
        <v>0.83150000000007585</v>
      </c>
      <c r="AE94" s="10">
        <v>0.88599999999983892</v>
      </c>
      <c r="AH94" s="10">
        <v>0.82636068237209004</v>
      </c>
      <c r="AI94" s="10">
        <v>0.63566206336312758</v>
      </c>
      <c r="AJ94" s="10">
        <v>0.6260000000000453</v>
      </c>
      <c r="AK94" s="10">
        <v>0.79642099918752196</v>
      </c>
      <c r="AL94" s="10">
        <v>0.76807047116138294</v>
      </c>
      <c r="AM94" s="10">
        <v>0.9310542242079467</v>
      </c>
      <c r="AN94" s="10">
        <v>0.99551035743299332</v>
      </c>
      <c r="AO94" s="10">
        <v>0.94503878960186571</v>
      </c>
      <c r="AP94" s="10"/>
      <c r="AQ94" s="10">
        <v>0.64538769293259657</v>
      </c>
      <c r="AR94" s="10">
        <v>0.6439256701868834</v>
      </c>
      <c r="AS94" s="10">
        <v>0.83081031681565809</v>
      </c>
      <c r="AT94" s="10">
        <v>0.87638728675866828</v>
      </c>
      <c r="AU94" s="10">
        <v>0.77544415109679288</v>
      </c>
      <c r="AW94" s="10">
        <v>0.85012185215275704</v>
      </c>
      <c r="AX94" s="10">
        <v>0.65393988627133237</v>
      </c>
      <c r="AY94" s="10">
        <v>0.64400000000004665</v>
      </c>
      <c r="AZ94" s="10">
        <v>0.81932128350920796</v>
      </c>
      <c r="BA94" s="10">
        <v>0.79015556458135872</v>
      </c>
      <c r="BB94" s="10">
        <v>0.95782575142159376</v>
      </c>
      <c r="BC94" s="10">
        <v>1.0241352558895331</v>
      </c>
      <c r="BD94" s="10">
        <v>0.97221242891949133</v>
      </c>
      <c r="BE94" s="10">
        <v>0.66394516653129754</v>
      </c>
      <c r="BF94" s="10">
        <v>0.66244110479289597</v>
      </c>
      <c r="BG94" s="10">
        <v>0.85469943135668336</v>
      </c>
      <c r="BH94" s="10"/>
      <c r="BI94" s="10">
        <v>0.90158692120220818</v>
      </c>
      <c r="BJ94" s="10">
        <v>0.79774126726251537</v>
      </c>
    </row>
    <row r="95" spans="1:62" x14ac:dyDescent="0.3">
      <c r="A95" s="8">
        <v>46211</v>
      </c>
      <c r="B95" s="10">
        <v>1.2649999999999846</v>
      </c>
      <c r="C95" s="10">
        <v>1.0154999999999981</v>
      </c>
      <c r="D95" s="10">
        <v>1.1954800000000181</v>
      </c>
      <c r="E95">
        <v>143.9999999999992</v>
      </c>
      <c r="G95" s="10">
        <v>1.3150000000000088</v>
      </c>
      <c r="H95">
        <v>124.70100000000406</v>
      </c>
      <c r="I95" s="10">
        <v>1.267500000000092</v>
      </c>
      <c r="K95" s="10">
        <v>1.1689999999999485</v>
      </c>
      <c r="N95">
        <v>117.04999999999713</v>
      </c>
      <c r="O95">
        <v>102.89999999999743</v>
      </c>
      <c r="Q95" s="10">
        <v>1.1994999999999825</v>
      </c>
      <c r="R95" s="10">
        <v>2.9120000000000097</v>
      </c>
      <c r="T95" s="10">
        <v>2.1520000000000112</v>
      </c>
      <c r="U95" s="10">
        <v>1.1800000000000175E-2</v>
      </c>
      <c r="V95" s="10">
        <v>1.1689999999999485</v>
      </c>
      <c r="W95" s="10">
        <v>3.8399999999999886E-2</v>
      </c>
      <c r="X95" s="10">
        <v>1.0324999999980244</v>
      </c>
      <c r="Y95" s="10">
        <v>0.93399999999394967</v>
      </c>
      <c r="Z95" s="10">
        <v>2.6919999999998119</v>
      </c>
      <c r="AA95" s="10">
        <v>0.97200000000005926</v>
      </c>
      <c r="AB95" s="10">
        <v>3.4335000000000262</v>
      </c>
      <c r="AC95" s="10">
        <v>0.93299999999993388</v>
      </c>
      <c r="AD95" s="10">
        <v>0.83549999999998614</v>
      </c>
      <c r="AE95" s="10">
        <v>0.89390000000004877</v>
      </c>
      <c r="AH95" s="10">
        <v>0.80163738317741073</v>
      </c>
      <c r="AI95" s="10">
        <v>0.53281495327102169</v>
      </c>
      <c r="AJ95" s="10">
        <v>0.54399999999999027</v>
      </c>
      <c r="AK95" s="10">
        <v>0.77659813084121299</v>
      </c>
      <c r="AL95" s="10">
        <v>0.7486355140189298</v>
      </c>
      <c r="AM95" s="10">
        <v>0.92562616822410926</v>
      </c>
      <c r="AN95" s="10">
        <v>0.99915514018691742</v>
      </c>
      <c r="AO95" s="10">
        <v>0.94608971962612287</v>
      </c>
      <c r="AP95" s="10"/>
      <c r="AQ95" s="10">
        <v>0.53895111111115201</v>
      </c>
      <c r="AR95" s="10">
        <v>0.55798130841123939</v>
      </c>
      <c r="AS95" s="10">
        <v>0.80519626168241454</v>
      </c>
      <c r="AT95" s="10">
        <v>0.84205607476657196</v>
      </c>
      <c r="AU95" s="10">
        <v>0.75314766355158369</v>
      </c>
      <c r="AW95" s="10">
        <v>0.82462551401852768</v>
      </c>
      <c r="AX95" s="10">
        <v>0.54809420560747002</v>
      </c>
      <c r="AY95" s="10">
        <v>0.55959999999998988</v>
      </c>
      <c r="AZ95" s="10">
        <v>0.79886822429915938</v>
      </c>
      <c r="BA95" s="10">
        <v>0.77010373831800194</v>
      </c>
      <c r="BB95" s="10">
        <v>0.95216985981288871</v>
      </c>
      <c r="BC95" s="10">
        <v>1.0278073831775714</v>
      </c>
      <c r="BD95" s="10">
        <v>0.97322023364481292</v>
      </c>
      <c r="BE95" s="10">
        <v>0.55491929824565611</v>
      </c>
      <c r="BF95" s="10">
        <v>0.57398224299067935</v>
      </c>
      <c r="BG95" s="10">
        <v>0.82828644859830713</v>
      </c>
      <c r="BH95" s="10"/>
      <c r="BI95" s="10">
        <v>0.86620327102826022</v>
      </c>
      <c r="BJ95" s="10">
        <v>0.77474528037401869</v>
      </c>
    </row>
    <row r="96" spans="1:62" x14ac:dyDescent="0.3">
      <c r="A96" s="8">
        <v>46213</v>
      </c>
      <c r="B96" s="10">
        <v>1.2699999999993732</v>
      </c>
      <c r="C96" s="10">
        <v>1.016500000000002</v>
      </c>
      <c r="D96" s="10">
        <v>1.1984999999999846</v>
      </c>
      <c r="E96">
        <v>144.39999999999878</v>
      </c>
      <c r="G96" s="10">
        <v>1.315500000000043</v>
      </c>
      <c r="H96">
        <v>125.99999999999356</v>
      </c>
      <c r="I96" s="10">
        <v>1.2749999999999952</v>
      </c>
      <c r="K96" s="10">
        <v>1.1789999999999943</v>
      </c>
      <c r="N96">
        <v>118.95000000000233</v>
      </c>
      <c r="O96">
        <v>103.99999999999206</v>
      </c>
      <c r="Q96" s="10">
        <v>1.2011199999999851</v>
      </c>
      <c r="R96" s="10">
        <v>2.9055000000000111</v>
      </c>
      <c r="T96" s="10">
        <v>2.1604999999999515</v>
      </c>
      <c r="U96" s="10">
        <v>0</v>
      </c>
      <c r="V96" s="10">
        <v>1.1789999999999943</v>
      </c>
      <c r="W96" s="10">
        <v>3.8379999999999852E-2</v>
      </c>
      <c r="X96" s="10">
        <v>1.0384999999991107</v>
      </c>
      <c r="Y96" s="10">
        <v>0.97650000000004933</v>
      </c>
      <c r="Z96" s="10">
        <v>2.6945000000000126</v>
      </c>
      <c r="AA96" s="10">
        <v>0.98000000000005105</v>
      </c>
      <c r="AB96" s="10">
        <v>3.4324999999998727</v>
      </c>
      <c r="AC96" s="10">
        <v>0.92949999999998834</v>
      </c>
      <c r="AD96" s="10">
        <v>0.8369999999999479</v>
      </c>
      <c r="AE96" s="10">
        <v>0.88859999999997408</v>
      </c>
      <c r="AH96" s="10">
        <v>0.80545250350950326</v>
      </c>
      <c r="AI96" s="10">
        <v>0.53463184370615824</v>
      </c>
      <c r="AJ96" s="10">
        <v>0.54470000000007557</v>
      </c>
      <c r="AK96" s="10">
        <v>0.77588525970998068</v>
      </c>
      <c r="AL96" s="10">
        <v>0.74759246607409224</v>
      </c>
      <c r="AM96" s="10">
        <v>0.92811833177337344</v>
      </c>
      <c r="AN96" s="10">
        <v>0.99719353065043104</v>
      </c>
      <c r="AO96" s="10">
        <v>0.9481909218529978</v>
      </c>
      <c r="AP96" s="10"/>
      <c r="AQ96" s="10">
        <v>0.5480135704097252</v>
      </c>
      <c r="AR96" s="10">
        <v>0.56260602480110566</v>
      </c>
      <c r="AS96" s="10">
        <v>0.80608972859144201</v>
      </c>
      <c r="AT96" s="10">
        <v>0.83871565278432569</v>
      </c>
      <c r="AU96" s="10">
        <v>0.75430604356995223</v>
      </c>
      <c r="AW96" s="10">
        <v>0.82970332241450773</v>
      </c>
      <c r="AX96" s="10">
        <v>0.55072870846984667</v>
      </c>
      <c r="AY96" s="10">
        <v>0.56110000000007798</v>
      </c>
      <c r="AZ96" s="10">
        <v>0.79924585868050346</v>
      </c>
      <c r="BA96" s="10">
        <v>0.77010121665902931</v>
      </c>
      <c r="BB96" s="10">
        <v>0.95606241226003297</v>
      </c>
      <c r="BC96" s="10">
        <v>1.0272173490874923</v>
      </c>
      <c r="BD96" s="10">
        <v>0.97673935423483971</v>
      </c>
      <c r="BE96" s="10">
        <v>0.56451333643638124</v>
      </c>
      <c r="BF96" s="10">
        <v>0.57954514506315491</v>
      </c>
      <c r="BG96" s="10">
        <v>0.83035973327089818</v>
      </c>
      <c r="BH96" s="10"/>
      <c r="BI96" s="10">
        <v>0.86396796911563301</v>
      </c>
      <c r="BJ96" s="10">
        <v>0.77700442726636909</v>
      </c>
    </row>
    <row r="97" spans="1:62" x14ac:dyDescent="0.3">
      <c r="A97" s="8">
        <v>46216</v>
      </c>
      <c r="B97" s="10">
        <v>1.2665000000000095</v>
      </c>
      <c r="C97" s="10">
        <v>1.0155999999999992</v>
      </c>
      <c r="D97" s="10">
        <v>1.1938999999999635</v>
      </c>
      <c r="E97">
        <v>144.31999999999823</v>
      </c>
      <c r="G97" s="10">
        <v>1.3159999999999892</v>
      </c>
      <c r="H97">
        <v>124.50000000000504</v>
      </c>
      <c r="I97" s="10">
        <v>1.2680999999999947</v>
      </c>
      <c r="K97" s="10">
        <v>1.1680000000000168</v>
      </c>
      <c r="N97">
        <v>117.00000000000126</v>
      </c>
      <c r="O97">
        <v>102.8999999999991</v>
      </c>
      <c r="Q97" s="10">
        <v>1.1989999999999967</v>
      </c>
      <c r="R97" s="10">
        <v>2.9129999999999607</v>
      </c>
      <c r="T97" s="10">
        <v>2.153999999999979</v>
      </c>
      <c r="U97" s="10">
        <v>1.190000000000061E-2</v>
      </c>
      <c r="V97" s="10">
        <v>1.1680000000000168</v>
      </c>
      <c r="W97" s="10">
        <v>3.8379999999999442E-2</v>
      </c>
      <c r="X97" s="10">
        <v>1.028999999996713</v>
      </c>
      <c r="Y97" s="10">
        <v>0.93399999999355987</v>
      </c>
      <c r="Z97" s="10">
        <v>2.6840000000000597</v>
      </c>
      <c r="AA97" s="10">
        <v>0.9775000000001165</v>
      </c>
      <c r="AB97" s="10">
        <v>3.4274999999996716</v>
      </c>
      <c r="AC97" s="10">
        <v>0.92799999999983196</v>
      </c>
      <c r="AD97" s="10">
        <v>0.83550000000005842</v>
      </c>
      <c r="AE97" s="10">
        <v>0.89470000000003491</v>
      </c>
      <c r="AH97" s="10">
        <v>0.80315688342122271</v>
      </c>
      <c r="AI97" s="10">
        <v>0.5367976567076892</v>
      </c>
      <c r="AJ97" s="10">
        <v>0.54399999999996806</v>
      </c>
      <c r="AK97" s="10">
        <v>0.77702448740499874</v>
      </c>
      <c r="AL97" s="10">
        <v>0.74407217340334286</v>
      </c>
      <c r="AM97" s="10">
        <v>0.92578793204447396</v>
      </c>
      <c r="AN97" s="10">
        <v>0.997811364967784</v>
      </c>
      <c r="AO97" s="10">
        <v>0.94497293497367818</v>
      </c>
      <c r="AP97" s="10"/>
      <c r="AQ97" s="10">
        <v>0.54081312243706126</v>
      </c>
      <c r="AR97" s="10">
        <v>0.55840468658467157</v>
      </c>
      <c r="AS97" s="10">
        <v>0.80608881077890226</v>
      </c>
      <c r="AT97" s="10">
        <v>0.83840374926766226</v>
      </c>
      <c r="AU97" s="10">
        <v>0.75305916813111207</v>
      </c>
      <c r="AW97" s="10">
        <v>0.8291413708260269</v>
      </c>
      <c r="AX97" s="10">
        <v>0.55416463971882046</v>
      </c>
      <c r="AY97" s="10">
        <v>0.56159999999996713</v>
      </c>
      <c r="AZ97" s="10">
        <v>0.80216351493868987</v>
      </c>
      <c r="BA97" s="10">
        <v>0.76814509666050979</v>
      </c>
      <c r="BB97" s="10">
        <v>0.9557398945517952</v>
      </c>
      <c r="BC97" s="10">
        <v>1.0300934973638005</v>
      </c>
      <c r="BD97" s="10">
        <v>0.97554558875223829</v>
      </c>
      <c r="BE97" s="10">
        <v>0.55831001757473098</v>
      </c>
      <c r="BF97" s="10">
        <v>0.57647072056241089</v>
      </c>
      <c r="BG97" s="10">
        <v>0.83216815465704319</v>
      </c>
      <c r="BH97" s="10"/>
      <c r="BI97" s="10">
        <v>0.86552857644985137</v>
      </c>
      <c r="BJ97" s="10">
        <v>0.77742284710005971</v>
      </c>
    </row>
    <row r="98" spans="1:62" x14ac:dyDescent="0.3">
      <c r="A98" s="8">
        <v>46217</v>
      </c>
      <c r="B98" s="10">
        <v>1.2675000000000085</v>
      </c>
      <c r="C98" s="10">
        <v>1.0166499999999914</v>
      </c>
      <c r="D98" s="10">
        <v>1.1926200000000151</v>
      </c>
      <c r="E98">
        <v>144.04999999999967</v>
      </c>
      <c r="G98" s="10">
        <v>1.3155000000000272</v>
      </c>
      <c r="H98">
        <v>124.43900000000487</v>
      </c>
      <c r="I98" s="10">
        <v>1.2689899999999412</v>
      </c>
      <c r="K98" s="10">
        <v>1.1679999999999691</v>
      </c>
      <c r="N98">
        <v>117.10000000000029</v>
      </c>
      <c r="O98">
        <v>103.00000000000003</v>
      </c>
      <c r="Q98" s="10">
        <v>1.1994999999999936</v>
      </c>
      <c r="R98" s="10">
        <v>2.9164999999999996</v>
      </c>
      <c r="T98" s="10">
        <v>2.1544999999999614</v>
      </c>
      <c r="U98" s="10">
        <v>1.1894999999999463E-2</v>
      </c>
      <c r="V98" s="10">
        <v>1.1679999999999691</v>
      </c>
      <c r="W98" s="10">
        <v>3.8444999999997322E-2</v>
      </c>
      <c r="X98" s="10">
        <v>1.0304999999964952</v>
      </c>
      <c r="Y98" s="10">
        <v>0.93349999999148736</v>
      </c>
      <c r="Z98" s="10">
        <v>2.684500000000154</v>
      </c>
      <c r="AA98" s="10">
        <v>0.96999999999995734</v>
      </c>
      <c r="AB98" s="10">
        <v>3.43099999999977</v>
      </c>
      <c r="AC98" s="10">
        <v>0.93000000000002325</v>
      </c>
      <c r="AD98" s="10">
        <v>0.83599999999995656</v>
      </c>
      <c r="AE98" s="10">
        <v>0.89149999999992713</v>
      </c>
      <c r="AH98" s="10">
        <v>0.80587832250429192</v>
      </c>
      <c r="AI98" s="10">
        <v>0.53423177790903675</v>
      </c>
      <c r="AJ98" s="10">
        <v>0.54400000000005622</v>
      </c>
      <c r="AK98" s="10">
        <v>0.77940129946827608</v>
      </c>
      <c r="AL98" s="10">
        <v>0.74193502657991928</v>
      </c>
      <c r="AM98" s="10">
        <v>0.9322225634967779</v>
      </c>
      <c r="AN98" s="10">
        <v>0.99847938570583139</v>
      </c>
      <c r="AO98" s="10">
        <v>0.94468989958656513</v>
      </c>
      <c r="AP98" s="10"/>
      <c r="AQ98" s="10">
        <v>0.54207092198583184</v>
      </c>
      <c r="AR98" s="10">
        <v>0.55788115770821745</v>
      </c>
      <c r="AS98" s="10">
        <v>0.80748493797978693</v>
      </c>
      <c r="AT98" s="10">
        <v>0.84186650915508532</v>
      </c>
      <c r="AU98" s="10">
        <v>0.7562017720021571</v>
      </c>
      <c r="AW98" s="10">
        <v>0.83180271707014664</v>
      </c>
      <c r="AX98" s="10">
        <v>0.55141754282338984</v>
      </c>
      <c r="AY98" s="10">
        <v>0.56150000000005795</v>
      </c>
      <c r="AZ98" s="10">
        <v>0.80447395156514145</v>
      </c>
      <c r="BA98" s="10">
        <v>0.76580242173644242</v>
      </c>
      <c r="BB98" s="10">
        <v>0.96221134081514847</v>
      </c>
      <c r="BC98" s="10">
        <v>1.0305995865327653</v>
      </c>
      <c r="BD98" s="10">
        <v>0.97507974010635334</v>
      </c>
      <c r="BE98" s="10">
        <v>0.55940921985817271</v>
      </c>
      <c r="BF98" s="10">
        <v>0.57582770230361047</v>
      </c>
      <c r="BG98" s="10">
        <v>0.83346101594788669</v>
      </c>
      <c r="BH98" s="10"/>
      <c r="BI98" s="10">
        <v>0.86894861193121387</v>
      </c>
      <c r="BJ98" s="10">
        <v>0.78052811577060877</v>
      </c>
    </row>
    <row r="99" spans="1:62" x14ac:dyDescent="0.3">
      <c r="A99" s="8">
        <v>46218</v>
      </c>
      <c r="B99" s="10">
        <v>1.2694999999993613</v>
      </c>
      <c r="C99" s="10">
        <v>1.0172599999999858</v>
      </c>
      <c r="D99" s="10">
        <v>1.1969999999999694</v>
      </c>
      <c r="E99">
        <v>144.35000000000323</v>
      </c>
      <c r="G99" s="10">
        <v>1.3170000000000386</v>
      </c>
      <c r="H99">
        <v>124.44999999999176</v>
      </c>
      <c r="I99" s="10">
        <v>1.2750000000000268</v>
      </c>
      <c r="K99" s="10">
        <v>1.172000000000011</v>
      </c>
      <c r="N99">
        <v>117.10000000000097</v>
      </c>
      <c r="O99">
        <v>103.75000000000189</v>
      </c>
      <c r="Q99" s="10">
        <v>1.1987100000000031</v>
      </c>
      <c r="R99" s="10">
        <v>2.9200000000000141</v>
      </c>
      <c r="T99" s="10">
        <v>2.1559999999999717</v>
      </c>
      <c r="U99" s="10">
        <v>1.1910000000000141E-2</v>
      </c>
      <c r="V99" s="10">
        <v>1.172000000000011</v>
      </c>
      <c r="W99" s="10">
        <v>3.8474999999999662E-2</v>
      </c>
      <c r="X99" s="10">
        <v>1.0379999999984542</v>
      </c>
      <c r="Y99" s="10">
        <v>0.93799999999463057</v>
      </c>
      <c r="Z99" s="10">
        <v>2.682999999999987</v>
      </c>
      <c r="AA99" s="10">
        <v>0.96709999999998653</v>
      </c>
      <c r="AB99" s="10">
        <v>3.4424999999997805</v>
      </c>
      <c r="AC99" s="10">
        <v>0.9327000000000093</v>
      </c>
      <c r="AD99" s="10">
        <v>0.83949999999993052</v>
      </c>
      <c r="AE99" s="10">
        <v>0.89850000000000863</v>
      </c>
      <c r="AH99" s="10">
        <v>0.81014835911862693</v>
      </c>
      <c r="AI99" s="10">
        <v>0.53393524378813695</v>
      </c>
      <c r="AJ99" s="10">
        <v>0.54589999999998351</v>
      </c>
      <c r="AK99" s="10">
        <v>0.78116421706494021</v>
      </c>
      <c r="AL99" s="10">
        <v>0.74485382721798299</v>
      </c>
      <c r="AM99" s="10">
        <v>0.94310431317379684</v>
      </c>
      <c r="AN99" s="10">
        <v>1.0032480075011625</v>
      </c>
      <c r="AO99" s="10">
        <v>0.9469432723864073</v>
      </c>
      <c r="AP99" s="10"/>
      <c r="AQ99" s="10">
        <v>0.54257290201601438</v>
      </c>
      <c r="AR99" s="10">
        <v>0.56080795827477992</v>
      </c>
      <c r="AS99" s="10">
        <v>0.81059623769356104</v>
      </c>
      <c r="AT99" s="10">
        <v>0.84527483591176822</v>
      </c>
      <c r="AU99" s="10">
        <v>0.75819444444455864</v>
      </c>
      <c r="AW99" s="10">
        <v>0.83626781528365313</v>
      </c>
      <c r="AX99" s="10">
        <v>0.5511494960150487</v>
      </c>
      <c r="AY99" s="10">
        <v>0.56349999999998301</v>
      </c>
      <c r="AZ99" s="10">
        <v>0.80634921472081666</v>
      </c>
      <c r="BA99" s="10">
        <v>0.7694094478954987</v>
      </c>
      <c r="BB99" s="10">
        <v>0.97351031411143896</v>
      </c>
      <c r="BC99" s="10">
        <v>1.0355930614158364</v>
      </c>
      <c r="BD99" s="10">
        <v>0.97747304266301616</v>
      </c>
      <c r="BE99" s="10">
        <v>0.5600656352555855</v>
      </c>
      <c r="BF99" s="10">
        <v>0.57888859587440644</v>
      </c>
      <c r="BG99" s="10">
        <v>0.83673013361480431</v>
      </c>
      <c r="BH99" s="10"/>
      <c r="BI99" s="10">
        <v>0.87252678152826779</v>
      </c>
      <c r="BJ99" s="10">
        <v>0.78263888888900679</v>
      </c>
    </row>
    <row r="100" spans="1:62" x14ac:dyDescent="0.3">
      <c r="A100" s="8">
        <v>46219</v>
      </c>
      <c r="B100" s="10">
        <v>1.2665100000000091</v>
      </c>
      <c r="C100" s="10">
        <v>1.0177000000000003</v>
      </c>
      <c r="D100" s="10">
        <v>1.1926299999999901</v>
      </c>
      <c r="E100">
        <v>143.79999999999671</v>
      </c>
      <c r="G100" s="10">
        <v>1.3149899999999441</v>
      </c>
      <c r="H100">
        <v>124.31999999999903</v>
      </c>
      <c r="I100" s="10">
        <v>1.2700000000000005</v>
      </c>
      <c r="K100" s="10">
        <v>1.1679999999999908</v>
      </c>
      <c r="N100">
        <v>116.95000000000159</v>
      </c>
      <c r="O100">
        <v>103.29999999999767</v>
      </c>
      <c r="Q100" s="10">
        <v>1.201399999999996</v>
      </c>
      <c r="R100" s="10">
        <v>2.9200000000000079</v>
      </c>
      <c r="T100" s="10">
        <v>2.1534999999999349</v>
      </c>
      <c r="U100" s="10">
        <v>1.1904999999999628E-2</v>
      </c>
      <c r="V100" s="10">
        <v>1.1679999999999908</v>
      </c>
      <c r="W100" s="10">
        <v>3.8449999999996029E-2</v>
      </c>
      <c r="X100" s="10">
        <v>1.0339999999972513</v>
      </c>
      <c r="Y100" s="10">
        <v>0.93599999999255534</v>
      </c>
      <c r="Z100" s="10">
        <v>2.6844999999999133</v>
      </c>
      <c r="AA100" s="10">
        <v>0.9690000000001302</v>
      </c>
      <c r="AB100" s="10">
        <v>3.4309999999998464</v>
      </c>
      <c r="AC100" s="10">
        <v>0.93299999999995964</v>
      </c>
      <c r="AD100" s="10">
        <v>0.83800000000001118</v>
      </c>
      <c r="AE100" s="10">
        <v>0.8930000000000422</v>
      </c>
      <c r="AH100" s="10">
        <v>0.80769830111308694</v>
      </c>
      <c r="AI100" s="10">
        <v>0.53574106619799411</v>
      </c>
      <c r="AJ100" s="10">
        <v>0.54500000000003612</v>
      </c>
      <c r="AK100" s="10">
        <v>0.78030462800249945</v>
      </c>
      <c r="AL100" s="10">
        <v>0.7419917984765344</v>
      </c>
      <c r="AM100" s="10">
        <v>0.93732337434091373</v>
      </c>
      <c r="AN100" s="10">
        <v>0.99204686584656765</v>
      </c>
      <c r="AO100" s="10">
        <v>0.94888107791438148</v>
      </c>
      <c r="AP100" s="10"/>
      <c r="AQ100" s="10">
        <v>0.5415340278590981</v>
      </c>
      <c r="AR100" s="10">
        <v>0.56121909783240631</v>
      </c>
      <c r="AS100" s="10">
        <v>0.80808142940844407</v>
      </c>
      <c r="AT100" s="10">
        <v>0.84300995899226705</v>
      </c>
      <c r="AU100" s="10">
        <v>0.75865787932048934</v>
      </c>
      <c r="AW100" s="10">
        <v>0.83630119507910994</v>
      </c>
      <c r="AX100" s="10">
        <v>0.55471318101931755</v>
      </c>
      <c r="AY100" s="10">
        <v>0.56430000000003733</v>
      </c>
      <c r="AZ100" s="10">
        <v>0.80793743409506491</v>
      </c>
      <c r="BA100" s="10">
        <v>0.76826783831249235</v>
      </c>
      <c r="BB100" s="10">
        <v>0.97051666080839927</v>
      </c>
      <c r="BC100" s="10">
        <v>1.0271780667838866</v>
      </c>
      <c r="BD100" s="10">
        <v>0.98248365553593653</v>
      </c>
      <c r="BE100" s="10">
        <v>0.56060142806979807</v>
      </c>
      <c r="BF100" s="10">
        <v>0.5810934622143612</v>
      </c>
      <c r="BG100" s="10">
        <v>0.83669789103703651</v>
      </c>
      <c r="BH100" s="10"/>
      <c r="BI100" s="10">
        <v>0.87286333919144266</v>
      </c>
      <c r="BJ100" s="10">
        <v>0.7855241124780773</v>
      </c>
    </row>
    <row r="101" spans="1:62" x14ac:dyDescent="0.3">
      <c r="A101" s="8">
        <v>46220</v>
      </c>
      <c r="B101" s="10">
        <v>1.2724999999995894</v>
      </c>
      <c r="C101" s="10">
        <v>1.0206000000000122</v>
      </c>
      <c r="D101" s="10">
        <v>1.196399999999985</v>
      </c>
      <c r="E101">
        <v>144.34000000000395</v>
      </c>
      <c r="G101" s="10">
        <v>1.3171999999999926</v>
      </c>
      <c r="H101">
        <v>124.45000000000191</v>
      </c>
      <c r="I101" s="10">
        <v>1.2618999999999929</v>
      </c>
      <c r="K101" s="10">
        <v>1.1649999999999787</v>
      </c>
      <c r="N101">
        <v>117.19999999999719</v>
      </c>
      <c r="O101">
        <v>103.09999999999906</v>
      </c>
      <c r="Q101" s="10">
        <v>1.2036000000000011</v>
      </c>
      <c r="R101" s="10">
        <v>2.9250000000000331</v>
      </c>
      <c r="T101" s="10">
        <v>2.1569999999999609</v>
      </c>
      <c r="U101" s="10">
        <v>1.1945000000000174E-2</v>
      </c>
      <c r="V101" s="10">
        <v>1.1649999999999787</v>
      </c>
      <c r="W101" s="10">
        <v>3.8449999999998777E-2</v>
      </c>
      <c r="X101" s="10">
        <v>1.0354999999974821</v>
      </c>
      <c r="Y101" s="10">
        <v>0.93599999999202155</v>
      </c>
      <c r="Z101" s="10">
        <v>2.6870000000000314</v>
      </c>
      <c r="AA101" s="10">
        <v>0.97350000000004566</v>
      </c>
      <c r="AB101" s="10">
        <v>3.4405000000002217</v>
      </c>
      <c r="AC101" s="10">
        <v>0.93460000000008125</v>
      </c>
      <c r="AD101" s="10">
        <v>0.84099999999989916</v>
      </c>
      <c r="AE101" s="10">
        <v>0.89889999999984638</v>
      </c>
      <c r="AH101" s="10">
        <v>0.80725145687659516</v>
      </c>
      <c r="AI101" s="10">
        <v>0.53351550116549884</v>
      </c>
      <c r="AJ101" s="10">
        <v>0.54430000000000389</v>
      </c>
      <c r="AK101" s="10">
        <v>0.77870425407905342</v>
      </c>
      <c r="AL101" s="10">
        <v>0.74241758741265396</v>
      </c>
      <c r="AM101" s="10">
        <v>0.93971047785557649</v>
      </c>
      <c r="AN101" s="10">
        <v>0.99084168997668209</v>
      </c>
      <c r="AO101" s="10">
        <v>0.94396083916092011</v>
      </c>
      <c r="AP101" s="10">
        <v>0.91877586247087706</v>
      </c>
      <c r="AQ101" s="10">
        <v>0.53954157827248383</v>
      </c>
      <c r="AR101" s="10">
        <v>0.56003268065268641</v>
      </c>
      <c r="AS101" s="10">
        <v>0.80534831002332352</v>
      </c>
      <c r="AT101" s="10">
        <v>0.83985870629363157</v>
      </c>
      <c r="AU101" s="10">
        <v>0.7520601981350632</v>
      </c>
      <c r="AW101" s="10">
        <v>0.83750670163184504</v>
      </c>
      <c r="AX101" s="10">
        <v>0.55351130536130289</v>
      </c>
      <c r="AY101" s="10">
        <v>0.56470000000000409</v>
      </c>
      <c r="AZ101" s="10">
        <v>0.80788956876436058</v>
      </c>
      <c r="BA101" s="10">
        <v>0.77024290209797119</v>
      </c>
      <c r="BB101" s="10">
        <v>0.97493019813530035</v>
      </c>
      <c r="BC101" s="10">
        <v>1.0279777738927656</v>
      </c>
      <c r="BD101" s="10">
        <v>0.97933986013994401</v>
      </c>
      <c r="BE101" s="10">
        <v>0.55966411003609118</v>
      </c>
      <c r="BF101" s="10">
        <v>0.58102233100233702</v>
      </c>
      <c r="BG101" s="10">
        <v>0.83553222610724009</v>
      </c>
      <c r="BH101" s="10">
        <v>0.95321096736598254</v>
      </c>
      <c r="BI101" s="10">
        <v>0.87133604895097139</v>
      </c>
      <c r="BJ101" s="10">
        <v>0.78024691142177138</v>
      </c>
    </row>
    <row r="102" spans="1:62" x14ac:dyDescent="0.3">
      <c r="A102" s="8">
        <v>46223</v>
      </c>
      <c r="B102" s="10">
        <v>1.2736899999996396</v>
      </c>
      <c r="C102" s="10">
        <v>1.0211899999999996</v>
      </c>
      <c r="D102" s="10">
        <v>1.1967900000000185</v>
      </c>
      <c r="E102">
        <v>144.20000000000377</v>
      </c>
      <c r="G102" s="10">
        <v>1.3159999999999488</v>
      </c>
      <c r="H102">
        <v>124.3700000000004</v>
      </c>
      <c r="I102" s="10">
        <v>1.25999999999999</v>
      </c>
      <c r="K102" s="10">
        <v>1.1709999999999652</v>
      </c>
      <c r="N102">
        <v>117.20000000000171</v>
      </c>
      <c r="O102">
        <v>103.15000000000003</v>
      </c>
      <c r="Q102" s="10">
        <v>1.2069999999999925</v>
      </c>
      <c r="R102" s="10">
        <v>2.927999999999948</v>
      </c>
      <c r="T102" s="10">
        <v>2.160499999999983</v>
      </c>
      <c r="U102" s="10">
        <v>1.1905000000000096E-2</v>
      </c>
      <c r="V102" s="10">
        <v>1.1709999999999652</v>
      </c>
      <c r="W102" s="10">
        <v>3.8524999999998012E-2</v>
      </c>
      <c r="X102" s="10">
        <v>1.0369999999977795</v>
      </c>
      <c r="Y102" s="10">
        <v>0.93949999999430611</v>
      </c>
      <c r="Z102" s="10">
        <v>2.6949999999997654</v>
      </c>
      <c r="AA102" s="10">
        <v>0.97349999999998815</v>
      </c>
      <c r="AB102" s="10">
        <v>3.4485000000000512</v>
      </c>
      <c r="AC102" s="10">
        <v>0.93600000000002803</v>
      </c>
      <c r="AD102" s="10">
        <v>0.84199999999995556</v>
      </c>
      <c r="AE102" s="10">
        <v>0.8969999999999787</v>
      </c>
      <c r="AH102" s="10">
        <v>0.80596443148689245</v>
      </c>
      <c r="AI102" s="10">
        <v>0.53387755102034684</v>
      </c>
      <c r="AJ102" s="10">
        <v>0.5449999999999755</v>
      </c>
      <c r="AK102" s="10">
        <v>0.77660116618095232</v>
      </c>
      <c r="AL102" s="10">
        <v>0.73865772594707668</v>
      </c>
      <c r="AM102" s="10">
        <v>0.93492128279878739</v>
      </c>
      <c r="AN102" s="10">
        <v>0.98894460641401083</v>
      </c>
      <c r="AO102" s="10">
        <v>0.94248454810503701</v>
      </c>
      <c r="AP102" s="10">
        <v>0.91331195335271542</v>
      </c>
      <c r="AQ102" s="10">
        <v>0.54291138059702748</v>
      </c>
      <c r="AR102" s="10">
        <v>0.55930029154521188</v>
      </c>
      <c r="AS102" s="10">
        <v>0.80196034985410081</v>
      </c>
      <c r="AT102" s="10">
        <v>0.83767930029167392</v>
      </c>
      <c r="AU102" s="10">
        <v>0.75073352769651491</v>
      </c>
      <c r="AW102" s="10">
        <v>0.83849877551021645</v>
      </c>
      <c r="AX102" s="10">
        <v>0.55542857142850766</v>
      </c>
      <c r="AY102" s="10">
        <v>0.56699999999997464</v>
      </c>
      <c r="AZ102" s="10">
        <v>0.80795020408183471</v>
      </c>
      <c r="BA102" s="10">
        <v>0.76847510204035319</v>
      </c>
      <c r="BB102" s="10">
        <v>0.97266122448974757</v>
      </c>
      <c r="BC102" s="10">
        <v>1.0288653061224662</v>
      </c>
      <c r="BD102" s="10">
        <v>0.98052979591845135</v>
      </c>
      <c r="BE102" s="10">
        <v>0.56471944962687903</v>
      </c>
      <c r="BF102" s="10">
        <v>0.58187755102043137</v>
      </c>
      <c r="BG102" s="10">
        <v>0.83433306122435813</v>
      </c>
      <c r="BH102" s="10">
        <v>0.95017959183667822</v>
      </c>
      <c r="BI102" s="10">
        <v>0.87149387755115426</v>
      </c>
      <c r="BJ102" s="10">
        <v>0.78103836734664933</v>
      </c>
    </row>
    <row r="103" spans="1:62" x14ac:dyDescent="0.3">
      <c r="A103" s="8">
        <v>46224</v>
      </c>
      <c r="B103" s="10">
        <v>1.2749999999997212</v>
      </c>
      <c r="C103" s="10">
        <v>1.0215000000000112</v>
      </c>
      <c r="D103" s="10">
        <v>1.1964299999999783</v>
      </c>
      <c r="E103">
        <v>143.99999999999886</v>
      </c>
      <c r="G103" s="10">
        <v>1.3161999999999969</v>
      </c>
      <c r="H103">
        <v>124.28999999999924</v>
      </c>
      <c r="I103" s="10">
        <v>1.2587999999999977</v>
      </c>
      <c r="K103" s="10">
        <v>1.1780000000000272</v>
      </c>
      <c r="N103">
        <v>117.39999999999964</v>
      </c>
      <c r="O103">
        <v>103.19999999999251</v>
      </c>
      <c r="Q103" s="10">
        <v>1.2069999999999925</v>
      </c>
      <c r="R103" s="10">
        <v>2.9310000000000196</v>
      </c>
      <c r="T103" s="10">
        <v>2.1634999999999223</v>
      </c>
      <c r="U103" s="10">
        <v>1.1940000000000539E-2</v>
      </c>
      <c r="V103" s="10">
        <v>1.1780000000000272</v>
      </c>
      <c r="W103" s="10">
        <v>3.8520000000000464E-2</v>
      </c>
      <c r="X103" s="10">
        <v>1.0384999999974887</v>
      </c>
      <c r="Y103" s="10">
        <v>0.93949999999274136</v>
      </c>
      <c r="Z103" s="10">
        <v>2.7040000000002467</v>
      </c>
      <c r="AA103" s="10">
        <v>0.97550000000001746</v>
      </c>
      <c r="AB103" s="10">
        <v>3.4490000000004164</v>
      </c>
      <c r="AC103" s="10">
        <v>0.93650000000001665</v>
      </c>
      <c r="AD103" s="10">
        <v>0.84249999999994774</v>
      </c>
      <c r="AE103" s="10">
        <v>0.89890000000015347</v>
      </c>
      <c r="AH103" s="10">
        <v>0.80403591057291768</v>
      </c>
      <c r="AI103" s="10">
        <v>0.53265312063344128</v>
      </c>
      <c r="AJ103" s="10">
        <v>0.54619999999999491</v>
      </c>
      <c r="AK103" s="10">
        <v>0.77592454587801951</v>
      </c>
      <c r="AL103" s="10">
        <v>0.73490230554225766</v>
      </c>
      <c r="AM103" s="10">
        <v>0.945737540754501</v>
      </c>
      <c r="AN103" s="10">
        <v>0.99025780158364141</v>
      </c>
      <c r="AO103" s="10">
        <v>0.94128551467169019</v>
      </c>
      <c r="AP103" s="10">
        <v>0.91393735444815605</v>
      </c>
      <c r="AQ103" s="10">
        <v>0.5394583605030111</v>
      </c>
      <c r="AR103" s="10">
        <v>0.55885647414998452</v>
      </c>
      <c r="AS103" s="10">
        <v>0.80066509082453696</v>
      </c>
      <c r="AT103" s="10">
        <v>0.83189287377733057</v>
      </c>
      <c r="AU103" s="10">
        <v>0.74946679087101853</v>
      </c>
      <c r="AW103" s="10">
        <v>0.83730433162555007</v>
      </c>
      <c r="AX103" s="10">
        <v>0.55469259431765183</v>
      </c>
      <c r="AY103" s="10">
        <v>0.56879999999999464</v>
      </c>
      <c r="AZ103" s="10">
        <v>0.80802980903591615</v>
      </c>
      <c r="BA103" s="10">
        <v>0.7653102002790847</v>
      </c>
      <c r="BB103" s="10">
        <v>0.98486911970186752</v>
      </c>
      <c r="BC103" s="10">
        <v>1.0312314857941689</v>
      </c>
      <c r="BD103" s="10">
        <v>0.98023288309274492</v>
      </c>
      <c r="BE103" s="10">
        <v>0.56177941313458934</v>
      </c>
      <c r="BF103" s="10">
        <v>0.58198015836051109</v>
      </c>
      <c r="BG103" s="10">
        <v>0.83379403819296316</v>
      </c>
      <c r="BH103" s="10">
        <v>0.95175314392184363</v>
      </c>
      <c r="BI103" s="10">
        <v>0.86631392640890792</v>
      </c>
      <c r="BJ103" s="10">
        <v>0.78047731718680935</v>
      </c>
    </row>
    <row r="104" spans="1:62" x14ac:dyDescent="0.3">
      <c r="A104" s="8">
        <v>46225</v>
      </c>
      <c r="B104" s="10">
        <v>1.2724999999996076</v>
      </c>
      <c r="C104" s="10">
        <v>1.0211499999999962</v>
      </c>
      <c r="D104" s="10">
        <v>1.1965000000000026</v>
      </c>
      <c r="E104">
        <v>144.09999999999738</v>
      </c>
      <c r="G104" s="10">
        <v>1.3149800000000322</v>
      </c>
      <c r="H104">
        <v>124.0989999999983</v>
      </c>
      <c r="I104" s="10">
        <v>1.2564999999999862</v>
      </c>
      <c r="K104" s="10">
        <v>1.1789999999999383</v>
      </c>
      <c r="N104">
        <v>117.39999999999702</v>
      </c>
      <c r="O104">
        <v>103.39999999999921</v>
      </c>
      <c r="Q104" s="10">
        <v>1.207999999999998</v>
      </c>
      <c r="R104" s="10">
        <v>2.9335000000000422</v>
      </c>
      <c r="T104" s="10">
        <v>2.1644999999999488</v>
      </c>
      <c r="U104" s="10">
        <v>1.1959999999999964E-2</v>
      </c>
      <c r="V104" s="10">
        <v>1.1789999999999383</v>
      </c>
      <c r="W104" s="10">
        <v>3.8644999999999291E-2</v>
      </c>
      <c r="X104" s="10">
        <v>1.0394999999975985</v>
      </c>
      <c r="Y104" s="10">
        <v>0.94199999999415085</v>
      </c>
      <c r="Z104" s="10">
        <v>2.7085000000000656</v>
      </c>
      <c r="AA104" s="10">
        <v>0.97600000000000564</v>
      </c>
      <c r="AB104" s="10">
        <v>3.4519999999998765</v>
      </c>
      <c r="AC104" s="10">
        <v>0.93749999999998612</v>
      </c>
      <c r="AD104" s="10">
        <v>0.84500000000012077</v>
      </c>
      <c r="AE104" s="10">
        <v>0.90139999999999498</v>
      </c>
      <c r="AH104" s="10">
        <v>0.80659524361942292</v>
      </c>
      <c r="AI104" s="10">
        <v>0.53264524361950349</v>
      </c>
      <c r="AJ104" s="10">
        <v>0.54790000000002059</v>
      </c>
      <c r="AK104" s="10">
        <v>0.77970873549899555</v>
      </c>
      <c r="AL104" s="10">
        <v>0.7368682946633005</v>
      </c>
      <c r="AM104" s="10">
        <v>0.93301903712307721</v>
      </c>
      <c r="AN104" s="10">
        <v>0.99225834106726085</v>
      </c>
      <c r="AO104" s="10">
        <v>0.94681187935031919</v>
      </c>
      <c r="AP104" s="10">
        <v>0.91464976798139408</v>
      </c>
      <c r="AQ104" s="10">
        <v>0.54056500057983758</v>
      </c>
      <c r="AR104" s="10">
        <v>0.56086654292340488</v>
      </c>
      <c r="AS104" s="10">
        <v>0.80081114849172375</v>
      </c>
      <c r="AT104" s="10">
        <v>0.83583352668192146</v>
      </c>
      <c r="AU104" s="10">
        <v>0.74430498839868742</v>
      </c>
      <c r="AW104" s="10">
        <v>0.83839385150805157</v>
      </c>
      <c r="AX104" s="10">
        <v>0.55364385150813533</v>
      </c>
      <c r="AY104" s="10">
        <v>0.56950000000002154</v>
      </c>
      <c r="AZ104" s="10">
        <v>0.81044738979134523</v>
      </c>
      <c r="BA104" s="10">
        <v>0.7659180394428724</v>
      </c>
      <c r="BB104" s="10">
        <v>0.96980168213468243</v>
      </c>
      <c r="BC104" s="10">
        <v>1.0313763921113435</v>
      </c>
      <c r="BD104" s="10">
        <v>0.98413828306261519</v>
      </c>
      <c r="BE104" s="10">
        <v>0.56329027020757716</v>
      </c>
      <c r="BF104" s="10">
        <v>0.58297772621806743</v>
      </c>
      <c r="BG104" s="10">
        <v>0.83238172853812165</v>
      </c>
      <c r="BH104" s="10">
        <v>0.95070823665888649</v>
      </c>
      <c r="BI104" s="10">
        <v>0.8687848027840015</v>
      </c>
      <c r="BJ104" s="10">
        <v>0.77364791183254711</v>
      </c>
    </row>
    <row r="105" spans="1:62" x14ac:dyDescent="0.3">
      <c r="A105" s="8">
        <v>46226</v>
      </c>
      <c r="B105" s="10">
        <v>1.27449999999971</v>
      </c>
      <c r="C105" s="10">
        <v>1.0214499999999958</v>
      </c>
      <c r="D105" s="10">
        <v>1.1964999999999753</v>
      </c>
      <c r="E105">
        <v>144.13899999999774</v>
      </c>
      <c r="G105" s="10">
        <v>1.3127999999999656</v>
      </c>
      <c r="H105">
        <v>123.90000000000185</v>
      </c>
      <c r="I105" s="10">
        <v>1.2534999999999517</v>
      </c>
      <c r="K105" s="10">
        <v>1.1830000000000149</v>
      </c>
      <c r="N105">
        <v>117.59999999999798</v>
      </c>
      <c r="O105">
        <v>103.40000000000072</v>
      </c>
      <c r="Q105" s="10">
        <v>1.2095000000000156</v>
      </c>
      <c r="R105" s="10">
        <v>2.936500000000021</v>
      </c>
      <c r="T105" s="10">
        <v>2.1675000000000018</v>
      </c>
      <c r="U105" s="10">
        <v>1.1969999999999316E-2</v>
      </c>
      <c r="V105" s="10">
        <v>1.1830000000000149</v>
      </c>
      <c r="W105" s="10">
        <v>3.8660000000001034E-2</v>
      </c>
      <c r="X105" s="10">
        <v>1.0394999999974595</v>
      </c>
      <c r="Y105" s="10">
        <v>0.94099999999285289</v>
      </c>
      <c r="Z105" s="10">
        <v>2.7074999999999494</v>
      </c>
      <c r="AA105" s="10">
        <v>0.97650000000003834</v>
      </c>
      <c r="AB105" s="10">
        <v>3.4555000000000171</v>
      </c>
      <c r="AC105" s="10">
        <v>0.93879999999985941</v>
      </c>
      <c r="AD105" s="10">
        <v>0.84899999999985198</v>
      </c>
      <c r="AE105" s="10">
        <v>0.89950000000016717</v>
      </c>
      <c r="AH105" s="10">
        <v>0.79628305301030666</v>
      </c>
      <c r="AI105" s="10">
        <v>0.52787020067275503</v>
      </c>
      <c r="AJ105" s="10">
        <v>0.54370000000006058</v>
      </c>
      <c r="AK105" s="10">
        <v>0.77055174573717011</v>
      </c>
      <c r="AL105" s="10">
        <v>0.72703556431952432</v>
      </c>
      <c r="AM105" s="10">
        <v>0.92884973900940537</v>
      </c>
      <c r="AN105" s="10">
        <v>0.98832185361325731</v>
      </c>
      <c r="AO105" s="10">
        <v>0.94095858949077327</v>
      </c>
      <c r="AP105" s="10">
        <v>0.90942512469551273</v>
      </c>
      <c r="AQ105" s="10">
        <v>0.53441549866787608</v>
      </c>
      <c r="AR105" s="10">
        <v>0.55751165758035837</v>
      </c>
      <c r="AS105" s="10">
        <v>0.78903035610699346</v>
      </c>
      <c r="AT105" s="10">
        <v>0.82453703746648499</v>
      </c>
      <c r="AU105" s="10">
        <v>0.73794614313874107</v>
      </c>
      <c r="AW105" s="10">
        <v>0.83113965897250153</v>
      </c>
      <c r="AX105" s="10">
        <v>0.55097726481844489</v>
      </c>
      <c r="AY105" s="10">
        <v>0.5675000000000634</v>
      </c>
      <c r="AZ105" s="10">
        <v>0.80428198584852684</v>
      </c>
      <c r="BA105" s="10">
        <v>0.75886092100667668</v>
      </c>
      <c r="BB105" s="10">
        <v>0.96950933766385428</v>
      </c>
      <c r="BC105" s="10">
        <v>1.0315847929474407</v>
      </c>
      <c r="BD105" s="10">
        <v>0.98214824266325873</v>
      </c>
      <c r="BE105" s="10">
        <v>0.55707934669289527</v>
      </c>
      <c r="BF105" s="10">
        <v>0.581916251014996</v>
      </c>
      <c r="BG105" s="10">
        <v>0.82356948149847131</v>
      </c>
      <c r="BH105" s="10">
        <v>0.94923442756060983</v>
      </c>
      <c r="BI105" s="10">
        <v>0.86063043730408362</v>
      </c>
      <c r="BJ105" s="10">
        <v>0.77024910103225241</v>
      </c>
    </row>
    <row r="106" spans="1:62" x14ac:dyDescent="0.3">
      <c r="A106" s="8">
        <v>46227</v>
      </c>
      <c r="B106" s="10">
        <v>1.2759999999997782</v>
      </c>
      <c r="C106" s="10">
        <v>1.0235000000000078</v>
      </c>
      <c r="D106" s="10">
        <v>1.1989999999999943</v>
      </c>
      <c r="E106">
        <v>144.19999999999993</v>
      </c>
      <c r="G106" s="10">
        <v>1.3145000000000133</v>
      </c>
      <c r="H106">
        <v>123.85000000000007</v>
      </c>
      <c r="I106" s="10">
        <v>1.2569999999999748</v>
      </c>
      <c r="K106" s="10">
        <v>1.1840000000000204</v>
      </c>
      <c r="N106">
        <v>117.84999999999715</v>
      </c>
      <c r="O106">
        <v>103.79999999999725</v>
      </c>
      <c r="Q106" s="10">
        <v>1.2115999999999791</v>
      </c>
      <c r="R106" s="10">
        <v>2.9419999999999948</v>
      </c>
      <c r="T106" s="10">
        <v>2.1725000000000021</v>
      </c>
      <c r="U106" s="10">
        <v>1.198000000000031E-2</v>
      </c>
      <c r="V106" s="10">
        <v>1.1840000000000204</v>
      </c>
      <c r="W106" s="10">
        <v>3.8744999999995748E-2</v>
      </c>
      <c r="X106" s="10">
        <v>1.0419999999969367</v>
      </c>
      <c r="Y106" s="10">
        <v>0.94349999999234169</v>
      </c>
      <c r="Z106" s="10">
        <v>2.7109999999999363</v>
      </c>
      <c r="AA106" s="10">
        <v>0.97950000000004234</v>
      </c>
      <c r="AB106" s="10">
        <v>3.4665000000004067</v>
      </c>
      <c r="AC106" s="10">
        <v>0.9414999999999939</v>
      </c>
      <c r="AD106" s="10">
        <v>0.84850000000003301</v>
      </c>
      <c r="AE106" s="10">
        <v>0.90039999999991693</v>
      </c>
      <c r="AH106" s="10">
        <v>0.80167917146165824</v>
      </c>
      <c r="AI106" s="10">
        <v>0.53189298043726296</v>
      </c>
      <c r="AJ106" s="10">
        <v>0.5469999999999634</v>
      </c>
      <c r="AK106" s="10">
        <v>0.77228342922896298</v>
      </c>
      <c r="AL106" s="10">
        <v>0.73023555811241325</v>
      </c>
      <c r="AM106" s="10">
        <v>0.94097848101275416</v>
      </c>
      <c r="AN106" s="10">
        <v>0.99555258918303369</v>
      </c>
      <c r="AO106" s="10">
        <v>0.95356766398156312</v>
      </c>
      <c r="AP106" s="10">
        <v>0.91705903337170469</v>
      </c>
      <c r="AQ106" s="10">
        <v>0.54108308400458593</v>
      </c>
      <c r="AR106" s="10">
        <v>0.56040747986189376</v>
      </c>
      <c r="AS106" s="10">
        <v>0.79324441887225272</v>
      </c>
      <c r="AT106" s="10">
        <v>0.83025661680071539</v>
      </c>
      <c r="AU106" s="10">
        <v>0.74200644418831829</v>
      </c>
      <c r="AW106" s="10">
        <v>0.83099102416592363</v>
      </c>
      <c r="AX106" s="10">
        <v>0.55134062140389051</v>
      </c>
      <c r="AY106" s="10">
        <v>0.56699999999996209</v>
      </c>
      <c r="AZ106" s="10">
        <v>0.80052048331411707</v>
      </c>
      <c r="BA106" s="10">
        <v>0.75693521288800425</v>
      </c>
      <c r="BB106" s="10">
        <v>0.97538354430389707</v>
      </c>
      <c r="BC106" s="10">
        <v>1.0319530494822304</v>
      </c>
      <c r="BD106" s="10">
        <v>0.9884330264671779</v>
      </c>
      <c r="BE106" s="10">
        <v>0.56086674338318143</v>
      </c>
      <c r="BF106" s="10">
        <v>0.58089769850401052</v>
      </c>
      <c r="BG106" s="10">
        <v>0.82224787111621078</v>
      </c>
      <c r="BH106" s="10">
        <v>0.95058952819333919</v>
      </c>
      <c r="BI106" s="10">
        <v>0.86061334867642714</v>
      </c>
      <c r="BJ106" s="10">
        <v>0.7691364787107432</v>
      </c>
    </row>
    <row r="107" spans="1:62" x14ac:dyDescent="0.3">
      <c r="A107" s="8">
        <v>46230</v>
      </c>
      <c r="B107" s="10">
        <v>1.2752999999997616</v>
      </c>
      <c r="C107" s="10">
        <v>1.0238000000000052</v>
      </c>
      <c r="D107" s="10">
        <v>1.1993099999999854</v>
      </c>
      <c r="E107">
        <v>144.51899999999969</v>
      </c>
      <c r="G107" s="10">
        <v>1.3142499999999253</v>
      </c>
      <c r="H107">
        <v>124.04999999999802</v>
      </c>
      <c r="I107" s="10">
        <v>1.2560000000000233</v>
      </c>
      <c r="K107" s="10">
        <v>1.1849999999999445</v>
      </c>
      <c r="N107">
        <v>117.80000000000182</v>
      </c>
      <c r="O107">
        <v>103.94999999999808</v>
      </c>
      <c r="Q107" s="10">
        <v>1.2118000000000122</v>
      </c>
      <c r="R107" s="10">
        <v>2.943999999999968</v>
      </c>
      <c r="T107" s="10">
        <v>2.1750000000000309</v>
      </c>
      <c r="U107" s="10">
        <v>1.2000000000000352E-2</v>
      </c>
      <c r="V107" s="10">
        <v>1.1849999999999445</v>
      </c>
      <c r="W107" s="10">
        <v>3.87999999999981E-2</v>
      </c>
      <c r="X107" s="10">
        <v>1.0419999999966771</v>
      </c>
      <c r="Y107" s="10">
        <v>0.94249999999066647</v>
      </c>
      <c r="Z107" s="10">
        <v>2.7115000000000755</v>
      </c>
      <c r="AA107" s="10">
        <v>0.98129999999996098</v>
      </c>
      <c r="AB107" s="10">
        <v>3.4704999999999644</v>
      </c>
      <c r="AC107" s="10">
        <v>0.94199999999997264</v>
      </c>
      <c r="AD107" s="10">
        <v>0.84810000000010388</v>
      </c>
      <c r="AE107" s="10">
        <v>0.89769999999997796</v>
      </c>
      <c r="AH107" s="10">
        <v>0.79487034277189617</v>
      </c>
      <c r="AI107" s="10">
        <v>0.52985096870345072</v>
      </c>
      <c r="AJ107" s="10">
        <v>0.54599999999997495</v>
      </c>
      <c r="AK107" s="10">
        <v>0.76701639344291161</v>
      </c>
      <c r="AL107" s="10">
        <v>0.72432786885205591</v>
      </c>
      <c r="AM107" s="10">
        <v>0.92763040238459882</v>
      </c>
      <c r="AN107" s="10">
        <v>0.99291505216095144</v>
      </c>
      <c r="AO107" s="10">
        <v>0.94453055141588083</v>
      </c>
      <c r="AP107" s="10">
        <v>0.91260804768996495</v>
      </c>
      <c r="AQ107" s="10">
        <v>0.53898956780919438</v>
      </c>
      <c r="AR107" s="10">
        <v>0.559582712369601</v>
      </c>
      <c r="AS107" s="10">
        <v>0.7902384500743902</v>
      </c>
      <c r="AT107" s="10">
        <v>0.82522801788374478</v>
      </c>
      <c r="AU107" s="10">
        <v>0.7377228017879055</v>
      </c>
      <c r="AW107" s="10">
        <v>0.82835389200954002</v>
      </c>
      <c r="AX107" s="10">
        <v>0.55217069815432862</v>
      </c>
      <c r="AY107" s="10">
        <v>0.56899999999997386</v>
      </c>
      <c r="AZ107" s="10">
        <v>0.79932660781871179</v>
      </c>
      <c r="BA107" s="10">
        <v>0.75483984867549392</v>
      </c>
      <c r="BB107" s="10">
        <v>0.96670640834585453</v>
      </c>
      <c r="BC107" s="10">
        <v>1.0347411441017973</v>
      </c>
      <c r="BD107" s="10">
        <v>0.98431846841691584</v>
      </c>
      <c r="BE107" s="10">
        <v>0.56169425656306138</v>
      </c>
      <c r="BF107" s="10">
        <v>0.58315487790897969</v>
      </c>
      <c r="BG107" s="10">
        <v>0.82352688295298149</v>
      </c>
      <c r="BH107" s="10">
        <v>0.95105124383807682</v>
      </c>
      <c r="BI107" s="10">
        <v>0.85999037028544068</v>
      </c>
      <c r="BJ107" s="10">
        <v>0.76879903702805519</v>
      </c>
    </row>
    <row r="108" spans="1:62" x14ac:dyDescent="0.3">
      <c r="A108" s="8">
        <v>46231</v>
      </c>
      <c r="B108" s="10">
        <v>1.2794999999998806</v>
      </c>
      <c r="C108" s="10">
        <v>1.0230000000000055</v>
      </c>
      <c r="D108" s="10">
        <v>1.1983500000000022</v>
      </c>
      <c r="E108">
        <v>144.19999999999581</v>
      </c>
      <c r="G108" s="10">
        <v>1.3119999999999927</v>
      </c>
      <c r="H108">
        <v>123.94999999999739</v>
      </c>
      <c r="I108" s="10">
        <v>1.2559999999999478</v>
      </c>
      <c r="K108" s="10">
        <v>1.1809999999999881</v>
      </c>
      <c r="N108">
        <v>118.35000000000147</v>
      </c>
      <c r="O108">
        <v>104.24999999999976</v>
      </c>
      <c r="Q108" s="10">
        <v>1.2124700000000102</v>
      </c>
      <c r="R108" s="10">
        <v>2.9450000000000514</v>
      </c>
      <c r="T108" s="10">
        <v>2.1765000000000607</v>
      </c>
      <c r="U108" s="10">
        <v>1.2000000000000659E-2</v>
      </c>
      <c r="V108" s="10">
        <v>1.1809999999999881</v>
      </c>
      <c r="W108" s="10">
        <v>3.8784999999999799E-2</v>
      </c>
      <c r="X108" s="10">
        <v>1.0429999999967632</v>
      </c>
      <c r="Y108" s="10">
        <v>0.94449999999196865</v>
      </c>
      <c r="Z108" s="10">
        <v>2.7149999999997489</v>
      </c>
      <c r="AA108" s="10">
        <v>0.98199999999999332</v>
      </c>
      <c r="AB108" s="10">
        <v>3.4720000000001989</v>
      </c>
      <c r="AC108" s="10">
        <v>0.94250000000008949</v>
      </c>
      <c r="AD108" s="10">
        <v>0.84999999999991749</v>
      </c>
      <c r="AE108" s="10">
        <v>0.90340000000009679</v>
      </c>
      <c r="AH108" s="10">
        <v>0.79627615543788621</v>
      </c>
      <c r="AI108" s="10">
        <v>0.53246842286897278</v>
      </c>
      <c r="AJ108" s="10">
        <v>0.54599999999999727</v>
      </c>
      <c r="AK108" s="10">
        <v>0.76551736031249684</v>
      </c>
      <c r="AL108" s="10">
        <v>0.72427546562385914</v>
      </c>
      <c r="AM108" s="10">
        <v>0.93418854909163973</v>
      </c>
      <c r="AN108" s="10">
        <v>0.99426235916299022</v>
      </c>
      <c r="AO108" s="10">
        <v>0.94485996780868065</v>
      </c>
      <c r="AP108" s="10">
        <v>0.91209243504254456</v>
      </c>
      <c r="AQ108" s="10">
        <v>0.5388028528701081</v>
      </c>
      <c r="AR108" s="10">
        <v>0.5593078868705349</v>
      </c>
      <c r="AS108" s="10">
        <v>0.79219590710510601</v>
      </c>
      <c r="AT108" s="10">
        <v>0.8267838583581828</v>
      </c>
      <c r="AU108" s="10">
        <v>0.73947098999637573</v>
      </c>
      <c r="AW108" s="10">
        <v>0.8271938376636796</v>
      </c>
      <c r="AX108" s="10">
        <v>0.554150005751752</v>
      </c>
      <c r="AY108" s="10">
        <v>0.56719999999999726</v>
      </c>
      <c r="AZ108" s="10">
        <v>0.79524074499862307</v>
      </c>
      <c r="BA108" s="10">
        <v>0.75239751667006016</v>
      </c>
      <c r="BB108" s="10">
        <v>0.97046107151058247</v>
      </c>
      <c r="BC108" s="10">
        <v>1.0328674177971577</v>
      </c>
      <c r="BD108" s="10">
        <v>0.98154683835363299</v>
      </c>
      <c r="BE108" s="10">
        <v>0.56074236742204564</v>
      </c>
      <c r="BF108" s="10">
        <v>0.58102460335708306</v>
      </c>
      <c r="BG108" s="10">
        <v>0.82295516210625663</v>
      </c>
      <c r="BH108" s="10">
        <v>0.94750701310646757</v>
      </c>
      <c r="BI108" s="10">
        <v>0.85888608875597294</v>
      </c>
      <c r="BJ108" s="10">
        <v>0.76971714384252232</v>
      </c>
    </row>
    <row r="109" spans="1:62" x14ac:dyDescent="0.3">
      <c r="A109" s="8">
        <v>46232</v>
      </c>
      <c r="B109" s="10">
        <v>1.278989999999889</v>
      </c>
      <c r="C109" s="10">
        <v>1.0234000000000112</v>
      </c>
      <c r="D109" s="10">
        <v>1.1989999999999854</v>
      </c>
      <c r="E109">
        <v>144.69500000000309</v>
      </c>
      <c r="G109" s="10">
        <v>1.3147000000000142</v>
      </c>
      <c r="H109">
        <v>123.84999999999707</v>
      </c>
      <c r="I109" s="10">
        <v>1.2569999999999324</v>
      </c>
      <c r="K109" s="10">
        <v>1.1819999999999511</v>
      </c>
      <c r="N109">
        <v>118.20000000000171</v>
      </c>
      <c r="O109">
        <v>103.74999999999976</v>
      </c>
      <c r="Q109" s="10">
        <v>1.2124999999999957</v>
      </c>
      <c r="R109" s="10">
        <v>2.9459999999999242</v>
      </c>
      <c r="T109" s="10">
        <v>2.1775000000000633</v>
      </c>
      <c r="U109" s="10">
        <v>1.2095000000000846E-2</v>
      </c>
      <c r="V109" s="10">
        <v>1.1819999999999511</v>
      </c>
      <c r="W109" s="10">
        <v>3.880999999999761E-2</v>
      </c>
      <c r="X109" s="10">
        <v>1.0434999999967449</v>
      </c>
      <c r="Y109" s="10">
        <v>0.94299999999996909</v>
      </c>
      <c r="Z109" s="10">
        <v>2.7195000000001381</v>
      </c>
      <c r="AA109" s="10">
        <v>0.98249999999998894</v>
      </c>
      <c r="AB109" s="10">
        <v>3.4725000000002124</v>
      </c>
      <c r="AC109" s="10">
        <v>0.94199999999999506</v>
      </c>
      <c r="AD109" s="10">
        <v>0.84749999999989745</v>
      </c>
      <c r="AE109" s="10">
        <v>0.9037999999998777</v>
      </c>
      <c r="AH109" s="10">
        <v>0.7847728697472075</v>
      </c>
      <c r="AI109" s="10">
        <v>0.52707220803340471</v>
      </c>
      <c r="AJ109" s="10">
        <v>0.54049999999996901</v>
      </c>
      <c r="AK109" s="10">
        <v>0.75785453912223322</v>
      </c>
      <c r="AL109" s="10">
        <v>0.71782214998760752</v>
      </c>
      <c r="AM109" s="10">
        <v>0.93291780821917558</v>
      </c>
      <c r="AN109" s="10">
        <v>0.9888251102855764</v>
      </c>
      <c r="AO109" s="10">
        <v>0.93492570234504957</v>
      </c>
      <c r="AP109" s="10">
        <v>0.90725441142316898</v>
      </c>
      <c r="AQ109" s="10">
        <v>0.53887476776597998</v>
      </c>
      <c r="AR109" s="10">
        <v>0.55593568609239918</v>
      </c>
      <c r="AS109" s="10">
        <v>0.77900017413510336</v>
      </c>
      <c r="AT109" s="10">
        <v>0.81570698862305091</v>
      </c>
      <c r="AU109" s="10">
        <v>0.73350882284630547</v>
      </c>
      <c r="AW109" s="10">
        <v>0.82063575574675629</v>
      </c>
      <c r="AX109" s="10">
        <v>0.55115857905731791</v>
      </c>
      <c r="AY109" s="10">
        <v>0.56519999999996762</v>
      </c>
      <c r="AZ109" s="10">
        <v>0.79248729974447041</v>
      </c>
      <c r="BA109" s="10">
        <v>0.75062549338204587</v>
      </c>
      <c r="BB109" s="10">
        <v>0.97555068493150443</v>
      </c>
      <c r="BC109" s="10">
        <v>1.0340128627815133</v>
      </c>
      <c r="BD109" s="10">
        <v>0.97765033666128043</v>
      </c>
      <c r="BE109" s="10">
        <v>0.56090205527178882</v>
      </c>
      <c r="BF109" s="10">
        <v>0.58134107267238488</v>
      </c>
      <c r="BG109" s="10">
        <v>0.81459925702342362</v>
      </c>
      <c r="BH109" s="10">
        <v>0.94871451126063855</v>
      </c>
      <c r="BI109" s="10">
        <v>0.85298351520767524</v>
      </c>
      <c r="BJ109" s="10">
        <v>0.76702902252124316</v>
      </c>
    </row>
    <row r="110" spans="1:62" x14ac:dyDescent="0.3">
      <c r="A110" s="8">
        <v>46233</v>
      </c>
      <c r="B110" s="10">
        <v>1.2749999999997688</v>
      </c>
      <c r="C110" s="10">
        <v>1.0227999999999946</v>
      </c>
      <c r="D110" s="10">
        <v>1.1975000000000104</v>
      </c>
      <c r="E110">
        <v>143.70000000000095</v>
      </c>
      <c r="G110" s="10">
        <v>1.3110000000000068</v>
      </c>
      <c r="H110">
        <v>123.69999999999722</v>
      </c>
      <c r="I110" s="10">
        <v>1.2524999999999391</v>
      </c>
      <c r="K110" s="10">
        <v>1.1764999999999075</v>
      </c>
      <c r="N110">
        <v>118.04999999999643</v>
      </c>
      <c r="O110">
        <v>103.69999999999958</v>
      </c>
      <c r="Q110" s="10">
        <v>1.2112000000000094</v>
      </c>
      <c r="R110" s="10">
        <v>2.9405000000000809</v>
      </c>
      <c r="T110" s="10">
        <v>2.1714999999999751</v>
      </c>
      <c r="U110" s="10">
        <v>1.2054999999999476E-2</v>
      </c>
      <c r="V110" s="10">
        <v>1.1764999999999075</v>
      </c>
      <c r="W110" s="10">
        <v>3.8739999999998651E-2</v>
      </c>
      <c r="X110" s="10">
        <v>1.0404999999952296</v>
      </c>
      <c r="Y110" s="10">
        <v>0.93999999999996486</v>
      </c>
      <c r="Z110" s="10">
        <v>2.7099999999997739</v>
      </c>
      <c r="AA110" s="10">
        <v>0.97999999999990806</v>
      </c>
      <c r="AB110" s="10">
        <v>3.4554999999997111</v>
      </c>
      <c r="AC110" s="10">
        <v>0.93980000000001696</v>
      </c>
      <c r="AD110" s="10">
        <v>0.84249999999998859</v>
      </c>
      <c r="AE110" s="10">
        <v>0.89199999999997714</v>
      </c>
      <c r="AH110" s="10">
        <v>0.78671865882347836</v>
      </c>
      <c r="AI110" s="10">
        <v>0.53164447058821407</v>
      </c>
      <c r="AJ110" s="10">
        <v>0.54379999999998963</v>
      </c>
      <c r="AK110" s="10">
        <v>0.75946468235295828</v>
      </c>
      <c r="AL110" s="10">
        <v>0.7174961176459701</v>
      </c>
      <c r="AM110" s="10">
        <v>0.93616769411765266</v>
      </c>
      <c r="AN110" s="10">
        <v>0.99163529411768025</v>
      </c>
      <c r="AO110" s="10">
        <v>0.93661552941180015</v>
      </c>
      <c r="AP110" s="10">
        <v>0.90846588235280024</v>
      </c>
      <c r="AQ110" s="10">
        <v>0.53757495881382267</v>
      </c>
      <c r="AR110" s="10">
        <v>0.55883447058816804</v>
      </c>
      <c r="AS110" s="10">
        <v>0.786270823529298</v>
      </c>
      <c r="AT110" s="10">
        <v>0.82593623529411475</v>
      </c>
      <c r="AU110" s="10">
        <v>0.73796858823525679</v>
      </c>
      <c r="AW110" s="10">
        <v>0.81521876470582921</v>
      </c>
      <c r="AX110" s="10">
        <v>0.55090411764703673</v>
      </c>
      <c r="AY110" s="10">
        <v>0.56349999999998923</v>
      </c>
      <c r="AZ110" s="10">
        <v>0.78697747058825285</v>
      </c>
      <c r="BA110" s="10">
        <v>0.74348852941063637</v>
      </c>
      <c r="BB110" s="10">
        <v>0.97008182352941741</v>
      </c>
      <c r="BC110" s="10">
        <v>1.0275588235294459</v>
      </c>
      <c r="BD110" s="10">
        <v>0.9705458823529779</v>
      </c>
      <c r="BE110" s="10">
        <v>0.55786267357023533</v>
      </c>
      <c r="BF110" s="10">
        <v>0.57907911764698905</v>
      </c>
      <c r="BG110" s="10">
        <v>0.81475470588223498</v>
      </c>
      <c r="BH110" s="10">
        <v>0.94137647058808904</v>
      </c>
      <c r="BI110" s="10">
        <v>0.85585705882352625</v>
      </c>
      <c r="BJ110" s="10">
        <v>0.76470264705878477</v>
      </c>
    </row>
    <row r="111" spans="1:62" x14ac:dyDescent="0.3">
      <c r="A111" s="8">
        <v>46234</v>
      </c>
      <c r="B111" s="10">
        <v>1.2780099999998655</v>
      </c>
      <c r="C111" s="10">
        <v>1.0239900000000046</v>
      </c>
      <c r="D111" s="10">
        <v>1.1989000000000085</v>
      </c>
      <c r="E111">
        <v>144.49999999999986</v>
      </c>
      <c r="G111" s="10">
        <v>1.310999999999944</v>
      </c>
      <c r="H111">
        <v>123.58999999999905</v>
      </c>
      <c r="I111" s="10">
        <v>1.2544000000000031</v>
      </c>
      <c r="K111" s="10">
        <v>1.170999999999824</v>
      </c>
      <c r="N111">
        <v>117.90000000000389</v>
      </c>
      <c r="O111">
        <v>103.9999999999972</v>
      </c>
      <c r="Q111" s="10">
        <v>1.2140000000000157</v>
      </c>
      <c r="R111" s="10">
        <v>2.9469999999999925</v>
      </c>
      <c r="T111" s="10">
        <v>2.1745000000000685</v>
      </c>
      <c r="U111" s="10">
        <v>1.2099999999999793E-2</v>
      </c>
      <c r="V111" s="10">
        <v>1.170999999999824</v>
      </c>
      <c r="W111" s="10">
        <v>3.8749999999999257E-2</v>
      </c>
      <c r="X111" s="10">
        <v>1.0414999999946857</v>
      </c>
      <c r="Y111" s="10">
        <v>0.96739999999939386</v>
      </c>
      <c r="Z111" s="10">
        <v>2.7140000000000439</v>
      </c>
      <c r="AA111" s="10">
        <v>0.98499999999995169</v>
      </c>
      <c r="AB111" s="10">
        <v>3.470000000000045</v>
      </c>
      <c r="AC111" s="10">
        <v>0.94189999999992546</v>
      </c>
      <c r="AD111" s="10">
        <v>0.8459999999998904</v>
      </c>
      <c r="AE111" s="10">
        <v>0.89800000000006197</v>
      </c>
      <c r="AH111" s="10">
        <v>0.79234575087303116</v>
      </c>
      <c r="AI111" s="10">
        <v>0.5292235739231288</v>
      </c>
      <c r="AJ111" s="10">
        <v>0.54449999999999088</v>
      </c>
      <c r="AK111" s="10">
        <v>0.76413824214207327</v>
      </c>
      <c r="AL111" s="10">
        <v>0.72071769499342309</v>
      </c>
      <c r="AM111" s="10">
        <v>0.93370023282888159</v>
      </c>
      <c r="AN111" s="10">
        <v>0.98694586728752143</v>
      </c>
      <c r="AO111" s="10">
        <v>0.93186199068676689</v>
      </c>
      <c r="AP111" s="10">
        <v>0.91024679860300173</v>
      </c>
      <c r="AQ111" s="10">
        <v>0.54164755529679565</v>
      </c>
      <c r="AR111" s="10">
        <v>0.56085401629806231</v>
      </c>
      <c r="AS111" s="10">
        <v>0.79456431897590674</v>
      </c>
      <c r="AT111" s="10">
        <v>0.83445825965575848</v>
      </c>
      <c r="AU111" s="10">
        <v>0.74490013959991386</v>
      </c>
      <c r="AW111" s="10">
        <v>0.82363213038408778</v>
      </c>
      <c r="AX111" s="10">
        <v>0.55012037252615431</v>
      </c>
      <c r="AY111" s="10">
        <v>0.56599999999999073</v>
      </c>
      <c r="AZ111" s="10">
        <v>0.79431082654254115</v>
      </c>
      <c r="BA111" s="10">
        <v>0.749175785796653</v>
      </c>
      <c r="BB111" s="10">
        <v>0.97056810244471459</v>
      </c>
      <c r="BC111" s="10">
        <v>1.0259161816064966</v>
      </c>
      <c r="BD111" s="10">
        <v>0.96865727590213069</v>
      </c>
      <c r="BE111" s="10">
        <v>0.56303492433055358</v>
      </c>
      <c r="BF111" s="10">
        <v>0.58299976717117241</v>
      </c>
      <c r="BG111" s="10">
        <v>0.82593830034961124</v>
      </c>
      <c r="BH111" s="10">
        <v>0.94618859138530609</v>
      </c>
      <c r="BI111" s="10">
        <v>0.86657633783165844</v>
      </c>
      <c r="BJ111" s="10">
        <v>0.77357114937190474</v>
      </c>
    </row>
    <row r="112" spans="1:62" x14ac:dyDescent="0.3">
      <c r="A112" s="8">
        <v>46237</v>
      </c>
      <c r="B112" s="10">
        <v>1.2789999999998856</v>
      </c>
      <c r="C112" s="10">
        <v>1.0258500000000088</v>
      </c>
      <c r="D112" s="10">
        <v>1.2013999999999874</v>
      </c>
      <c r="E112">
        <v>144.85999999999999</v>
      </c>
      <c r="G112" s="10">
        <v>1.3137999999999928</v>
      </c>
      <c r="H112">
        <v>123.90000000000416</v>
      </c>
      <c r="I112" s="10">
        <v>1.2557999999999565</v>
      </c>
      <c r="K112" s="10">
        <v>1.1749999999998584</v>
      </c>
      <c r="N112">
        <v>118.54999999999949</v>
      </c>
      <c r="O112">
        <v>104.49999999999635</v>
      </c>
      <c r="Q112" s="10">
        <v>1.2136999999999893</v>
      </c>
      <c r="R112" s="10">
        <v>2.9489999999999834</v>
      </c>
      <c r="T112" s="10">
        <v>2.1734999999999736</v>
      </c>
      <c r="U112" s="10">
        <v>1.2039999999999846E-2</v>
      </c>
      <c r="V112" s="10">
        <v>1.1749999999998584</v>
      </c>
      <c r="W112" s="10">
        <v>3.8799999999998884E-2</v>
      </c>
      <c r="X112" s="10">
        <v>1.0409999999939386</v>
      </c>
      <c r="Y112" s="10">
        <v>0.94350000000000389</v>
      </c>
      <c r="Z112" s="10">
        <v>2.7080000000000064</v>
      </c>
      <c r="AA112" s="10">
        <v>0.9815000000000671</v>
      </c>
      <c r="AB112" s="10">
        <v>3.4670000000001209</v>
      </c>
      <c r="AC112" s="10">
        <v>0.93990000000000495</v>
      </c>
      <c r="AD112" s="10">
        <v>0.84799999999991116</v>
      </c>
      <c r="AE112" s="10">
        <v>0.8990000000000079</v>
      </c>
      <c r="AH112" s="10">
        <v>0.79779058579831874</v>
      </c>
      <c r="AI112" s="10">
        <v>0.53281446837914881</v>
      </c>
      <c r="AJ112" s="10">
        <v>0.54920000000003266</v>
      </c>
      <c r="AK112" s="10">
        <v>0.7721288065370111</v>
      </c>
      <c r="AL112" s="10">
        <v>0.7243448037740583</v>
      </c>
      <c r="AM112" s="10">
        <v>0.9366549430314659</v>
      </c>
      <c r="AN112" s="10">
        <v>0.98538704108644382</v>
      </c>
      <c r="AO112" s="10">
        <v>0.9372870065600134</v>
      </c>
      <c r="AP112" s="10">
        <v>0.91017148118321756</v>
      </c>
      <c r="AQ112" s="10">
        <v>0.54553403153412272</v>
      </c>
      <c r="AR112" s="10">
        <v>0.56380066751060676</v>
      </c>
      <c r="AS112" s="10">
        <v>0.80297350673275469</v>
      </c>
      <c r="AT112" s="10">
        <v>0.83691531821864695</v>
      </c>
      <c r="AU112" s="10">
        <v>0.74969055127161144</v>
      </c>
      <c r="AW112" s="10">
        <v>0.8261170905744788</v>
      </c>
      <c r="AX112" s="10">
        <v>0.55260582882149145</v>
      </c>
      <c r="AY112" s="10">
        <v>0.56870000000003373</v>
      </c>
      <c r="AZ112" s="10">
        <v>0.79954415928186118</v>
      </c>
      <c r="BA112" s="10">
        <v>0.75006352859851955</v>
      </c>
      <c r="BB112" s="10">
        <v>0.96991199217406143</v>
      </c>
      <c r="BC112" s="10">
        <v>1.0203743814017856</v>
      </c>
      <c r="BD112" s="10">
        <v>0.9705664978708658</v>
      </c>
      <c r="BE112" s="10">
        <v>0.56490386695822215</v>
      </c>
      <c r="BF112" s="10">
        <v>0.58381908159738172</v>
      </c>
      <c r="BG112" s="10">
        <v>0.83148403728863374</v>
      </c>
      <c r="BH112" s="10">
        <v>0.94248820347577533</v>
      </c>
      <c r="BI112" s="10">
        <v>0.8666309932100229</v>
      </c>
      <c r="BJ112" s="10">
        <v>0.77630920704327278</v>
      </c>
    </row>
    <row r="113" spans="1:62" x14ac:dyDescent="0.3">
      <c r="A113" s="8">
        <v>46238</v>
      </c>
      <c r="B113" s="10">
        <v>1.2791999999998982</v>
      </c>
      <c r="C113" s="10">
        <v>1.0259000000000031</v>
      </c>
      <c r="D113" s="10">
        <v>1.2015000000000005</v>
      </c>
      <c r="E113">
        <v>144.89999999999725</v>
      </c>
      <c r="G113" s="10">
        <v>1.3129999999999333</v>
      </c>
      <c r="H113">
        <v>123.74899999999943</v>
      </c>
      <c r="I113" s="10">
        <v>1.2559999999999634</v>
      </c>
      <c r="K113" s="10">
        <v>1.1769999999999075</v>
      </c>
      <c r="N113">
        <v>118.45000000000134</v>
      </c>
      <c r="O113">
        <v>104.54999999999426</v>
      </c>
      <c r="Q113" s="10">
        <v>1.2145100000000122</v>
      </c>
      <c r="R113" s="10">
        <v>2.9495000000000124</v>
      </c>
      <c r="T113" s="10">
        <v>2.1749999999999483</v>
      </c>
      <c r="U113" s="10">
        <v>1.1970000000000126E-2</v>
      </c>
      <c r="V113" s="10">
        <v>1.1769999999999075</v>
      </c>
      <c r="W113" s="10">
        <v>3.8850000000000544E-2</v>
      </c>
      <c r="X113" s="10">
        <v>1.0399999999927965</v>
      </c>
      <c r="Y113" s="10">
        <v>0.94100000000005313</v>
      </c>
      <c r="Z113" s="10">
        <v>2.7050000000002168</v>
      </c>
      <c r="AA113" s="10">
        <v>0.98200000000000531</v>
      </c>
      <c r="AB113" s="10">
        <v>3.464000000000242</v>
      </c>
      <c r="AC113" s="10">
        <v>0.93849999999998179</v>
      </c>
      <c r="AD113" s="10">
        <v>0.84790000000008259</v>
      </c>
      <c r="AE113" s="10">
        <v>0.89900000000010283</v>
      </c>
      <c r="AH113" s="10">
        <v>0.79681179723484574</v>
      </c>
      <c r="AI113" s="10">
        <v>0.53251834101380835</v>
      </c>
      <c r="AJ113" s="10">
        <v>0.5503999999999668</v>
      </c>
      <c r="AK113" s="10">
        <v>0.77024294930869519</v>
      </c>
      <c r="AL113" s="10">
        <v>0.72794838709646181</v>
      </c>
      <c r="AM113" s="10">
        <v>0.9321924423962864</v>
      </c>
      <c r="AN113" s="10">
        <v>0.98520331797225769</v>
      </c>
      <c r="AO113" s="10">
        <v>0.93688479262666091</v>
      </c>
      <c r="AP113" s="10">
        <v>0.91272552995392942</v>
      </c>
      <c r="AQ113" s="10">
        <v>0.54196936542671714</v>
      </c>
      <c r="AR113" s="10">
        <v>0.56371612903227153</v>
      </c>
      <c r="AS113" s="10">
        <v>0.80118709677438682</v>
      </c>
      <c r="AT113" s="10">
        <v>0.83790156682010319</v>
      </c>
      <c r="AU113" s="10">
        <v>0.74906396313334522</v>
      </c>
      <c r="AW113" s="10">
        <v>0.82620002304129092</v>
      </c>
      <c r="AX113" s="10">
        <v>0.55215882488477552</v>
      </c>
      <c r="AY113" s="10">
        <v>0.57069999999996557</v>
      </c>
      <c r="AZ113" s="10">
        <v>0.79865125576030593</v>
      </c>
      <c r="BA113" s="10">
        <v>0.75479677419322455</v>
      </c>
      <c r="BB113" s="10">
        <v>0.96657381336402737</v>
      </c>
      <c r="BC113" s="10">
        <v>1.0215398502303188</v>
      </c>
      <c r="BD113" s="10">
        <v>0.9714392281105293</v>
      </c>
      <c r="BE113" s="10">
        <v>0.56215536105035058</v>
      </c>
      <c r="BF113" s="10">
        <v>0.58450725806452997</v>
      </c>
      <c r="BG113" s="10">
        <v>0.8307366935485877</v>
      </c>
      <c r="BH113" s="10">
        <v>0.94638891705070405</v>
      </c>
      <c r="BI113" s="10">
        <v>0.86880527649751615</v>
      </c>
      <c r="BJ113" s="10">
        <v>0.77669114055268917</v>
      </c>
    </row>
    <row r="114" spans="1:62" x14ac:dyDescent="0.3">
      <c r="A114" s="8">
        <v>46239</v>
      </c>
      <c r="B114" s="10">
        <v>1.2804899999999266</v>
      </c>
      <c r="C114" s="10">
        <v>1.0257899999999855</v>
      </c>
      <c r="D114" s="10">
        <v>1.200999999999989</v>
      </c>
      <c r="E114">
        <v>144.20700000000176</v>
      </c>
      <c r="G114" s="10">
        <v>1.3117599999999756</v>
      </c>
      <c r="H114">
        <v>123.79999999999546</v>
      </c>
      <c r="I114" s="10">
        <v>1.2550000000000188</v>
      </c>
      <c r="K114" s="10">
        <v>1.1769999999999197</v>
      </c>
      <c r="N114">
        <v>117.99999999999756</v>
      </c>
      <c r="O114">
        <v>104.2499999999946</v>
      </c>
      <c r="Q114" s="10">
        <v>1.2140000000000015</v>
      </c>
      <c r="R114" s="10">
        <v>2.9450000000000518</v>
      </c>
      <c r="T114" s="10">
        <v>2.1700000000000257</v>
      </c>
      <c r="U114" s="10">
        <v>1.1964999999999747E-2</v>
      </c>
      <c r="V114" s="10">
        <v>1.1769999999999197</v>
      </c>
      <c r="W114" s="10">
        <v>3.8789999999998798E-2</v>
      </c>
      <c r="X114" s="10">
        <v>1.0364999999999784</v>
      </c>
      <c r="Y114" s="10">
        <v>0.9415000000000262</v>
      </c>
      <c r="Z114" s="10">
        <v>2.7004999999997819</v>
      </c>
      <c r="AA114" s="10">
        <v>0.9749999999999488</v>
      </c>
      <c r="AB114" s="10">
        <v>3.4600000000000204</v>
      </c>
      <c r="AC114" s="10">
        <v>0.93549999999997779</v>
      </c>
      <c r="AD114" s="10">
        <v>0.84500000000014841</v>
      </c>
      <c r="AE114" s="10">
        <v>0.88999999999991697</v>
      </c>
      <c r="AH114" s="10">
        <v>0.79402916666676904</v>
      </c>
      <c r="AI114" s="10">
        <v>0.52928935185183446</v>
      </c>
      <c r="AJ114" s="10">
        <v>0.5480000000000802</v>
      </c>
      <c r="AK114" s="10">
        <v>0.76631203703704331</v>
      </c>
      <c r="AL114" s="10">
        <v>0.72438749999904661</v>
      </c>
      <c r="AM114" s="10">
        <v>0.92639907407422328</v>
      </c>
      <c r="AN114" s="10">
        <v>0.98475092592585911</v>
      </c>
      <c r="AO114" s="10">
        <v>0.93489814814813532</v>
      </c>
      <c r="AP114" s="10">
        <v>0.91117685185181907</v>
      </c>
      <c r="AQ114" s="10">
        <v>0.54007175925920192</v>
      </c>
      <c r="AR114" s="10">
        <v>0.55941666666664036</v>
      </c>
      <c r="AS114" s="10">
        <v>0.79605879629642795</v>
      </c>
      <c r="AT114" s="10">
        <v>0.83531944444433637</v>
      </c>
      <c r="AU114" s="10">
        <v>0.74588888888879001</v>
      </c>
      <c r="AW114" s="10">
        <v>0.82445729166677306</v>
      </c>
      <c r="AX114" s="10">
        <v>0.54957233796294491</v>
      </c>
      <c r="AY114" s="10">
        <v>0.56900000000008333</v>
      </c>
      <c r="AZ114" s="10">
        <v>0.79567800925926591</v>
      </c>
      <c r="BA114" s="10">
        <v>0.75214687499901023</v>
      </c>
      <c r="BB114" s="10">
        <v>0.96189976851867343</v>
      </c>
      <c r="BC114" s="10">
        <v>1.0224877314814123</v>
      </c>
      <c r="BD114" s="10">
        <v>0.97072453703702366</v>
      </c>
      <c r="BE114" s="10">
        <v>0.56076793981475548</v>
      </c>
      <c r="BF114" s="10">
        <v>0.58085416666663947</v>
      </c>
      <c r="BG114" s="10">
        <v>0.82656469907421093</v>
      </c>
      <c r="BH114" s="10">
        <v>0.94609421296292906</v>
      </c>
      <c r="BI114" s="10">
        <v>0.86732986111099886</v>
      </c>
      <c r="BJ114" s="10">
        <v>0.77447222222211964</v>
      </c>
    </row>
    <row r="115" spans="1:62" x14ac:dyDescent="0.3">
      <c r="A115" s="8">
        <v>46240</v>
      </c>
      <c r="B115" s="10">
        <v>1.2779999999998677</v>
      </c>
      <c r="C115" s="10">
        <v>1.0247999999999802</v>
      </c>
      <c r="D115" s="10">
        <v>1.2005000000000094</v>
      </c>
      <c r="E115">
        <v>144.23999999999538</v>
      </c>
      <c r="G115" s="10">
        <v>1.309999999999965</v>
      </c>
      <c r="H115">
        <v>123.24900000000399</v>
      </c>
      <c r="I115" s="10">
        <v>1.2505000000000397</v>
      </c>
      <c r="K115" s="10">
        <v>1.1769999999998868</v>
      </c>
      <c r="N115">
        <v>118.25000000000043</v>
      </c>
      <c r="O115">
        <v>104.39999999999765</v>
      </c>
      <c r="Q115" s="10">
        <v>1.2149999999999879</v>
      </c>
      <c r="R115" s="10">
        <v>2.9505000000000536</v>
      </c>
      <c r="T115" s="10">
        <v>2.1679999999999775</v>
      </c>
      <c r="U115" s="10">
        <v>1.1869999999999015E-2</v>
      </c>
      <c r="V115" s="10">
        <v>1.1769999999998868</v>
      </c>
      <c r="W115" s="10">
        <v>3.8799999999997892E-2</v>
      </c>
      <c r="X115" s="10">
        <v>1.0385000000000388</v>
      </c>
      <c r="Y115" s="10">
        <v>0.93750000000000711</v>
      </c>
      <c r="Z115" s="10">
        <v>2.6990000000002397</v>
      </c>
      <c r="AA115" s="10">
        <v>0.98000000000004828</v>
      </c>
      <c r="AB115" s="10">
        <v>3.4479999999995568</v>
      </c>
      <c r="AC115" s="10">
        <v>0.9335000000000363</v>
      </c>
      <c r="AD115" s="10">
        <v>0.83050000000006863</v>
      </c>
      <c r="AE115" s="10">
        <v>0.89540000000009923</v>
      </c>
      <c r="AH115" s="10">
        <v>0.78423918462434483</v>
      </c>
      <c r="AI115" s="10">
        <v>0.52730483401277695</v>
      </c>
      <c r="AJ115" s="10">
        <v>0.54410000000003589</v>
      </c>
      <c r="AK115" s="10">
        <v>0.75857110075716994</v>
      </c>
      <c r="AL115" s="10">
        <v>0.71743878858386867</v>
      </c>
      <c r="AM115" s="10">
        <v>0.92595235876530035</v>
      </c>
      <c r="AN115" s="10">
        <v>0.98571779848572416</v>
      </c>
      <c r="AO115" s="10">
        <v>0.93241691322077513</v>
      </c>
      <c r="AP115" s="10">
        <v>0.91042475247529364</v>
      </c>
      <c r="AQ115" s="10">
        <v>0.53712842166569341</v>
      </c>
      <c r="AR115" s="10">
        <v>0.560578276062906</v>
      </c>
      <c r="AS115" s="10">
        <v>0.78791510774625206</v>
      </c>
      <c r="AT115" s="10">
        <v>0.82771648223632066</v>
      </c>
      <c r="AU115" s="10">
        <v>0.7373394758295807</v>
      </c>
      <c r="AW115" s="10">
        <v>0.81393101921956945</v>
      </c>
      <c r="AX115" s="10">
        <v>0.54726895748394644</v>
      </c>
      <c r="AY115" s="10">
        <v>0.56470000000003739</v>
      </c>
      <c r="AZ115" s="10">
        <v>0.78729112405361878</v>
      </c>
      <c r="BA115" s="10">
        <v>0.7446015142681689</v>
      </c>
      <c r="BB115" s="10">
        <v>0.96100955154340251</v>
      </c>
      <c r="BC115" s="10">
        <v>1.0230377518928297</v>
      </c>
      <c r="BD115" s="10">
        <v>0.96771885847412575</v>
      </c>
      <c r="BE115" s="10">
        <v>0.55746447291787748</v>
      </c>
      <c r="BF115" s="10">
        <v>0.58180215492138043</v>
      </c>
      <c r="BG115" s="10">
        <v>0.81774611531760455</v>
      </c>
      <c r="BH115" s="10">
        <v>0.9448940594059887</v>
      </c>
      <c r="BI115" s="10">
        <v>0.859054397204283</v>
      </c>
      <c r="BJ115" s="10">
        <v>0.76525565521221151</v>
      </c>
    </row>
    <row r="116" spans="1:62" x14ac:dyDescent="0.3">
      <c r="A116" s="8">
        <v>46241</v>
      </c>
      <c r="B116" s="10">
        <v>1.2809999999999493</v>
      </c>
      <c r="C116" s="10">
        <v>1.0264999999999858</v>
      </c>
      <c r="D116" s="10">
        <v>1.2027000000000181</v>
      </c>
      <c r="E116">
        <v>144.19900000000206</v>
      </c>
      <c r="G116" s="10">
        <v>1.3089000000000388</v>
      </c>
      <c r="H116">
        <v>123.19999999999898</v>
      </c>
      <c r="I116" s="10">
        <v>1.2559999999999547</v>
      </c>
      <c r="K116" s="10">
        <v>1.1804999999999233</v>
      </c>
      <c r="N116">
        <v>118.74999999999885</v>
      </c>
      <c r="O116">
        <v>104.54999999999815</v>
      </c>
      <c r="Q116" s="10">
        <v>1.2187500000000131</v>
      </c>
      <c r="R116" s="10">
        <v>2.9559999999999484</v>
      </c>
      <c r="T116" s="10">
        <v>2.1825000000000001</v>
      </c>
      <c r="U116" s="10">
        <v>1.1994999999999145E-2</v>
      </c>
      <c r="V116" s="10">
        <v>1.1804999999999233</v>
      </c>
      <c r="W116" s="10">
        <v>3.8849999999997525E-2</v>
      </c>
      <c r="X116" s="10">
        <v>1.0444999999938502</v>
      </c>
      <c r="Y116" s="10">
        <v>0.94399999999999584</v>
      </c>
      <c r="Z116" s="10">
        <v>2.7124999999999249</v>
      </c>
      <c r="AA116" s="10">
        <v>0.98449999999997861</v>
      </c>
      <c r="AB116" s="10">
        <v>3.4599999999998197</v>
      </c>
      <c r="AC116" s="10">
        <v>0.93850000000001743</v>
      </c>
      <c r="AD116" s="10">
        <v>0.84120000000004791</v>
      </c>
      <c r="AE116" s="10">
        <v>0.89809999999994661</v>
      </c>
      <c r="AH116" s="10">
        <v>0.77991033882557925</v>
      </c>
      <c r="AI116" s="10">
        <v>0.52692536273937796</v>
      </c>
      <c r="AJ116" s="10">
        <v>0.54410000000003422</v>
      </c>
      <c r="AK116" s="10">
        <v>0.75560324901385156</v>
      </c>
      <c r="AL116" s="10">
        <v>0.70616831051047924</v>
      </c>
      <c r="AM116" s="10">
        <v>0.92808888373159337</v>
      </c>
      <c r="AN116" s="10">
        <v>0.98554200510561818</v>
      </c>
      <c r="AO116" s="10">
        <v>0.92947786029243273</v>
      </c>
      <c r="AP116" s="10">
        <v>0.90851694128575355</v>
      </c>
      <c r="AQ116" s="10">
        <v>0.53987736506091932</v>
      </c>
      <c r="AR116" s="10">
        <v>0.56001009514968669</v>
      </c>
      <c r="AS116" s="10">
        <v>0.7823094801580267</v>
      </c>
      <c r="AT116" s="10">
        <v>0.82207110698543928</v>
      </c>
      <c r="AU116" s="10">
        <v>0.73300081225315228</v>
      </c>
      <c r="AW116" s="10">
        <v>0.81015497795298197</v>
      </c>
      <c r="AX116" s="10">
        <v>0.546770980847328</v>
      </c>
      <c r="AY116" s="10">
        <v>0.56520000000003578</v>
      </c>
      <c r="AZ116" s="10">
        <v>0.78490526804379523</v>
      </c>
      <c r="BA116" s="10">
        <v>0.73355326061481885</v>
      </c>
      <c r="BB116" s="10">
        <v>0.96407983290773147</v>
      </c>
      <c r="BC116" s="10">
        <v>1.0237609654212378</v>
      </c>
      <c r="BD116" s="10">
        <v>0.96552267347414655</v>
      </c>
      <c r="BE116" s="10">
        <v>0.56021079512476069</v>
      </c>
      <c r="BF116" s="10">
        <v>0.58172708284984931</v>
      </c>
      <c r="BG116" s="10">
        <v>0.81264715711324531</v>
      </c>
      <c r="BH116" s="10">
        <v>0.94374889765614411</v>
      </c>
      <c r="BI116" s="10">
        <v>0.85348591320498202</v>
      </c>
      <c r="BJ116" s="10">
        <v>0.76142631701062624</v>
      </c>
    </row>
    <row r="117" spans="1:62" x14ac:dyDescent="0.3">
      <c r="A117" s="8">
        <v>46244</v>
      </c>
      <c r="B117" s="10">
        <v>1.2830999999999699</v>
      </c>
      <c r="C117" s="10">
        <v>1.0272500000000095</v>
      </c>
      <c r="D117" s="10">
        <v>1.2029999999999919</v>
      </c>
      <c r="E117">
        <v>144.39999999999887</v>
      </c>
      <c r="G117" s="10">
        <v>1.3120000000000263</v>
      </c>
      <c r="H117">
        <v>123.44999999999322</v>
      </c>
      <c r="I117" s="10">
        <v>1.2570000000000301</v>
      </c>
      <c r="K117" s="10">
        <v>1.1809999999998999</v>
      </c>
      <c r="N117">
        <v>118.84999999999852</v>
      </c>
      <c r="O117">
        <v>104.74999999999784</v>
      </c>
      <c r="Q117" s="10">
        <v>1.220499999999981</v>
      </c>
      <c r="R117" s="10">
        <v>2.9634999999999865</v>
      </c>
      <c r="T117" s="10">
        <v>2.1879999999999185</v>
      </c>
      <c r="U117" s="10">
        <v>1.2089999999999939E-2</v>
      </c>
      <c r="V117" s="10">
        <v>1.1809999999998999</v>
      </c>
      <c r="W117" s="10">
        <v>3.883499999999749E-2</v>
      </c>
      <c r="X117" s="10">
        <v>1.0479999999954683</v>
      </c>
      <c r="Y117" s="10">
        <v>0.94750000000002454</v>
      </c>
      <c r="Z117" s="10">
        <v>2.7249999999997407</v>
      </c>
      <c r="AA117" s="10">
        <v>0.98900000000006127</v>
      </c>
      <c r="AB117" s="10">
        <v>3.4784999999997002</v>
      </c>
      <c r="AC117" s="10">
        <v>0.94239999999995405</v>
      </c>
      <c r="AD117" s="10">
        <v>0.84990000000003352</v>
      </c>
      <c r="AE117" s="10">
        <v>0.9022000000000352</v>
      </c>
      <c r="AH117" s="10">
        <v>0.77261705101339917</v>
      </c>
      <c r="AI117" s="10">
        <v>0.52219251336897821</v>
      </c>
      <c r="AJ117" s="10">
        <v>0.54249999999994225</v>
      </c>
      <c r="AK117" s="10">
        <v>0.74544873285300606</v>
      </c>
      <c r="AL117" s="10">
        <v>0.69600441757282538</v>
      </c>
      <c r="AM117" s="10">
        <v>0.91812543594520124</v>
      </c>
      <c r="AN117" s="10">
        <v>0.98541763543358019</v>
      </c>
      <c r="AO117" s="10">
        <v>0.92764851197395248</v>
      </c>
      <c r="AP117" s="10">
        <v>0.90437688909554825</v>
      </c>
      <c r="AQ117" s="10">
        <v>0.53133718902582627</v>
      </c>
      <c r="AR117" s="10">
        <v>0.55561787956289088</v>
      </c>
      <c r="AS117" s="10">
        <v>0.77944169960489462</v>
      </c>
      <c r="AT117" s="10">
        <v>0.81646692289757605</v>
      </c>
      <c r="AU117" s="10">
        <v>0.72779004882509402</v>
      </c>
      <c r="AW117" s="10">
        <v>0.80266722571640869</v>
      </c>
      <c r="AX117" s="10">
        <v>0.54250267379678552</v>
      </c>
      <c r="AY117" s="10">
        <v>0.56359999999994004</v>
      </c>
      <c r="AZ117" s="10">
        <v>0.77444222273908625</v>
      </c>
      <c r="BA117" s="10">
        <v>0.72307481980469002</v>
      </c>
      <c r="BB117" s="10">
        <v>0.95383501511283952</v>
      </c>
      <c r="BC117" s="10">
        <v>1.023744478028324</v>
      </c>
      <c r="BD117" s="10">
        <v>0.96372848174842318</v>
      </c>
      <c r="BE117" s="10">
        <v>0.55200302255291367</v>
      </c>
      <c r="BF117" s="10">
        <v>0.57722808649151214</v>
      </c>
      <c r="BG117" s="10">
        <v>0.80975731225312186</v>
      </c>
      <c r="BH117" s="10">
        <v>0.93955173215530141</v>
      </c>
      <c r="BI117" s="10">
        <v>0.84837309573707576</v>
      </c>
      <c r="BJ117" s="10">
        <v>0.7560967216918395</v>
      </c>
    </row>
    <row r="118" spans="1:62" x14ac:dyDescent="0.3">
      <c r="A118" s="8">
        <v>46245</v>
      </c>
      <c r="B118" s="10">
        <v>1.2844999999999569</v>
      </c>
      <c r="C118" s="10">
        <v>1.0289899999996159</v>
      </c>
      <c r="D118" s="10">
        <v>1.2037499999999945</v>
      </c>
      <c r="E118">
        <v>144.45099999999795</v>
      </c>
      <c r="G118" s="10">
        <v>1.3099999999999681</v>
      </c>
      <c r="H118">
        <v>123.24999999999895</v>
      </c>
      <c r="I118" s="10">
        <v>1.2529999999999064</v>
      </c>
      <c r="K118" s="10">
        <v>1.1849999999999605</v>
      </c>
      <c r="N118">
        <v>119.05000000000476</v>
      </c>
      <c r="O118">
        <v>104.79999999999995</v>
      </c>
      <c r="Q118" s="10">
        <v>1.2209999999999785</v>
      </c>
      <c r="R118" s="10">
        <v>2.9640000000000226</v>
      </c>
      <c r="T118" s="10">
        <v>2.1874999999999964</v>
      </c>
      <c r="U118" s="10">
        <v>1.2054999999999807E-2</v>
      </c>
      <c r="V118" s="10">
        <v>1.1849999999999605</v>
      </c>
      <c r="W118" s="10">
        <v>3.883999999999814E-2</v>
      </c>
      <c r="X118" s="10">
        <v>1.0469999999944632</v>
      </c>
      <c r="Y118" s="10">
        <v>0.94849999999994594</v>
      </c>
      <c r="Z118" s="10">
        <v>2.7249999999999619</v>
      </c>
      <c r="AA118" s="10">
        <v>0.98850000000013438</v>
      </c>
      <c r="AB118" s="10">
        <v>3.4759999999998858</v>
      </c>
      <c r="AC118" s="10">
        <v>0.94199999999995387</v>
      </c>
      <c r="AD118" s="10">
        <v>0.84800000000003362</v>
      </c>
      <c r="AE118" s="10">
        <v>0.90119999999989375</v>
      </c>
      <c r="AH118" s="10">
        <v>0.77210439024391098</v>
      </c>
      <c r="AI118" s="10">
        <v>0.52481139372819541</v>
      </c>
      <c r="AJ118" s="10">
        <v>0.54330000000002343</v>
      </c>
      <c r="AK118" s="10">
        <v>0.74900185916782536</v>
      </c>
      <c r="AL118" s="10">
        <v>0.69783445992617743</v>
      </c>
      <c r="AM118" s="10">
        <v>0.91837261324023489</v>
      </c>
      <c r="AN118" s="10">
        <v>0.98620623693381515</v>
      </c>
      <c r="AO118" s="10">
        <v>0.92790087108009667</v>
      </c>
      <c r="AP118" s="10">
        <v>0.905058292682973</v>
      </c>
      <c r="AQ118" s="10">
        <v>0.5383121208599333</v>
      </c>
      <c r="AR118" s="10">
        <v>0.55844425087105487</v>
      </c>
      <c r="AS118" s="10">
        <v>0.78125404181175218</v>
      </c>
      <c r="AT118" s="10">
        <v>0.81545480836250062</v>
      </c>
      <c r="AU118" s="10">
        <v>0.73203522648052133</v>
      </c>
      <c r="AW118" s="10">
        <v>0.80194829268293577</v>
      </c>
      <c r="AX118" s="10">
        <v>0.545096759581853</v>
      </c>
      <c r="AY118" s="10">
        <v>0.56430000000002434</v>
      </c>
      <c r="AZ118" s="10">
        <v>0.7779421333951011</v>
      </c>
      <c r="BA118" s="10">
        <v>0.72480763065772491</v>
      </c>
      <c r="BB118" s="10">
        <v>0.95387017421583753</v>
      </c>
      <c r="BC118" s="10">
        <v>1.0243257491289379</v>
      </c>
      <c r="BD118" s="10">
        <v>0.96376672473863179</v>
      </c>
      <c r="BE118" s="10">
        <v>0.559218407902349</v>
      </c>
      <c r="BF118" s="10">
        <v>0.58002961672471243</v>
      </c>
      <c r="BG118" s="10">
        <v>0.81145160278735828</v>
      </c>
      <c r="BH118" s="10">
        <v>0.94004121951224318</v>
      </c>
      <c r="BI118" s="10">
        <v>0.84697432055762778</v>
      </c>
      <c r="BJ118" s="10">
        <v>0.76033034843172875</v>
      </c>
    </row>
    <row r="119" spans="1:62" x14ac:dyDescent="0.3">
      <c r="A119" s="8">
        <v>46246</v>
      </c>
      <c r="B119" s="10">
        <v>1.2852999999999761</v>
      </c>
      <c r="C119" s="10">
        <v>1.0319999999997649</v>
      </c>
      <c r="D119" s="10">
        <v>1.2055100000000101</v>
      </c>
      <c r="E119">
        <v>144.55000000000055</v>
      </c>
      <c r="G119" s="10">
        <v>1.3114999999999635</v>
      </c>
      <c r="H119">
        <v>123.29999999999902</v>
      </c>
      <c r="I119" s="10">
        <v>1.252999999999947</v>
      </c>
      <c r="K119" s="10">
        <v>1.1849999999999625</v>
      </c>
      <c r="N119">
        <v>119.09999999999854</v>
      </c>
      <c r="O119">
        <v>105.2000000000002</v>
      </c>
      <c r="Q119" s="10">
        <v>1.2225000000000017</v>
      </c>
      <c r="R119" s="10">
        <v>2.9785000000000057</v>
      </c>
      <c r="T119" s="10">
        <v>2.1914999999999658</v>
      </c>
      <c r="U119" s="10">
        <v>1.2059999999999635E-2</v>
      </c>
      <c r="V119" s="10">
        <v>1.1849999999999625</v>
      </c>
      <c r="W119" s="10">
        <v>3.8849999999997477E-2</v>
      </c>
      <c r="X119" s="10">
        <v>1.0474999999944046</v>
      </c>
      <c r="Y119" s="10">
        <v>0.94760000000001721</v>
      </c>
      <c r="Z119" s="10">
        <v>2.7264999999998789</v>
      </c>
      <c r="AA119" s="10">
        <v>0.99099999999995148</v>
      </c>
      <c r="AB119" s="10">
        <v>3.4699999999997004</v>
      </c>
      <c r="AC119" s="10">
        <v>0.94229999999998615</v>
      </c>
      <c r="AD119" s="10">
        <v>0.84890000000009846</v>
      </c>
      <c r="AE119" s="10">
        <v>0.9014999999998784</v>
      </c>
      <c r="AH119" s="10">
        <v>0.77106087158074932</v>
      </c>
      <c r="AI119" s="10">
        <v>0.52397606629574067</v>
      </c>
      <c r="AJ119" s="10">
        <v>0.54370000000001895</v>
      </c>
      <c r="AK119" s="10">
        <v>0.74673678720443404</v>
      </c>
      <c r="AL119" s="10">
        <v>0.69582005099217814</v>
      </c>
      <c r="AM119" s="10">
        <v>0.91593410987485324</v>
      </c>
      <c r="AN119" s="10">
        <v>0.9855665275845239</v>
      </c>
      <c r="AO119" s="10">
        <v>0.92563853732036128</v>
      </c>
      <c r="AP119" s="10">
        <v>0.90144048446922864</v>
      </c>
      <c r="AQ119" s="10">
        <v>0.53784021323447373</v>
      </c>
      <c r="AR119" s="10">
        <v>0.55957997218359057</v>
      </c>
      <c r="AS119" s="10">
        <v>0.78026117292522623</v>
      </c>
      <c r="AT119" s="10">
        <v>0.8150774365510628</v>
      </c>
      <c r="AU119" s="10">
        <v>0.72783205841370846</v>
      </c>
      <c r="AW119" s="10">
        <v>0.80226068613799872</v>
      </c>
      <c r="AX119" s="10">
        <v>0.54517796708387078</v>
      </c>
      <c r="AY119" s="10">
        <v>0.56570000000001974</v>
      </c>
      <c r="AZ119" s="10">
        <v>0.77695236439497595</v>
      </c>
      <c r="BA119" s="10">
        <v>0.72397535929055579</v>
      </c>
      <c r="BB119" s="10">
        <v>0.95299600139084883</v>
      </c>
      <c r="BC119" s="10">
        <v>1.0254459898005615</v>
      </c>
      <c r="BD119" s="10">
        <v>0.96309310384794633</v>
      </c>
      <c r="BE119" s="10">
        <v>0.55950418356707443</v>
      </c>
      <c r="BF119" s="10">
        <v>0.58222253129346557</v>
      </c>
      <c r="BG119" s="10">
        <v>0.8118332637921658</v>
      </c>
      <c r="BH119" s="10">
        <v>0.93791591330557778</v>
      </c>
      <c r="BI119" s="10">
        <v>0.84790840190046202</v>
      </c>
      <c r="BJ119" s="10">
        <v>0.75728268428294077</v>
      </c>
    </row>
    <row r="120" spans="1:62" x14ac:dyDescent="0.3">
      <c r="A120" s="8">
        <v>46247</v>
      </c>
      <c r="B120" s="10">
        <v>1.2874899999999811</v>
      </c>
      <c r="C120" s="10">
        <v>1.0308799999997236</v>
      </c>
      <c r="D120" s="10">
        <v>1.2072999999999883</v>
      </c>
      <c r="E120">
        <v>144.64999999999978</v>
      </c>
      <c r="G120" s="10">
        <v>1.3113000000000332</v>
      </c>
      <c r="H120">
        <v>123.60000000000073</v>
      </c>
      <c r="I120" s="10">
        <v>1.2585000000000228</v>
      </c>
      <c r="K120" s="10">
        <v>1.1879999999999267</v>
      </c>
      <c r="N120">
        <v>119.15000000000187</v>
      </c>
      <c r="O120">
        <v>104.99999999999901</v>
      </c>
      <c r="Q120" s="10">
        <v>1.2244000000000141</v>
      </c>
      <c r="R120" s="10">
        <v>2.974000000000026</v>
      </c>
      <c r="T120" s="10">
        <v>2.1944999999999903</v>
      </c>
      <c r="U120" s="10">
        <v>1.2110000000000176E-2</v>
      </c>
      <c r="V120" s="10">
        <v>1.1879999999999267</v>
      </c>
      <c r="W120" s="10">
        <v>3.8779999999994395E-2</v>
      </c>
      <c r="X120" s="10">
        <v>1.0514999999961585</v>
      </c>
      <c r="Y120" s="10">
        <v>0.95249999999076596</v>
      </c>
      <c r="Z120" s="10">
        <v>2.7274999999998926</v>
      </c>
      <c r="AA120" s="10">
        <v>0.9870000000000192</v>
      </c>
      <c r="AB120" s="10">
        <v>3.4675000000000171</v>
      </c>
      <c r="AC120" s="10">
        <v>0.9413000000000038</v>
      </c>
      <c r="AD120" s="10">
        <v>0.84599999999995557</v>
      </c>
      <c r="AE120" s="10">
        <v>0.89830000000003907</v>
      </c>
      <c r="AH120" s="10">
        <v>0.76886906006731703</v>
      </c>
      <c r="AI120" s="10">
        <v>0.52367206924591581</v>
      </c>
      <c r="AJ120" s="10">
        <v>0.54350000000004028</v>
      </c>
      <c r="AK120" s="10">
        <v>0.74405257348658882</v>
      </c>
      <c r="AL120" s="10">
        <v>0.69397757638596491</v>
      </c>
      <c r="AM120" s="10">
        <v>0.91214796096212314</v>
      </c>
      <c r="AN120" s="10">
        <v>0.98476617869172145</v>
      </c>
      <c r="AO120" s="10">
        <v>0.92761879865217889</v>
      </c>
      <c r="AP120" s="10">
        <v>0.89964499825720201</v>
      </c>
      <c r="AQ120" s="10">
        <v>0.54053212501454628</v>
      </c>
      <c r="AR120" s="10">
        <v>0.55518206111306223</v>
      </c>
      <c r="AS120" s="10">
        <v>0.77846729406304571</v>
      </c>
      <c r="AT120" s="10">
        <v>0.81584988962491556</v>
      </c>
      <c r="AU120" s="10">
        <v>0.72605588474393157</v>
      </c>
      <c r="AW120" s="10">
        <v>0.80055749970946577</v>
      </c>
      <c r="AX120" s="10">
        <v>0.54525487393976757</v>
      </c>
      <c r="AY120" s="10">
        <v>0.56590000000004193</v>
      </c>
      <c r="AZ120" s="10">
        <v>0.77471821772964222</v>
      </c>
      <c r="BA120" s="10">
        <v>0.72257941210086019</v>
      </c>
      <c r="BB120" s="10">
        <v>0.94974154757767337</v>
      </c>
      <c r="BC120" s="10">
        <v>1.0253526780527049</v>
      </c>
      <c r="BD120" s="10">
        <v>0.96585000580914082</v>
      </c>
      <c r="BE120" s="10">
        <v>0.56280980597190733</v>
      </c>
      <c r="BF120" s="10">
        <v>0.57806352968515518</v>
      </c>
      <c r="BG120" s="10">
        <v>0.81055131869416297</v>
      </c>
      <c r="BH120" s="10">
        <v>0.93672328337396626</v>
      </c>
      <c r="BI120" s="10">
        <v>0.84947461368673349</v>
      </c>
      <c r="BJ120" s="10">
        <v>0.7559798071326419</v>
      </c>
    </row>
    <row r="121" spans="1:62" x14ac:dyDescent="0.3">
      <c r="A121" s="8">
        <v>46248</v>
      </c>
      <c r="B121" s="10">
        <v>1.2891999999999881</v>
      </c>
      <c r="C121" s="10">
        <v>1.0321999999998004</v>
      </c>
      <c r="D121" s="10">
        <v>1.2104500000000098</v>
      </c>
      <c r="E121">
        <v>145.30000000000427</v>
      </c>
      <c r="G121" s="10">
        <v>1.3145100000000083</v>
      </c>
      <c r="H121">
        <v>123.87999999999832</v>
      </c>
      <c r="I121" s="10">
        <v>1.2583999999999431</v>
      </c>
      <c r="J121" s="10">
        <v>0.98250000000002002</v>
      </c>
      <c r="K121" s="10">
        <v>1.1879999999999393</v>
      </c>
      <c r="N121">
        <v>119.25000000000017</v>
      </c>
      <c r="O121">
        <v>105.19999999999993</v>
      </c>
      <c r="Q121" s="10">
        <v>1.2269999999999932</v>
      </c>
      <c r="R121" s="10">
        <v>2.9795000000000527</v>
      </c>
      <c r="S121" s="10">
        <v>0.98250000000002002</v>
      </c>
      <c r="T121" s="10">
        <v>2.1950000000000105</v>
      </c>
      <c r="U121" s="10">
        <v>1.2075000000000004E-2</v>
      </c>
      <c r="V121" s="10">
        <v>1.1879999999999393</v>
      </c>
      <c r="W121" s="10">
        <v>3.8889999999998377E-2</v>
      </c>
      <c r="X121" s="10">
        <v>1.0519999999955141</v>
      </c>
      <c r="Y121" s="10">
        <v>0.95000000000001772</v>
      </c>
      <c r="Z121" s="10">
        <v>2.7314999999999823</v>
      </c>
      <c r="AA121" s="10">
        <v>0.98889999999991085</v>
      </c>
      <c r="AB121" s="10">
        <v>3.47099999999987</v>
      </c>
      <c r="AC121" s="10">
        <v>0.94200000000003781</v>
      </c>
      <c r="AD121" s="10">
        <v>0.85000000000001608</v>
      </c>
      <c r="AE121" s="10">
        <v>0.89999999999997626</v>
      </c>
      <c r="AH121" s="10">
        <v>0.76979177570080226</v>
      </c>
      <c r="AI121" s="10">
        <v>0.52443018691590115</v>
      </c>
      <c r="AJ121" s="10">
        <v>0.54439999999996813</v>
      </c>
      <c r="AK121" s="10">
        <v>0.74155420560753815</v>
      </c>
      <c r="AL121" s="10">
        <v>0.68997612148808396</v>
      </c>
      <c r="AM121" s="10">
        <v>0.90633696261678354</v>
      </c>
      <c r="AN121" s="10">
        <v>0.98825135514023987</v>
      </c>
      <c r="AO121" s="10">
        <v>0.92306327102813757</v>
      </c>
      <c r="AP121" s="10">
        <v>0.89946836448592282</v>
      </c>
      <c r="AQ121" s="10">
        <v>0.53853840765820871</v>
      </c>
      <c r="AR121" s="10">
        <v>0.55584766355142967</v>
      </c>
      <c r="AS121" s="10">
        <v>0.77812313084129403</v>
      </c>
      <c r="AT121" s="10">
        <v>0.81405607476636166</v>
      </c>
      <c r="AU121" s="10">
        <v>0.7285165887841647</v>
      </c>
      <c r="AW121" s="10">
        <v>0.79906196261668494</v>
      </c>
      <c r="AX121" s="10">
        <v>0.54437086448599503</v>
      </c>
      <c r="AY121" s="10">
        <v>0.56509999999996685</v>
      </c>
      <c r="AZ121" s="10">
        <v>0.76975070093464326</v>
      </c>
      <c r="BA121" s="10">
        <v>0.7162114369083693</v>
      </c>
      <c r="BB121" s="10">
        <v>0.94079907710276334</v>
      </c>
      <c r="BC121" s="10">
        <v>1.0258281425234193</v>
      </c>
      <c r="BD121" s="10">
        <v>0.95816137850477678</v>
      </c>
      <c r="BE121" s="10">
        <v>0.55912958206866969</v>
      </c>
      <c r="BF121" s="10">
        <v>0.5769829439252625</v>
      </c>
      <c r="BG121" s="10">
        <v>0.8077101051403659</v>
      </c>
      <c r="BH121" s="10">
        <v>0.93366931074760273</v>
      </c>
      <c r="BI121" s="10">
        <v>0.84500934579439924</v>
      </c>
      <c r="BJ121" s="10">
        <v>0.75621734812992547</v>
      </c>
    </row>
    <row r="122" spans="1:62" x14ac:dyDescent="0.3">
      <c r="A122" s="8">
        <v>46252</v>
      </c>
      <c r="B122" s="10">
        <v>1.2850999999999797</v>
      </c>
      <c r="C122" s="10">
        <v>1.029649999999708</v>
      </c>
      <c r="D122" s="10">
        <v>1.2035999999999898</v>
      </c>
      <c r="E122">
        <v>144.65000000000356</v>
      </c>
      <c r="G122" s="10">
        <v>1.3024999999999687</v>
      </c>
      <c r="H122">
        <v>122.50999999999712</v>
      </c>
      <c r="I122" s="10">
        <v>1.2544999999999822</v>
      </c>
      <c r="J122" s="10">
        <v>0.97850000000000381</v>
      </c>
      <c r="K122" s="10">
        <v>1.1754999999996658</v>
      </c>
      <c r="N122">
        <v>118.04999999999799</v>
      </c>
      <c r="O122">
        <v>105.00000000000014</v>
      </c>
      <c r="Q122" s="10">
        <v>1.2239999999999871</v>
      </c>
      <c r="R122" s="10">
        <v>2.9704999999999928</v>
      </c>
      <c r="S122" s="10">
        <v>0.97850000000000381</v>
      </c>
      <c r="T122" s="10">
        <v>2.1790000000000034</v>
      </c>
      <c r="U122" s="10">
        <v>1.2069999999999777E-2</v>
      </c>
      <c r="V122" s="10">
        <v>1.1754999999996658</v>
      </c>
      <c r="W122" s="10">
        <v>3.84999999999752E-2</v>
      </c>
      <c r="X122" s="10">
        <v>1.0450000000000268</v>
      </c>
      <c r="Y122" s="10">
        <v>0.95949999999458446</v>
      </c>
      <c r="Z122" s="10">
        <v>2.726500000000101</v>
      </c>
      <c r="AA122" s="10">
        <v>0.98779999999990675</v>
      </c>
      <c r="AB122" s="10">
        <v>3.4400000000000457</v>
      </c>
      <c r="AC122" s="10">
        <v>0.93100000000008654</v>
      </c>
      <c r="AD122" s="10">
        <v>0.8499999999999317</v>
      </c>
      <c r="AE122" s="10">
        <v>0.89799999999990265</v>
      </c>
      <c r="AH122" s="10">
        <v>0.75084349881782686</v>
      </c>
      <c r="AI122" s="10">
        <v>0.51718297872338015</v>
      </c>
      <c r="AJ122" s="10">
        <v>0.5359999999999594</v>
      </c>
      <c r="AK122" s="10">
        <v>0.72347328605191363</v>
      </c>
      <c r="AL122" s="10">
        <v>0.67728605199385017</v>
      </c>
      <c r="AM122" s="10">
        <v>0.89770496453904836</v>
      </c>
      <c r="AN122" s="10">
        <v>0.98266666666660829</v>
      </c>
      <c r="AO122" s="10">
        <v>0.90758865248217835</v>
      </c>
      <c r="AP122" s="10">
        <v>0.88129550827425651</v>
      </c>
      <c r="AQ122" s="10">
        <v>0.53130436841486472</v>
      </c>
      <c r="AR122" s="10">
        <v>0.55278959810867934</v>
      </c>
      <c r="AS122" s="10">
        <v>0.76313475177319834</v>
      </c>
      <c r="AT122" s="10">
        <v>0.79766430260054122</v>
      </c>
      <c r="AU122" s="10">
        <v>0.71219574467879154</v>
      </c>
      <c r="AW122" s="10">
        <v>0.78082120567361313</v>
      </c>
      <c r="AX122" s="10">
        <v>0.53783170212763443</v>
      </c>
      <c r="AY122" s="10">
        <v>0.55739999999995771</v>
      </c>
      <c r="AZ122" s="10">
        <v>0.75235822695025489</v>
      </c>
      <c r="BA122" s="10">
        <v>0.70432695033838078</v>
      </c>
      <c r="BB122" s="10">
        <v>0.93354617021280906</v>
      </c>
      <c r="BC122" s="10">
        <v>1.021899999999939</v>
      </c>
      <c r="BD122" s="10">
        <v>0.94382446808501141</v>
      </c>
      <c r="BE122" s="10">
        <v>0.55271514147038903</v>
      </c>
      <c r="BF122" s="10">
        <v>0.57485992907794381</v>
      </c>
      <c r="BG122" s="10">
        <v>0.7936031914895163</v>
      </c>
      <c r="BH122" s="10">
        <v>0.91648156028371364</v>
      </c>
      <c r="BI122" s="10">
        <v>0.82951134751780164</v>
      </c>
      <c r="BJ122" s="10">
        <v>0.7406304255297731</v>
      </c>
    </row>
    <row r="123" spans="1:62" x14ac:dyDescent="0.3">
      <c r="A123" s="8">
        <v>46253</v>
      </c>
      <c r="B123" s="10">
        <v>1.284999999999958</v>
      </c>
      <c r="C123" s="10">
        <v>1.028649999999673</v>
      </c>
      <c r="D123" s="10">
        <v>1.2025000000000057</v>
      </c>
      <c r="E123">
        <v>144.2000000000032</v>
      </c>
      <c r="G123" s="10">
        <v>1.2967000000000104</v>
      </c>
      <c r="H123">
        <v>122.49999999999768</v>
      </c>
      <c r="I123" s="10">
        <v>1.2520000000000104</v>
      </c>
      <c r="J123" s="10">
        <v>0.97399999999999043</v>
      </c>
      <c r="K123" s="10">
        <v>1.1799999999998325</v>
      </c>
      <c r="N123">
        <v>118.64999999999756</v>
      </c>
      <c r="O123">
        <v>104.8999999999951</v>
      </c>
      <c r="Q123" s="10">
        <v>1.2200000000000066</v>
      </c>
      <c r="R123" s="10">
        <v>2.9570000000000558</v>
      </c>
      <c r="S123" s="10">
        <v>0.97399999999999043</v>
      </c>
      <c r="T123" s="10">
        <v>2.1724999999998533</v>
      </c>
      <c r="U123" s="10">
        <v>1.1999999999999487E-2</v>
      </c>
      <c r="V123" s="10">
        <v>1.1799999999998325</v>
      </c>
      <c r="W123" s="10">
        <v>3.840499999996036E-2</v>
      </c>
      <c r="X123" s="10">
        <v>1.035999999999955</v>
      </c>
      <c r="Y123" s="10">
        <v>0.94199999999997797</v>
      </c>
      <c r="Z123" s="10">
        <v>2.7000000000001929</v>
      </c>
      <c r="AA123" s="10">
        <v>0.98489999999998989</v>
      </c>
      <c r="AB123" s="10">
        <v>3.4274999999996192</v>
      </c>
      <c r="AC123" s="10">
        <v>0.9259999999999069</v>
      </c>
      <c r="AD123" s="10">
        <v>0.83800000000007391</v>
      </c>
      <c r="AE123" s="10">
        <v>0.89089999999995284</v>
      </c>
      <c r="AH123" s="10">
        <v>0.75223568464704071</v>
      </c>
      <c r="AI123" s="10">
        <v>0.51497751037345973</v>
      </c>
      <c r="AJ123" s="10">
        <v>0.53410000000001512</v>
      </c>
      <c r="AK123" s="10">
        <v>0.71962614107879541</v>
      </c>
      <c r="AL123" s="10">
        <v>0.67200987549721547</v>
      </c>
      <c r="AM123" s="10">
        <v>0.89400804979238524</v>
      </c>
      <c r="AN123" s="10">
        <v>0.98322522821570302</v>
      </c>
      <c r="AO123" s="10">
        <v>0.90863485477174366</v>
      </c>
      <c r="AP123" s="10">
        <v>0.88014107883806059</v>
      </c>
      <c r="AQ123" s="10">
        <v>0.5374722097022594</v>
      </c>
      <c r="AR123" s="10">
        <v>0.55214605809121731</v>
      </c>
      <c r="AS123" s="10">
        <v>0.76489958506244748</v>
      </c>
      <c r="AT123" s="10">
        <v>0.79978863070543982</v>
      </c>
      <c r="AU123" s="10">
        <v>0.7129775933591691</v>
      </c>
      <c r="AW123" s="10">
        <v>0.7804040308236756</v>
      </c>
      <c r="AX123" s="10">
        <v>0.53426144635449158</v>
      </c>
      <c r="AY123" s="10">
        <v>0.55410000000001558</v>
      </c>
      <c r="AZ123" s="10">
        <v>0.74657338470653523</v>
      </c>
      <c r="BA123" s="10">
        <v>0.69717407229546335</v>
      </c>
      <c r="BB123" s="10">
        <v>0.92748522821561608</v>
      </c>
      <c r="BC123" s="10">
        <v>1.0200432483698201</v>
      </c>
      <c r="BD123" s="10">
        <v>0.94265975103730204</v>
      </c>
      <c r="BE123" s="10">
        <v>0.55740842130230572</v>
      </c>
      <c r="BF123" s="10">
        <v>0.57282181387070474</v>
      </c>
      <c r="BG123" s="10">
        <v>0.79354214582119842</v>
      </c>
      <c r="BH123" s="10">
        <v>0.91309899229389491</v>
      </c>
      <c r="BI123" s="10">
        <v>0.82973765263786559</v>
      </c>
      <c r="BJ123" s="10">
        <v>0.73967587433124038</v>
      </c>
    </row>
    <row r="124" spans="1:62" x14ac:dyDescent="0.3">
      <c r="A124" s="8">
        <v>46254</v>
      </c>
      <c r="B124" s="10">
        <v>1.2881399999999985</v>
      </c>
      <c r="C124" s="10">
        <v>1.0333999999998253</v>
      </c>
      <c r="D124" s="10">
        <v>1.2097999999999922</v>
      </c>
      <c r="E124">
        <v>145.10000000000193</v>
      </c>
      <c r="G124" s="10">
        <v>1.3154000000000408</v>
      </c>
      <c r="H124">
        <v>124.09999999999457</v>
      </c>
      <c r="I124" s="10">
        <v>1.2580000000000051</v>
      </c>
      <c r="J124" s="10">
        <v>0.98149999999999382</v>
      </c>
      <c r="K124" s="10">
        <v>1.1839999999999185</v>
      </c>
      <c r="N124">
        <v>119.44999999999813</v>
      </c>
      <c r="O124">
        <v>105.19999999999841</v>
      </c>
      <c r="Q124" s="10">
        <v>1.2234999999999907</v>
      </c>
      <c r="R124" s="10">
        <v>2.9690000000000509</v>
      </c>
      <c r="S124" s="10">
        <v>0.98149999999999382</v>
      </c>
      <c r="T124" s="10">
        <v>2.1834999999999933</v>
      </c>
      <c r="U124" s="10">
        <v>1.2049999999999526E-2</v>
      </c>
      <c r="V124" s="10">
        <v>1.1839999999999185</v>
      </c>
      <c r="W124" s="10">
        <v>3.8509999999971269E-2</v>
      </c>
      <c r="X124" s="10">
        <v>1.0435000000000303</v>
      </c>
      <c r="Y124" s="10">
        <v>0.95200000000000817</v>
      </c>
      <c r="Z124" s="10">
        <v>2.7099999999999307</v>
      </c>
      <c r="AA124" s="10">
        <v>0.9840000000000364</v>
      </c>
      <c r="AB124" s="10">
        <v>3.4420000000003093</v>
      </c>
      <c r="AC124" s="10">
        <v>0.93499999999995753</v>
      </c>
      <c r="AD124" s="10">
        <v>0.8374999999999363</v>
      </c>
      <c r="AE124" s="10">
        <v>0.88989999999992464</v>
      </c>
      <c r="AH124" s="10">
        <v>0.74418753567986318</v>
      </c>
      <c r="AI124" s="10">
        <v>0.51185366317792402</v>
      </c>
      <c r="AJ124" s="10">
        <v>0.53040000000004006</v>
      </c>
      <c r="AK124" s="10">
        <v>0.7122045670790933</v>
      </c>
      <c r="AL124" s="10">
        <v>0.66268458607120206</v>
      </c>
      <c r="AM124" s="10">
        <v>0.88505137963832947</v>
      </c>
      <c r="AN124" s="10">
        <v>0.97904471931487469</v>
      </c>
      <c r="AO124" s="10">
        <v>0.90208372978106066</v>
      </c>
      <c r="AP124" s="10">
        <v>0.87319181731693873</v>
      </c>
      <c r="AQ124" s="10">
        <v>0.53625423406283668</v>
      </c>
      <c r="AR124" s="10">
        <v>0.54970333016173678</v>
      </c>
      <c r="AS124" s="10">
        <v>0.7564255946719608</v>
      </c>
      <c r="AT124" s="10">
        <v>0.79553691722155973</v>
      </c>
      <c r="AU124" s="10">
        <v>0.70406688867400102</v>
      </c>
      <c r="AW124" s="10">
        <v>0.77379228116034038</v>
      </c>
      <c r="AX124" s="10">
        <v>0.53221586584205349</v>
      </c>
      <c r="AY124" s="10">
        <v>0.55150000000004173</v>
      </c>
      <c r="AZ124" s="10">
        <v>0.74053698858242845</v>
      </c>
      <c r="BA124" s="10">
        <v>0.68904703849598037</v>
      </c>
      <c r="BB124" s="10">
        <v>0.92025987155078948</v>
      </c>
      <c r="BC124" s="10">
        <v>1.0179923882016466</v>
      </c>
      <c r="BD124" s="10">
        <v>0.93796979067544317</v>
      </c>
      <c r="BE124" s="10">
        <v>0.55654548049480779</v>
      </c>
      <c r="BF124" s="10">
        <v>0.57157124167458118</v>
      </c>
      <c r="BG124" s="10">
        <v>0.78651718601354903</v>
      </c>
      <c r="BH124" s="10">
        <v>0.9079285204568095</v>
      </c>
      <c r="BI124" s="10">
        <v>0.82718440770680657</v>
      </c>
      <c r="BJ124" s="10">
        <v>0.73207558277472029</v>
      </c>
    </row>
    <row r="125" spans="1:62" x14ac:dyDescent="0.3">
      <c r="A125" s="8">
        <v>46255</v>
      </c>
      <c r="B125" s="10">
        <v>1.2930599999999937</v>
      </c>
      <c r="C125" s="10">
        <v>1.0355999999999101</v>
      </c>
      <c r="D125" s="10">
        <v>1.21434999999999</v>
      </c>
      <c r="E125">
        <v>145.70000000000258</v>
      </c>
      <c r="G125" s="10">
        <v>1.3193999999999864</v>
      </c>
      <c r="H125">
        <v>124.34999999999815</v>
      </c>
      <c r="I125" s="10">
        <v>1.2599999999999409</v>
      </c>
      <c r="J125" s="10">
        <v>0.98299999999999865</v>
      </c>
      <c r="K125" s="10">
        <v>1.1900000000000273</v>
      </c>
      <c r="N125">
        <v>120.0000000000025</v>
      </c>
      <c r="O125">
        <v>105.44999999999209</v>
      </c>
      <c r="Q125" s="10">
        <v>1.2264999999999853</v>
      </c>
      <c r="R125" s="10">
        <v>2.9790000000000014</v>
      </c>
      <c r="S125" s="10">
        <v>0.98299999999999865</v>
      </c>
      <c r="T125" s="10">
        <v>2.1910000000000109</v>
      </c>
      <c r="U125" s="10">
        <v>1.2094999999999695E-2</v>
      </c>
      <c r="V125" s="10">
        <v>1.1900000000000273</v>
      </c>
      <c r="W125" s="10">
        <v>3.8624999999979794E-2</v>
      </c>
      <c r="X125" s="10">
        <v>1.0494999999923462</v>
      </c>
      <c r="Y125" s="10">
        <v>0.95100000000003204</v>
      </c>
      <c r="Z125" s="10">
        <v>2.7225000000000215</v>
      </c>
      <c r="AA125" s="10">
        <v>0.96460000000008816</v>
      </c>
      <c r="AB125" s="10">
        <v>3.4589999999999104</v>
      </c>
      <c r="AC125" s="10">
        <v>0.93860000000002886</v>
      </c>
      <c r="AD125" s="10">
        <v>0.83849999999998914</v>
      </c>
      <c r="AE125" s="10">
        <v>0.89250000000000151</v>
      </c>
      <c r="AH125" s="10">
        <v>0.75251716788990963</v>
      </c>
      <c r="AI125" s="10">
        <v>0.51368458441866471</v>
      </c>
      <c r="AJ125" s="10">
        <v>0.5300000000000098</v>
      </c>
      <c r="AK125" s="10">
        <v>0.72352592943422822</v>
      </c>
      <c r="AL125" s="10">
        <v>0.67150485434404805</v>
      </c>
      <c r="AM125" s="10">
        <v>0.89128522377461905</v>
      </c>
      <c r="AN125" s="10">
        <v>0.98080748283208496</v>
      </c>
      <c r="AO125" s="10">
        <v>0.91052569263560845</v>
      </c>
      <c r="AP125" s="10">
        <v>0.87350224958553813</v>
      </c>
      <c r="AQ125" s="10">
        <v>0.53796945299549281</v>
      </c>
      <c r="AR125" s="10">
        <v>0.55284158181383258</v>
      </c>
      <c r="AS125" s="10">
        <v>0.76651077433092796</v>
      </c>
      <c r="AT125" s="10">
        <v>0.80378522377436668</v>
      </c>
      <c r="AU125" s="10">
        <v>0.71541498934211478</v>
      </c>
      <c r="AW125" s="10">
        <v>0.78119801089250629</v>
      </c>
      <c r="AX125" s="10">
        <v>0.53326275159839509</v>
      </c>
      <c r="AY125" s="10">
        <v>0.55020000000001024</v>
      </c>
      <c r="AZ125" s="10">
        <v>0.75110182334851383</v>
      </c>
      <c r="BA125" s="10">
        <v>0.69709805822659476</v>
      </c>
      <c r="BB125" s="10">
        <v>0.92455091167421855</v>
      </c>
      <c r="BC125" s="10">
        <v>1.0181892019890817</v>
      </c>
      <c r="BD125" s="10">
        <v>0.94522874733605988</v>
      </c>
      <c r="BE125" s="10">
        <v>0.55847319441154741</v>
      </c>
      <c r="BF125" s="10">
        <v>0.57391214776220889</v>
      </c>
      <c r="BG125" s="10">
        <v>0.79572495856014447</v>
      </c>
      <c r="BH125" s="10">
        <v>0.90679422211691163</v>
      </c>
      <c r="BI125" s="10">
        <v>0.8344200568314275</v>
      </c>
      <c r="BJ125" s="10">
        <v>0.74211662325158489</v>
      </c>
    </row>
    <row r="126" spans="1:62" x14ac:dyDescent="0.3">
      <c r="A126" s="8">
        <v>46258</v>
      </c>
      <c r="B126" s="10">
        <v>1.2939999999999867</v>
      </c>
      <c r="C126" s="10">
        <v>1.0371699999999426</v>
      </c>
      <c r="D126" s="10">
        <v>1.2152000000000056</v>
      </c>
      <c r="E126">
        <v>146.07999999999939</v>
      </c>
      <c r="G126" s="10">
        <v>1.3234000000000601</v>
      </c>
      <c r="H126">
        <v>124.62999999999937</v>
      </c>
      <c r="I126" s="10">
        <v>1.259999999999976</v>
      </c>
      <c r="J126" s="10">
        <v>0.98449999999997362</v>
      </c>
      <c r="K126" s="10">
        <v>1.1899999999999828</v>
      </c>
      <c r="N126">
        <v>120.24999999999876</v>
      </c>
      <c r="O126">
        <v>105.24999999999255</v>
      </c>
      <c r="Q126" s="10">
        <v>1.2280000000000046</v>
      </c>
      <c r="R126" s="10">
        <v>2.9814999999999823</v>
      </c>
      <c r="S126" s="10">
        <v>0.98449999999997362</v>
      </c>
      <c r="T126" s="10">
        <v>2.1920000000000033</v>
      </c>
      <c r="U126" s="10">
        <v>1.2109999999999512E-2</v>
      </c>
      <c r="V126" s="10">
        <v>1.1899999999999828</v>
      </c>
      <c r="W126" s="10">
        <v>3.8749999999983853E-2</v>
      </c>
      <c r="X126" s="10">
        <v>1.0500000000000065</v>
      </c>
      <c r="Y126" s="10">
        <v>0.95299999999993579</v>
      </c>
      <c r="Z126" s="10">
        <v>2.7244999999999875</v>
      </c>
      <c r="AA126" s="10">
        <v>0.98349999999993865</v>
      </c>
      <c r="AB126" s="10">
        <v>3.457000000000189</v>
      </c>
      <c r="AC126" s="10">
        <v>0.93840000000002433</v>
      </c>
      <c r="AD126" s="10">
        <v>0.8429999999999428</v>
      </c>
      <c r="AE126" s="10">
        <v>0.89199999999994972</v>
      </c>
      <c r="AH126" s="10">
        <v>0.75296111242034358</v>
      </c>
      <c r="AI126" s="10">
        <v>0.51751220087233019</v>
      </c>
      <c r="AJ126" s="10">
        <v>0.53069999999999729</v>
      </c>
      <c r="AK126" s="10">
        <v>0.722692576007673</v>
      </c>
      <c r="AL126" s="10">
        <v>0.67416285644698615</v>
      </c>
      <c r="AM126" s="10">
        <v>0.89210882630229105</v>
      </c>
      <c r="AN126" s="10">
        <v>0.983102050435954</v>
      </c>
      <c r="AO126" s="10">
        <v>0.90986970304028614</v>
      </c>
      <c r="AP126" s="10">
        <v>0.87641171341023982</v>
      </c>
      <c r="AQ126" s="10">
        <v>0.53820106007064894</v>
      </c>
      <c r="AR126" s="10">
        <v>0.55064971718126299</v>
      </c>
      <c r="AS126" s="10">
        <v>0.7674074593446274</v>
      </c>
      <c r="AT126" s="10">
        <v>0.80493043836921596</v>
      </c>
      <c r="AU126" s="10">
        <v>0.71668889936174607</v>
      </c>
      <c r="AW126" s="10">
        <v>0.78261418807435756</v>
      </c>
      <c r="AX126" s="10">
        <v>0.53849770128491981</v>
      </c>
      <c r="AY126" s="10">
        <v>0.55159999999999731</v>
      </c>
      <c r="AZ126" s="10">
        <v>0.75115361772344547</v>
      </c>
      <c r="BA126" s="10">
        <v>0.70071270325260526</v>
      </c>
      <c r="BB126" s="10">
        <v>0.92724181004021833</v>
      </c>
      <c r="BC126" s="10">
        <v>1.0218185246287401</v>
      </c>
      <c r="BD126" s="10">
        <v>0.94570214470891645</v>
      </c>
      <c r="BE126" s="10">
        <v>0.55970070671375749</v>
      </c>
      <c r="BF126" s="10">
        <v>0.5723353759132932</v>
      </c>
      <c r="BG126" s="10">
        <v>0.79762946028734971</v>
      </c>
      <c r="BH126" s="10">
        <v>0.91092651425869287</v>
      </c>
      <c r="BI126" s="10">
        <v>0.83663016733457629</v>
      </c>
      <c r="BJ126" s="10">
        <v>0.74491350459381811</v>
      </c>
    </row>
    <row r="127" spans="1:62" x14ac:dyDescent="0.3">
      <c r="A127" s="8">
        <v>46259</v>
      </c>
      <c r="B127" s="10">
        <v>1.2930999999999875</v>
      </c>
      <c r="C127" s="10">
        <v>1.0371999999999284</v>
      </c>
      <c r="D127" s="10">
        <v>1.2143999999999908</v>
      </c>
      <c r="E127">
        <v>145.65199999999894</v>
      </c>
      <c r="G127" s="10">
        <v>1.3219000000000027</v>
      </c>
      <c r="H127">
        <v>124.54999999999868</v>
      </c>
      <c r="I127" s="10">
        <v>1.2533999999999761</v>
      </c>
      <c r="J127" s="10">
        <v>0.98380000000002654</v>
      </c>
      <c r="K127" s="10">
        <v>1.1964999999999462</v>
      </c>
      <c r="N127">
        <v>120.14999999999768</v>
      </c>
      <c r="O127">
        <v>105.29999999999787</v>
      </c>
      <c r="Q127" s="10">
        <v>1.2279999999999969</v>
      </c>
      <c r="R127" s="10">
        <v>2.9815000000000746</v>
      </c>
      <c r="S127" s="10">
        <v>0.98380000000002654</v>
      </c>
      <c r="T127" s="10">
        <v>2.1940000000000155</v>
      </c>
      <c r="U127" s="10">
        <v>1.2174999999999613E-2</v>
      </c>
      <c r="V127" s="10">
        <v>1.1964999999999462</v>
      </c>
      <c r="W127" s="10">
        <v>3.8814999999987096E-2</v>
      </c>
      <c r="X127" s="10">
        <v>1.0494999999999208</v>
      </c>
      <c r="Y127" s="10">
        <v>0.9524999999999646</v>
      </c>
      <c r="Z127" s="10">
        <v>2.7250000000001533</v>
      </c>
      <c r="AA127" s="10">
        <v>0.98249999999995796</v>
      </c>
      <c r="AB127" s="10">
        <v>3.4539999999995636</v>
      </c>
      <c r="AC127" s="10">
        <v>0.93939999999988888</v>
      </c>
      <c r="AD127" s="10">
        <v>0.84119999999993145</v>
      </c>
      <c r="AE127" s="10">
        <v>0.89129999999995935</v>
      </c>
      <c r="AH127" s="10">
        <v>0.75238396226386417</v>
      </c>
      <c r="AI127" s="10">
        <v>0.51652849056600603</v>
      </c>
      <c r="AJ127" s="10">
        <v>0.5308000000000237</v>
      </c>
      <c r="AK127" s="10">
        <v>0.72202570754723017</v>
      </c>
      <c r="AL127" s="10">
        <v>0.67345249997620893</v>
      </c>
      <c r="AM127" s="10">
        <v>0.89444178647176753</v>
      </c>
      <c r="AN127" s="10">
        <v>0.98705014150934489</v>
      </c>
      <c r="AO127" s="10">
        <v>0.90980872641520083</v>
      </c>
      <c r="AP127" s="10">
        <v>0.87688410377350667</v>
      </c>
      <c r="AQ127" s="10">
        <v>0.53887466981138687</v>
      </c>
      <c r="AR127" s="10">
        <v>0.55395990566035014</v>
      </c>
      <c r="AS127" s="10">
        <v>0.76840811320771518</v>
      </c>
      <c r="AT127" s="10">
        <v>0.80546396226391503</v>
      </c>
      <c r="AU127" s="10">
        <v>0.71576627358275602</v>
      </c>
      <c r="AW127" s="10">
        <v>0.78115825471668354</v>
      </c>
      <c r="AX127" s="10">
        <v>0.53628268867921247</v>
      </c>
      <c r="AY127" s="10">
        <v>0.55110000000002468</v>
      </c>
      <c r="AZ127" s="10">
        <v>0.74963897405666668</v>
      </c>
      <c r="BA127" s="10">
        <v>0.69920812497529927</v>
      </c>
      <c r="BB127" s="10">
        <v>0.92984185717645462</v>
      </c>
      <c r="BC127" s="10">
        <v>1.0247990448112285</v>
      </c>
      <c r="BD127" s="10">
        <v>0.94460359669822391</v>
      </c>
      <c r="BE127" s="10">
        <v>0.55948347877365368</v>
      </c>
      <c r="BF127" s="10">
        <v>0.57514563679242481</v>
      </c>
      <c r="BG127" s="10">
        <v>0.79779523584923129</v>
      </c>
      <c r="BH127" s="10">
        <v>0.91041979952822094</v>
      </c>
      <c r="BI127" s="10">
        <v>0.8362682547167366</v>
      </c>
      <c r="BJ127" s="10">
        <v>0.7431401532996551</v>
      </c>
    </row>
    <row r="128" spans="1:62" x14ac:dyDescent="0.3">
      <c r="A128" s="8">
        <v>46260</v>
      </c>
      <c r="B128" s="10">
        <v>1.2949999999999939</v>
      </c>
      <c r="C128" s="10">
        <v>1.0386899999999522</v>
      </c>
      <c r="D128" s="10">
        <v>1.21475000000001</v>
      </c>
      <c r="E128">
        <v>145.45000000000346</v>
      </c>
      <c r="G128" s="10">
        <v>1.3194500000000289</v>
      </c>
      <c r="H128">
        <v>124.15000000000636</v>
      </c>
      <c r="I128" s="10">
        <v>1.2534500000000188</v>
      </c>
      <c r="J128" s="10">
        <v>0.98299999999999654</v>
      </c>
      <c r="K128" s="10">
        <v>1.1809999999997101</v>
      </c>
      <c r="N128">
        <v>120.35000000000178</v>
      </c>
      <c r="O128">
        <v>105.39999999999398</v>
      </c>
      <c r="Q128" s="10">
        <v>1.2275000000000063</v>
      </c>
      <c r="R128" s="10">
        <v>2.9815000000000031</v>
      </c>
      <c r="S128" s="10">
        <v>0.98299999999999654</v>
      </c>
      <c r="T128" s="10">
        <v>2.1924999999999297</v>
      </c>
      <c r="U128" s="10">
        <v>1.2145000000000008E-2</v>
      </c>
      <c r="V128" s="10">
        <v>1.1809999999997101</v>
      </c>
      <c r="W128" s="10">
        <v>3.880499999998465E-2</v>
      </c>
      <c r="X128" s="10">
        <v>1.0519999999918261</v>
      </c>
      <c r="Y128" s="10">
        <v>0.95250000000001689</v>
      </c>
      <c r="Z128" s="10">
        <v>2.7259999999999125</v>
      </c>
      <c r="AA128" s="10">
        <v>0.98449999999991689</v>
      </c>
      <c r="AB128" s="10">
        <v>3.459499999999851</v>
      </c>
      <c r="AC128" s="10">
        <v>0.93999999999995465</v>
      </c>
      <c r="AD128" s="10">
        <v>0.84740000000003068</v>
      </c>
      <c r="AE128" s="10">
        <v>0.889899999999889</v>
      </c>
      <c r="AH128" s="10">
        <v>0.74961024252382547</v>
      </c>
      <c r="AI128" s="10">
        <v>0.51439931716505638</v>
      </c>
      <c r="AJ128" s="10">
        <v>0.52909999999999269</v>
      </c>
      <c r="AK128" s="10">
        <v>0.71883847421702218</v>
      </c>
      <c r="AL128" s="10">
        <v>0.67180874732380846</v>
      </c>
      <c r="AM128" s="10">
        <v>0.88683737932666828</v>
      </c>
      <c r="AN128" s="10">
        <v>0.98575553331759536</v>
      </c>
      <c r="AO128" s="10">
        <v>0.90627218036251156</v>
      </c>
      <c r="AP128" s="10">
        <v>0.87450375559213878</v>
      </c>
      <c r="AQ128" s="10">
        <v>0.53507993878030402</v>
      </c>
      <c r="AR128" s="10">
        <v>0.55320662820814959</v>
      </c>
      <c r="AS128" s="10">
        <v>0.76524529079362713</v>
      </c>
      <c r="AT128" s="10">
        <v>0.80230845302578624</v>
      </c>
      <c r="AU128" s="10">
        <v>0.71335686366583095</v>
      </c>
      <c r="AW128" s="10">
        <v>0.77992900871171011</v>
      </c>
      <c r="AX128" s="10">
        <v>0.53520473275252967</v>
      </c>
      <c r="AY128" s="10">
        <v>0.55049999999999233</v>
      </c>
      <c r="AZ128" s="10">
        <v>0.74791264421937376</v>
      </c>
      <c r="BA128" s="10">
        <v>0.69898075109007096</v>
      </c>
      <c r="BB128" s="10">
        <v>0.92270643983997502</v>
      </c>
      <c r="BC128" s="10">
        <v>1.0256254414880668</v>
      </c>
      <c r="BD128" s="10">
        <v>0.94292730162457472</v>
      </c>
      <c r="BE128" s="10">
        <v>0.55672180362607704</v>
      </c>
      <c r="BF128" s="10">
        <v>0.57558164586767402</v>
      </c>
      <c r="BG128" s="10">
        <v>0.79619643277620811</v>
      </c>
      <c r="BH128" s="10">
        <v>0.90987396986103264</v>
      </c>
      <c r="BI128" s="10">
        <v>0.83475865316706732</v>
      </c>
      <c r="BJ128" s="10">
        <v>0.74220932422611952</v>
      </c>
    </row>
    <row r="129" spans="1:62" x14ac:dyDescent="0.3">
      <c r="A129" s="8">
        <v>46261</v>
      </c>
      <c r="B129" s="10">
        <v>1.2960000000000074</v>
      </c>
      <c r="C129" s="10">
        <v>1.0391399999999595</v>
      </c>
      <c r="D129" s="10">
        <v>1.2157000000000182</v>
      </c>
      <c r="E129">
        <v>145.74999999999631</v>
      </c>
      <c r="G129" s="10">
        <v>1.3192999999999682</v>
      </c>
      <c r="H129">
        <v>123.99000000000112</v>
      </c>
      <c r="I129" s="10">
        <v>1.254199999999956</v>
      </c>
      <c r="J129" s="10">
        <v>0.98299999999998022</v>
      </c>
      <c r="K129" s="10">
        <v>1.1819999999997413</v>
      </c>
      <c r="N129">
        <v>120.59999999999744</v>
      </c>
      <c r="O129">
        <v>105.44999999999767</v>
      </c>
      <c r="Q129" s="10">
        <v>1.2311999999999819</v>
      </c>
      <c r="R129" s="10">
        <v>2.9840000000000053</v>
      </c>
      <c r="S129" s="10">
        <v>0.98299999999998022</v>
      </c>
      <c r="T129" s="10">
        <v>2.1949999999999998</v>
      </c>
      <c r="U129" s="10">
        <v>1.2189999999999715E-2</v>
      </c>
      <c r="V129" s="10">
        <v>1.1819999999997413</v>
      </c>
      <c r="W129" s="10">
        <v>3.8879999999988514E-2</v>
      </c>
      <c r="X129" s="10">
        <v>1.0509999999999955</v>
      </c>
      <c r="Y129" s="10">
        <v>0.95239999999998848</v>
      </c>
      <c r="Z129" s="10">
        <v>2.7274999999999352</v>
      </c>
      <c r="AA129" s="10">
        <v>0.98500000000008248</v>
      </c>
      <c r="AB129" s="10">
        <v>3.4595000000000584</v>
      </c>
      <c r="AC129" s="10">
        <v>0.94000000000005035</v>
      </c>
      <c r="AD129" s="10">
        <v>0.84689999999993593</v>
      </c>
      <c r="AE129" s="10">
        <v>0.89150000000003149</v>
      </c>
      <c r="AH129" s="10">
        <v>0.75378389482298414</v>
      </c>
      <c r="AI129" s="10">
        <v>0.51550703134175324</v>
      </c>
      <c r="AJ129" s="10">
        <v>0.53179999999999705</v>
      </c>
      <c r="AK129" s="10">
        <v>0.72556771921596908</v>
      </c>
      <c r="AL129" s="10">
        <v>0.6791858199131694</v>
      </c>
      <c r="AM129" s="10">
        <v>0.88924650780602899</v>
      </c>
      <c r="AN129" s="10">
        <v>0.98681704425404282</v>
      </c>
      <c r="AO129" s="10">
        <v>0.90953468716980268</v>
      </c>
      <c r="AP129" s="10">
        <v>0.87332809015142976</v>
      </c>
      <c r="AQ129" s="10">
        <v>0.53186242516730742</v>
      </c>
      <c r="AR129" s="10">
        <v>0.55377365888007635</v>
      </c>
      <c r="AS129" s="10">
        <v>0.76595680244131781</v>
      </c>
      <c r="AT129" s="10">
        <v>0.80472283131817957</v>
      </c>
      <c r="AU129" s="10">
        <v>0.71426876393728378</v>
      </c>
      <c r="AW129" s="10">
        <v>0.78595932621162978</v>
      </c>
      <c r="AX129" s="10">
        <v>0.53751156239000031</v>
      </c>
      <c r="AY129" s="10">
        <v>0.55449999999999688</v>
      </c>
      <c r="AZ129" s="10">
        <v>0.75653873694105822</v>
      </c>
      <c r="BA129" s="10">
        <v>0.708177016062152</v>
      </c>
      <c r="BB129" s="10">
        <v>0.92720419063264958</v>
      </c>
      <c r="BC129" s="10">
        <v>1.0289395468951985</v>
      </c>
      <c r="BD129" s="10">
        <v>0.948358375396118</v>
      </c>
      <c r="BE129" s="10">
        <v>0.55456508979930785</v>
      </c>
      <c r="BF129" s="10">
        <v>0.57741160934374247</v>
      </c>
      <c r="BG129" s="10">
        <v>0.79865183706978315</v>
      </c>
      <c r="BH129" s="10">
        <v>0.910606291818292</v>
      </c>
      <c r="BI129" s="10">
        <v>0.83907260241807169</v>
      </c>
      <c r="BJ129" s="10">
        <v>0.74475748327044711</v>
      </c>
    </row>
    <row r="130" spans="1:62" x14ac:dyDescent="0.3">
      <c r="A130" s="8">
        <v>46262</v>
      </c>
      <c r="B130" s="10">
        <v>1.3002200000000022</v>
      </c>
      <c r="C130" s="10">
        <v>1.0419999999999801</v>
      </c>
      <c r="D130" s="10">
        <v>1.2187999999995287</v>
      </c>
      <c r="E130">
        <v>146.45000000000482</v>
      </c>
      <c r="G130" s="10">
        <v>1.3258999999999705</v>
      </c>
      <c r="H130">
        <v>124.45000000000319</v>
      </c>
      <c r="I130" s="10">
        <v>1.2609999999999904</v>
      </c>
      <c r="J130" s="10">
        <v>0.98550000000001736</v>
      </c>
      <c r="K130" s="10">
        <v>1.1899999999998689</v>
      </c>
      <c r="N130">
        <v>120.80000000000022</v>
      </c>
      <c r="O130">
        <v>105.79999999999833</v>
      </c>
      <c r="Q130" s="10">
        <v>1.2334999999999865</v>
      </c>
      <c r="R130" s="10">
        <v>2.9934999999999388</v>
      </c>
      <c r="S130" s="10">
        <v>0.98550000000001736</v>
      </c>
      <c r="T130" s="10">
        <v>2.2025000000000192</v>
      </c>
      <c r="U130" s="10">
        <v>1.2165000000000042E-2</v>
      </c>
      <c r="V130" s="10">
        <v>1.1899999999998689</v>
      </c>
      <c r="W130" s="10">
        <v>3.8949999999989854E-2</v>
      </c>
      <c r="X130" s="10">
        <v>1.0514999999999792</v>
      </c>
      <c r="Y130" s="10">
        <v>0.95199999999995344</v>
      </c>
      <c r="Z130" s="10">
        <v>2.7299999999999134</v>
      </c>
      <c r="AA130" s="10">
        <v>0.98449999999992432</v>
      </c>
      <c r="AB130" s="10">
        <v>3.4595000000003364</v>
      </c>
      <c r="AC130" s="10">
        <v>0.94000000000002293</v>
      </c>
      <c r="AD130" s="10">
        <v>0.84150000000000291</v>
      </c>
      <c r="AE130" s="10">
        <v>0.88999999999983936</v>
      </c>
      <c r="AH130" s="10">
        <v>0.75130270270239163</v>
      </c>
      <c r="AI130" s="10">
        <v>0.51740893066981297</v>
      </c>
      <c r="AJ130" s="10">
        <v>0.53050000000000208</v>
      </c>
      <c r="AK130" s="10">
        <v>0.72911022326675523</v>
      </c>
      <c r="AL130" s="10">
        <v>0.67406539362747186</v>
      </c>
      <c r="AM130" s="10">
        <v>0.88489394829627344</v>
      </c>
      <c r="AN130" s="10">
        <v>0.98058343125725633</v>
      </c>
      <c r="AO130" s="10">
        <v>0.90552796709764694</v>
      </c>
      <c r="AP130" s="10">
        <v>0.86457162162165835</v>
      </c>
      <c r="AQ130" s="10">
        <v>0.53681889319703657</v>
      </c>
      <c r="AR130" s="10">
        <v>0.55375223266741391</v>
      </c>
      <c r="AS130" s="10">
        <v>0.76458078730897294</v>
      </c>
      <c r="AT130" s="10">
        <v>0.80416568742638272</v>
      </c>
      <c r="AU130" s="10">
        <v>0.71346327849289337</v>
      </c>
      <c r="AW130" s="10">
        <v>0.7838756756753511</v>
      </c>
      <c r="AX130" s="10">
        <v>0.53984136310224606</v>
      </c>
      <c r="AY130" s="10">
        <v>0.55350000000000221</v>
      </c>
      <c r="AZ130" s="10">
        <v>0.76072103407756653</v>
      </c>
      <c r="BA130" s="10">
        <v>0.70328971795062334</v>
      </c>
      <c r="BB130" s="10">
        <v>0.923258813161145</v>
      </c>
      <c r="BC130" s="10">
        <v>1.0230969447707661</v>
      </c>
      <c r="BD130" s="10">
        <v>0.94478742655711145</v>
      </c>
      <c r="BE130" s="10">
        <v>0.55999602866877896</v>
      </c>
      <c r="BF130" s="10">
        <v>0.57776034077552041</v>
      </c>
      <c r="BG130" s="10">
        <v>0.79772943595761847</v>
      </c>
      <c r="BH130" s="10">
        <v>0.90205540540544371</v>
      </c>
      <c r="BI130" s="10">
        <v>0.83903055229124024</v>
      </c>
      <c r="BJ130" s="10">
        <v>0.74439571092519619</v>
      </c>
    </row>
    <row r="131" spans="1:62" x14ac:dyDescent="0.3">
      <c r="A131" s="4">
        <v>46265</v>
      </c>
      <c r="B131" s="10">
        <v>1.302369999999996</v>
      </c>
      <c r="C131" s="10">
        <v>1.0438999999999812</v>
      </c>
      <c r="D131" s="10">
        <v>1.2211999999996819</v>
      </c>
      <c r="E131">
        <v>146.94000000000119</v>
      </c>
      <c r="F131" s="10"/>
      <c r="G131" s="10">
        <v>1.3277000000000525</v>
      </c>
      <c r="H131">
        <v>124.85000000000053</v>
      </c>
      <c r="I131" s="10">
        <v>1.2639999999999953</v>
      </c>
      <c r="J131" s="10">
        <v>0.9874999999999805</v>
      </c>
      <c r="K131" s="10">
        <v>1.2035000000000065</v>
      </c>
      <c r="N131">
        <v>121.15</v>
      </c>
      <c r="O131">
        <v>106.84999999999238</v>
      </c>
      <c r="Q131" s="10">
        <v>1.2349999999999923</v>
      </c>
      <c r="R131" s="10">
        <v>2.9979999999999523</v>
      </c>
      <c r="S131" s="10">
        <v>0.9874999999999805</v>
      </c>
      <c r="T131" s="10">
        <v>2.2040000000000082</v>
      </c>
      <c r="U131" s="10">
        <v>1.2210000000000007E-2</v>
      </c>
      <c r="V131" s="10">
        <v>1.2035000000000065</v>
      </c>
      <c r="W131" s="10">
        <v>3.8964999999983874E-2</v>
      </c>
      <c r="X131" s="10">
        <v>1.0530000000000326</v>
      </c>
      <c r="Y131" s="10">
        <v>0.95399999999997942</v>
      </c>
      <c r="Z131" s="10">
        <v>2.7329999999999655</v>
      </c>
      <c r="AA131" s="10">
        <v>0.98500000000011378</v>
      </c>
      <c r="AB131" s="10">
        <v>3.4659999999998234</v>
      </c>
      <c r="AC131" s="10">
        <v>0.94249999999996159</v>
      </c>
      <c r="AD131" s="10">
        <v>0.84390000000003695</v>
      </c>
      <c r="AE131" s="10">
        <v>0.89499999999994584</v>
      </c>
      <c r="AH131" s="10">
        <v>0.75277125410969403</v>
      </c>
      <c r="AI131" s="10">
        <v>0.51890250264359694</v>
      </c>
      <c r="AJ131" s="10">
        <v>0.53199999999998471</v>
      </c>
      <c r="AK131" s="10">
        <v>0.72690840770313769</v>
      </c>
      <c r="AL131" s="10">
        <v>0.67674448095283135</v>
      </c>
      <c r="AM131" s="10">
        <v>0.88420948802257116</v>
      </c>
      <c r="AN131" s="10">
        <v>0.97816533583833665</v>
      </c>
      <c r="AO131" s="10">
        <v>0.90763597933301265</v>
      </c>
      <c r="AP131" s="10">
        <v>0.8666552372005234</v>
      </c>
      <c r="AQ131" s="10">
        <v>0.53492844554108432</v>
      </c>
      <c r="AR131" s="10">
        <v>0.55473931423203782</v>
      </c>
      <c r="AS131" s="10">
        <v>0.7620793799906117</v>
      </c>
      <c r="AT131" s="10">
        <v>0.80112353217473597</v>
      </c>
      <c r="AU131" s="10">
        <v>0.69979614842008031</v>
      </c>
      <c r="AW131" s="10">
        <v>0.78474988257375244</v>
      </c>
      <c r="AX131" s="10">
        <v>0.54052344025374677</v>
      </c>
      <c r="AY131" s="10">
        <v>0.55459999999998411</v>
      </c>
      <c r="AZ131" s="10">
        <v>0.75778835133864686</v>
      </c>
      <c r="BA131" s="10">
        <v>0.70549340063240651</v>
      </c>
      <c r="BB131" s="10">
        <v>0.92177177078443207</v>
      </c>
      <c r="BC131" s="10">
        <v>1.0197189760450027</v>
      </c>
      <c r="BD131" s="10">
        <v>0.94619344762798663</v>
      </c>
      <c r="BE131" s="10">
        <v>0.55721713077196289</v>
      </c>
      <c r="BF131" s="10">
        <v>0.57830530765618082</v>
      </c>
      <c r="BG131" s="10">
        <v>0.79445342883983694</v>
      </c>
      <c r="BH131" s="10">
        <v>0.90347179426956803</v>
      </c>
      <c r="BI131" s="10">
        <v>0.83515622357915131</v>
      </c>
      <c r="BJ131" s="10">
        <v>0.72952433066499356</v>
      </c>
    </row>
    <row r="132" spans="1:62" x14ac:dyDescent="0.3">
      <c r="A132" s="4">
        <v>46266</v>
      </c>
      <c r="B132" s="10">
        <v>1.3029000000000031</v>
      </c>
      <c r="C132" s="10">
        <v>1.0449799999999987</v>
      </c>
      <c r="D132">
        <v>1.2227816600000001</v>
      </c>
      <c r="E132">
        <v>1.47186796</v>
      </c>
      <c r="F132">
        <v>1.00906037</v>
      </c>
      <c r="G132">
        <v>1.3298810999999999</v>
      </c>
      <c r="H132">
        <v>1.2513122999999999</v>
      </c>
      <c r="I132">
        <v>1.2646346799999999</v>
      </c>
      <c r="J132" s="5">
        <v>0.98939814999999998</v>
      </c>
      <c r="K132" s="10">
        <v>121.6499999999932</v>
      </c>
      <c r="N132" s="5">
        <v>1.2130007899999999</v>
      </c>
      <c r="O132">
        <v>1.06900032</v>
      </c>
      <c r="Q132">
        <v>1.2377929000000001</v>
      </c>
      <c r="R132" s="10">
        <v>2.9999999999999796</v>
      </c>
      <c r="S132" s="10">
        <v>0.98989999999999057</v>
      </c>
      <c r="T132" s="10">
        <v>2.208999999999969</v>
      </c>
      <c r="U132">
        <v>1.21692725E-2</v>
      </c>
      <c r="V132" s="10">
        <v>1.216499999999932</v>
      </c>
      <c r="W132">
        <v>3.9192279999999996E-2</v>
      </c>
      <c r="X132" s="10">
        <v>1.0564999999999569</v>
      </c>
      <c r="Y132" s="10">
        <v>0.95700000000002139</v>
      </c>
      <c r="Z132" s="10">
        <v>2.7399999999998919</v>
      </c>
      <c r="AA132" s="10">
        <v>0.98600000000010002</v>
      </c>
      <c r="AB132" s="10">
        <v>3.4730000000004453</v>
      </c>
      <c r="AC132" s="10">
        <v>0.94290000000002494</v>
      </c>
      <c r="AD132" s="10">
        <v>0.84399999999992059</v>
      </c>
      <c r="AE132" s="10">
        <v>0.89890000000005577</v>
      </c>
      <c r="AH132" s="10">
        <v>0.75352070825491746</v>
      </c>
      <c r="AI132" s="10">
        <v>0.51883706613510838</v>
      </c>
      <c r="AJ132" s="10">
        <v>0.53469999999998707</v>
      </c>
      <c r="AK132" s="10">
        <v>0.72919336303929871</v>
      </c>
      <c r="AL132" s="10">
        <v>0.67803069885147937</v>
      </c>
      <c r="AM132" s="10">
        <v>0.8844369371481523</v>
      </c>
      <c r="AN132" s="10">
        <v>0.98274950750467549</v>
      </c>
      <c r="AO132" s="10">
        <v>0.91014366791751689</v>
      </c>
      <c r="AP132" s="10">
        <v>0.86882480065657997</v>
      </c>
      <c r="AQ132" s="10">
        <v>0.53781314553995907</v>
      </c>
      <c r="AR132" s="10">
        <v>0.55720906425888939</v>
      </c>
      <c r="AS132" s="10">
        <v>0.76361530253268928</v>
      </c>
      <c r="AT132" s="10">
        <v>0.80192460131314236</v>
      </c>
      <c r="AU132" s="10">
        <v>0.71082245543767675</v>
      </c>
      <c r="AW132" s="10">
        <v>0.78410121951194356</v>
      </c>
      <c r="AX132" s="10">
        <v>0.53989329268295183</v>
      </c>
      <c r="AY132" s="10">
        <v>0.55639999999998668</v>
      </c>
      <c r="AZ132" s="10">
        <v>0.75878658536574872</v>
      </c>
      <c r="BA132" s="10">
        <v>0.70554756095186677</v>
      </c>
      <c r="BB132" s="10">
        <v>0.92033048780481008</v>
      </c>
      <c r="BC132" s="10">
        <v>1.0226329268292529</v>
      </c>
      <c r="BD132" s="10">
        <v>0.94708048780494936</v>
      </c>
      <c r="BE132" s="10">
        <v>0.55921314553996104</v>
      </c>
      <c r="BF132" s="10">
        <v>0.57982256097558649</v>
      </c>
      <c r="BG132" s="10">
        <v>0.79460548780472862</v>
      </c>
      <c r="BH132" s="10">
        <v>0.90408475609747752</v>
      </c>
      <c r="BI132" s="10">
        <v>0.83446951219493626</v>
      </c>
      <c r="BJ132" s="10">
        <v>0.73967012194786497</v>
      </c>
    </row>
    <row r="133" spans="1:62" x14ac:dyDescent="0.3">
      <c r="A133" s="4">
        <v>46267</v>
      </c>
      <c r="B133" s="10">
        <v>1.304499999999992</v>
      </c>
      <c r="C133" s="10">
        <v>1.0452999999999957</v>
      </c>
      <c r="D133">
        <v>1.2238402399999999</v>
      </c>
      <c r="E133">
        <v>1.47201179</v>
      </c>
      <c r="F133">
        <v>1.0100603500000001</v>
      </c>
      <c r="G133">
        <v>1.33226589</v>
      </c>
      <c r="H133">
        <v>1.2529571399999999</v>
      </c>
      <c r="I133">
        <v>1.26554419</v>
      </c>
      <c r="J133" s="5">
        <v>0.99174496000000001</v>
      </c>
      <c r="K133" s="5">
        <v>1.2075260000000001</v>
      </c>
      <c r="N133" s="5">
        <v>1.2147051099999999</v>
      </c>
      <c r="O133">
        <v>1.0690074300000001</v>
      </c>
      <c r="Q133">
        <v>1.2384295299999999</v>
      </c>
      <c r="R133" s="10">
        <v>3.0050000000000141</v>
      </c>
      <c r="S133" s="10">
        <v>0.99149999999998228</v>
      </c>
      <c r="T133" s="10">
        <v>2.2160000000000051</v>
      </c>
      <c r="U133">
        <v>1.2199578900000001E-2</v>
      </c>
      <c r="V133" s="10">
        <v>1.2049999999999996</v>
      </c>
      <c r="W133">
        <v>3.9397009000000004E-2</v>
      </c>
      <c r="X133" s="10">
        <v>1.0589999999929522</v>
      </c>
      <c r="Y133" s="10">
        <v>0.96350000000007019</v>
      </c>
      <c r="Z133" s="10">
        <v>2.745000000000211</v>
      </c>
      <c r="AA133" s="10">
        <v>0.99200000000003086</v>
      </c>
      <c r="AB133" s="10">
        <v>3.4830000000000938</v>
      </c>
      <c r="AC133" s="10">
        <v>0.94480000000006414</v>
      </c>
      <c r="AD133" s="10">
        <v>0.84999999999986653</v>
      </c>
      <c r="AE133" s="10">
        <v>0.89949999999993513</v>
      </c>
      <c r="AH133" s="10">
        <v>0.75606566779781437</v>
      </c>
      <c r="AI133" s="10">
        <v>0.5199323422684613</v>
      </c>
      <c r="AJ133" s="10">
        <v>0.53579999999999306</v>
      </c>
      <c r="AK133" s="10">
        <v>0.73191923212002974</v>
      </c>
      <c r="AL133" s="10">
        <v>0.68325005265702121</v>
      </c>
      <c r="AM133" s="10">
        <v>0.8886515509772599</v>
      </c>
      <c r="AN133" s="10">
        <v>0.98448467751367441</v>
      </c>
      <c r="AO133" s="10">
        <v>0.90752967341686475</v>
      </c>
      <c r="AP133" s="10">
        <v>0.86920896640524059</v>
      </c>
      <c r="AQ133" s="10">
        <v>0.54439236802061186</v>
      </c>
      <c r="AR133" s="10">
        <v>0.55681053494090649</v>
      </c>
      <c r="AS133" s="10">
        <v>0.76679044832013199</v>
      </c>
      <c r="AT133" s="10">
        <v>0.80686725974506501</v>
      </c>
      <c r="AU133" s="10">
        <v>0.71360557181028084</v>
      </c>
      <c r="AW133" s="10">
        <v>0.78569870069022585</v>
      </c>
      <c r="AX133" s="10">
        <v>0.5403104295914134</v>
      </c>
      <c r="AY133" s="10">
        <v>0.55679999999999286</v>
      </c>
      <c r="AZ133" s="10">
        <v>0.7606058761560891</v>
      </c>
      <c r="BA133" s="10">
        <v>0.71002917006239163</v>
      </c>
      <c r="BB133" s="10">
        <v>0.92348111904467767</v>
      </c>
      <c r="BC133" s="10">
        <v>1.0230703031721053</v>
      </c>
      <c r="BD133" s="10">
        <v>0.94309914549927254</v>
      </c>
      <c r="BE133" s="10">
        <v>0.56572913496430877</v>
      </c>
      <c r="BF133" s="10">
        <v>0.57863401615359589</v>
      </c>
      <c r="BG133" s="10">
        <v>0.79684382535395581</v>
      </c>
      <c r="BH133" s="10">
        <v>0.90327650708181784</v>
      </c>
      <c r="BI133" s="10">
        <v>0.83849139646519633</v>
      </c>
      <c r="BJ133" s="10">
        <v>0.74157443520710031</v>
      </c>
    </row>
    <row r="134" spans="1:62" x14ac:dyDescent="0.3">
      <c r="A134" s="4">
        <v>46268</v>
      </c>
      <c r="B134" s="10">
        <v>1.3044999999999924</v>
      </c>
      <c r="C134" s="10">
        <v>1.0462999999999953</v>
      </c>
      <c r="D134">
        <v>1.2249302799999999</v>
      </c>
      <c r="E134">
        <v>1.47362075</v>
      </c>
      <c r="F134">
        <v>1.01084299</v>
      </c>
      <c r="G134">
        <v>1.3337051600000001</v>
      </c>
      <c r="H134">
        <v>1.25421118</v>
      </c>
      <c r="I134">
        <v>1.2674897700000001</v>
      </c>
      <c r="J134" s="5">
        <v>0.99424604999999999</v>
      </c>
      <c r="K134" s="5">
        <v>1.20153475</v>
      </c>
      <c r="N134" s="5">
        <v>1.2157256599999999</v>
      </c>
      <c r="O134">
        <v>1.0687348400000001</v>
      </c>
      <c r="Q134">
        <v>1.2404261400000001</v>
      </c>
      <c r="R134" s="10">
        <v>3.0139999999999816</v>
      </c>
      <c r="S134" s="10">
        <v>0.99479999999999691</v>
      </c>
      <c r="T134" s="10">
        <v>2.2240000000000131</v>
      </c>
      <c r="U134">
        <v>1.2234792599999999E-2</v>
      </c>
      <c r="V134" s="10">
        <v>1.2009999999999716</v>
      </c>
      <c r="W134">
        <v>3.9534793200000001E-2</v>
      </c>
      <c r="X134" s="10">
        <v>1.0659999999964804</v>
      </c>
      <c r="Y134" s="10">
        <v>0.96399999999995745</v>
      </c>
      <c r="Z134" s="10">
        <v>2.762500000000029</v>
      </c>
      <c r="AA134" s="10">
        <v>0.997999999999994</v>
      </c>
      <c r="AB134" s="10">
        <v>3.5024999999996709</v>
      </c>
      <c r="AC134" s="10">
        <v>0.95250000000002488</v>
      </c>
      <c r="AD134" s="10">
        <v>0.84699999999998499</v>
      </c>
      <c r="AE134" s="10">
        <v>0.90189999999993675</v>
      </c>
      <c r="AH134" s="10">
        <v>0.76039015240306018</v>
      </c>
      <c r="AI134" s="10">
        <v>0.52305205158263346</v>
      </c>
      <c r="AJ134" s="10">
        <v>0.53799999999999637</v>
      </c>
      <c r="AK134" s="10">
        <v>0.73194490035151816</v>
      </c>
      <c r="AL134" s="10">
        <v>0.68470433761530924</v>
      </c>
      <c r="AM134" s="10">
        <v>0.88854313863473922</v>
      </c>
      <c r="AN134" s="10">
        <v>0.99085345838217043</v>
      </c>
      <c r="AO134" s="10">
        <v>0.91056342321208594</v>
      </c>
      <c r="AP134" s="10">
        <v>0.87221594372809363</v>
      </c>
      <c r="AQ134" s="10">
        <v>0.53797052545152613</v>
      </c>
      <c r="AR134" s="10">
        <v>0.55818288393900417</v>
      </c>
      <c r="AS134" s="10">
        <v>0.77060773739722366</v>
      </c>
      <c r="AT134" s="10">
        <v>0.80744150058605912</v>
      </c>
      <c r="AU134" s="10">
        <v>0.71895216881373902</v>
      </c>
      <c r="AW134" s="10">
        <v>0.78894011723306379</v>
      </c>
      <c r="AX134" s="10">
        <v>0.54269080890971388</v>
      </c>
      <c r="AY134" s="10">
        <v>0.55819999999999637</v>
      </c>
      <c r="AZ134" s="10">
        <v>0.75942684642419622</v>
      </c>
      <c r="BA134" s="10">
        <v>0.71041256739194369</v>
      </c>
      <c r="BB134" s="10">
        <v>0.92431006333565335</v>
      </c>
      <c r="BC134" s="10">
        <v>1.0280565064478209</v>
      </c>
      <c r="BD134" s="10">
        <v>0.94475186400926858</v>
      </c>
      <c r="BE134" s="10">
        <v>0.55931299554300962</v>
      </c>
      <c r="BF134" s="10">
        <v>0.57914067995307084</v>
      </c>
      <c r="BG134" s="10">
        <v>0.79954133645934999</v>
      </c>
      <c r="BH134" s="10">
        <v>0.90496457209855397</v>
      </c>
      <c r="BI134" s="10">
        <v>0.83775807737386299</v>
      </c>
      <c r="BJ134" s="10">
        <v>0.74594628370228477</v>
      </c>
    </row>
    <row r="135" spans="1:62" x14ac:dyDescent="0.3">
      <c r="A135" s="4">
        <v>46269</v>
      </c>
      <c r="B135" s="10">
        <v>1.3070000000000073</v>
      </c>
      <c r="C135" s="10">
        <v>1.0483999999999984</v>
      </c>
      <c r="D135">
        <v>1.2272383499999999</v>
      </c>
      <c r="E135">
        <v>1.4765107900000001</v>
      </c>
      <c r="F135">
        <v>1.0127881299999999</v>
      </c>
      <c r="G135">
        <v>1.33790498</v>
      </c>
      <c r="H135">
        <v>1.2585695299999999</v>
      </c>
      <c r="I135">
        <v>1.2687158999999999</v>
      </c>
      <c r="J135" s="5">
        <v>0.99898215999999995</v>
      </c>
      <c r="K135" s="5">
        <v>1.2075780599999999</v>
      </c>
      <c r="N135" s="5">
        <v>1.2178138199999999</v>
      </c>
      <c r="O135">
        <v>1.0742336400000001</v>
      </c>
      <c r="Q135">
        <v>1.24342201</v>
      </c>
      <c r="R135" s="10">
        <v>3.0199999999999938</v>
      </c>
      <c r="S135" s="10">
        <v>0.99789999999999834</v>
      </c>
      <c r="T135" s="10">
        <v>2.2299999999999964</v>
      </c>
      <c r="U135">
        <v>1.2291440000000001E-2</v>
      </c>
      <c r="V135" s="10">
        <v>1.2074999999999609</v>
      </c>
      <c r="W135">
        <v>3.9560156999999999E-2</v>
      </c>
      <c r="X135" s="10">
        <v>1.0684999999965823</v>
      </c>
      <c r="Y135" s="10">
        <v>0.96899999999259367</v>
      </c>
      <c r="Z135" s="10">
        <v>2.7719999999999363</v>
      </c>
      <c r="AA135" s="10">
        <v>0.99900000000000777</v>
      </c>
      <c r="AB135" s="10">
        <v>3.520000000000171</v>
      </c>
      <c r="AC135" s="10">
        <v>0.954899999999959</v>
      </c>
      <c r="AD135" s="10">
        <v>0.85800000000002685</v>
      </c>
      <c r="AE135" s="10">
        <v>0.90530000000007671</v>
      </c>
      <c r="AH135" s="10">
        <v>0.75795203985895399</v>
      </c>
      <c r="AI135" s="10">
        <v>0.52355944138014021</v>
      </c>
      <c r="AJ135" s="10">
        <v>0.53730000000007105</v>
      </c>
      <c r="AK135" s="10">
        <v>0.73382708089090043</v>
      </c>
      <c r="AL135" s="10">
        <v>0.68356150056684495</v>
      </c>
      <c r="AM135" s="10">
        <v>0.89048184056280588</v>
      </c>
      <c r="AN135" s="10">
        <v>0.98887135990617436</v>
      </c>
      <c r="AO135" s="10">
        <v>0.91076444314195637</v>
      </c>
      <c r="AP135" s="10">
        <v>0.87051418522854929</v>
      </c>
      <c r="AQ135" s="10">
        <v>0.53775231780303867</v>
      </c>
      <c r="AR135" s="10">
        <v>0.55751961313017484</v>
      </c>
      <c r="AS135" s="10">
        <v>0.76784138335272845</v>
      </c>
      <c r="AT135" s="10">
        <v>0.80752473622509113</v>
      </c>
      <c r="AU135" s="10">
        <v>0.71556014067706786</v>
      </c>
      <c r="AW135" s="10">
        <v>0.7888456740910611</v>
      </c>
      <c r="AX135" s="10">
        <v>0.54479403825844164</v>
      </c>
      <c r="AY135" s="10">
        <v>0.55920000000007397</v>
      </c>
      <c r="AZ135" s="10">
        <v>0.76373739742079205</v>
      </c>
      <c r="BA135" s="10">
        <v>0.71142302459888285</v>
      </c>
      <c r="BB135" s="10">
        <v>0.92677730363432187</v>
      </c>
      <c r="BC135" s="10">
        <v>1.0291771160609207</v>
      </c>
      <c r="BD135" s="10">
        <v>0.94788661195790458</v>
      </c>
      <c r="BE135" s="10">
        <v>0.55956255134370148</v>
      </c>
      <c r="BF135" s="10">
        <v>0.58024375146546414</v>
      </c>
      <c r="BG135" s="10">
        <v>0.79913810082048353</v>
      </c>
      <c r="BH135" s="10">
        <v>0.90599577960134914</v>
      </c>
      <c r="BI135" s="10">
        <v>0.84043892145369636</v>
      </c>
      <c r="BJ135" s="10">
        <v>0.74472590855502774</v>
      </c>
    </row>
    <row r="136" spans="1:62" x14ac:dyDescent="0.3">
      <c r="A136" s="4">
        <v>46272</v>
      </c>
      <c r="B136" s="10">
        <v>1.3089999999999902</v>
      </c>
      <c r="C136" s="10">
        <v>1.0493000000000112</v>
      </c>
      <c r="D136">
        <v>1.2289346999999999</v>
      </c>
      <c r="E136">
        <v>1.46987329</v>
      </c>
      <c r="F136">
        <v>1.0133567299999999</v>
      </c>
      <c r="G136">
        <v>1.33824331</v>
      </c>
      <c r="H136">
        <v>1.2595068899999999</v>
      </c>
      <c r="I136">
        <v>1.26933221</v>
      </c>
      <c r="J136" s="5">
        <v>0.99773075</v>
      </c>
      <c r="K136" s="5">
        <v>1.2105391999999999</v>
      </c>
      <c r="N136" s="5">
        <v>1.2177763699999999</v>
      </c>
      <c r="O136">
        <v>1.0713623999999999</v>
      </c>
      <c r="Q136">
        <v>1.2448657999999999</v>
      </c>
      <c r="R136" s="10">
        <v>3.0230000000000041</v>
      </c>
      <c r="S136" s="10">
        <v>0.99750000000000572</v>
      </c>
      <c r="T136" s="10">
        <v>2.2330000000000272</v>
      </c>
      <c r="U136">
        <v>1.2303535999999999E-2</v>
      </c>
      <c r="V136" s="10">
        <v>1.2100000000000359</v>
      </c>
      <c r="W136">
        <v>3.9592439100000001E-2</v>
      </c>
      <c r="X136" s="10">
        <v>1.0684999999962936</v>
      </c>
      <c r="Y136" s="10">
        <v>0.96749999999995362</v>
      </c>
      <c r="Z136" s="10">
        <v>2.7735000000000101</v>
      </c>
      <c r="AA136" s="10">
        <v>1.0000000000000455</v>
      </c>
      <c r="AB136" s="10">
        <v>3.5250000000001283</v>
      </c>
      <c r="AC136" s="10">
        <v>0.95450000000000712</v>
      </c>
      <c r="AD136" s="10">
        <v>0.85350000000005122</v>
      </c>
      <c r="AE136" s="10">
        <v>0.90750000000008424</v>
      </c>
      <c r="AH136" s="10">
        <v>0.75564851600805416</v>
      </c>
      <c r="AI136" s="10">
        <v>0.5201542416452497</v>
      </c>
      <c r="AJ136" s="10">
        <v>0.53599999999998982</v>
      </c>
      <c r="AK136" s="10">
        <v>0.73247487730761651</v>
      </c>
      <c r="AL136" s="10">
        <v>0.68268286980858472</v>
      </c>
      <c r="AM136" s="10">
        <v>0.88874035989716449</v>
      </c>
      <c r="AN136" s="10">
        <v>0.98456648749705766</v>
      </c>
      <c r="AO136" s="10">
        <v>0.90690348212197847</v>
      </c>
      <c r="AP136" s="10">
        <v>0.86807197943444747</v>
      </c>
      <c r="AQ136" s="10">
        <v>0.53729685416903228</v>
      </c>
      <c r="AR136" s="10">
        <v>0.55610469735919332</v>
      </c>
      <c r="AS136" s="10">
        <v>0.76191166160306412</v>
      </c>
      <c r="AT136" s="10">
        <v>0.80293526524897441</v>
      </c>
      <c r="AU136" s="10">
        <v>0.71024071044211046</v>
      </c>
      <c r="AW136" s="10">
        <v>0.78948352418751921</v>
      </c>
      <c r="AX136" s="10">
        <v>0.54344473007712646</v>
      </c>
      <c r="AY136" s="10">
        <v>0.5599999999999894</v>
      </c>
      <c r="AZ136" s="10">
        <v>0.76527225987362912</v>
      </c>
      <c r="BA136" s="10">
        <v>0.71325075950150651</v>
      </c>
      <c r="BB136" s="10">
        <v>0.92853470437017183</v>
      </c>
      <c r="BC136" s="10">
        <v>1.0286515541014036</v>
      </c>
      <c r="BD136" s="10">
        <v>0.9475111007244551</v>
      </c>
      <c r="BE136" s="10">
        <v>0.55987571044314943</v>
      </c>
      <c r="BF136" s="10">
        <v>0.58100490768870938</v>
      </c>
      <c r="BG136" s="10">
        <v>0.79602710913752972</v>
      </c>
      <c r="BH136" s="10">
        <v>0.90694087403599</v>
      </c>
      <c r="BI136" s="10">
        <v>0.83888759055863005</v>
      </c>
      <c r="BJ136" s="10">
        <v>0.74204253329772729</v>
      </c>
    </row>
    <row r="137" spans="1:62" x14ac:dyDescent="0.3">
      <c r="A137" s="4">
        <v>46273</v>
      </c>
      <c r="B137" s="10">
        <v>1.3099299999999987</v>
      </c>
      <c r="C137" s="10">
        <v>1.0498100000000048</v>
      </c>
      <c r="D137">
        <v>1.22905825</v>
      </c>
      <c r="E137">
        <v>1.4748975499999999</v>
      </c>
      <c r="F137">
        <v>1.01323655</v>
      </c>
      <c r="G137">
        <v>1.3382574899999999</v>
      </c>
      <c r="H137">
        <v>1.2577613400000001</v>
      </c>
      <c r="I137">
        <v>1.27103747</v>
      </c>
      <c r="J137" s="5">
        <v>0.99844274</v>
      </c>
      <c r="K137" s="5">
        <v>1.2125095699999999</v>
      </c>
      <c r="N137" s="5">
        <v>1.2177810499999999</v>
      </c>
      <c r="O137">
        <v>1.0716682</v>
      </c>
      <c r="Q137">
        <v>1.2462282225646</v>
      </c>
      <c r="R137" s="10">
        <v>3.0250000000000159</v>
      </c>
      <c r="S137" s="10">
        <v>0.99819999999997644</v>
      </c>
      <c r="T137" s="10">
        <v>2.2334999999999572</v>
      </c>
      <c r="U137">
        <v>1.23E-2</v>
      </c>
      <c r="V137" s="10">
        <v>1.2104999999999702</v>
      </c>
      <c r="W137">
        <v>3.9737443400000003E-2</v>
      </c>
      <c r="X137" s="10">
        <v>1.0694999999963644</v>
      </c>
      <c r="Y137" s="10">
        <v>0.96999999999235842</v>
      </c>
      <c r="Z137" s="10">
        <v>2.7760000000000189</v>
      </c>
      <c r="AA137" s="10">
        <v>1.0014999999999605</v>
      </c>
      <c r="AB137" s="10">
        <v>3.5239999999998997</v>
      </c>
      <c r="AC137" s="10">
        <v>0.95450000000009039</v>
      </c>
      <c r="AD137" s="10">
        <v>0.84910000000003027</v>
      </c>
      <c r="AE137" s="10">
        <v>0.90300000000007796</v>
      </c>
      <c r="AH137" s="10">
        <v>0.75814531725573597</v>
      </c>
      <c r="AI137" s="10">
        <v>0.52178746488762384</v>
      </c>
      <c r="AJ137" s="10">
        <v>0.53569999999996709</v>
      </c>
      <c r="AK137" s="10">
        <v>0.73293442987573354</v>
      </c>
      <c r="AL137" s="10">
        <v>0.68357878714890286</v>
      </c>
      <c r="AM137" s="10">
        <v>0.88714729571538131</v>
      </c>
      <c r="AN137" s="10">
        <v>0.98441616717398017</v>
      </c>
      <c r="AO137" s="10">
        <v>0.90897164598458791</v>
      </c>
      <c r="AP137" s="10">
        <v>0.86914847810808415</v>
      </c>
      <c r="AQ137" s="10">
        <v>0.53596272237821396</v>
      </c>
      <c r="AR137" s="10">
        <v>0.55677178646684788</v>
      </c>
      <c r="AS137" s="10">
        <v>0.76824221493812272</v>
      </c>
      <c r="AT137" s="10">
        <v>0.80555683680649848</v>
      </c>
      <c r="AU137" s="10">
        <v>0.71481532512857371</v>
      </c>
      <c r="AW137" s="10">
        <v>0.79126198782468182</v>
      </c>
      <c r="AX137" s="10">
        <v>0.54457124297751069</v>
      </c>
      <c r="AY137" s="10">
        <v>0.55909999999996562</v>
      </c>
      <c r="AZ137" s="10">
        <v>0.76494985951749594</v>
      </c>
      <c r="BA137" s="10">
        <v>0.71343830482537174</v>
      </c>
      <c r="BB137" s="10">
        <v>0.92589892296895582</v>
      </c>
      <c r="BC137" s="10">
        <v>1.0274166120346693</v>
      </c>
      <c r="BD137" s="10">
        <v>0.9486765862796025</v>
      </c>
      <c r="BE137" s="10">
        <v>0.55936546114225605</v>
      </c>
      <c r="BF137" s="10">
        <v>0.58109222664479121</v>
      </c>
      <c r="BG137" s="10">
        <v>0.80179992975901515</v>
      </c>
      <c r="BH137" s="10">
        <v>0.9071138960429902</v>
      </c>
      <c r="BI137" s="10">
        <v>0.84074449777583227</v>
      </c>
      <c r="BJ137" s="10">
        <v>0.74547121265040317</v>
      </c>
    </row>
    <row r="138" spans="1:62" x14ac:dyDescent="0.3">
      <c r="A138" s="4">
        <v>46274</v>
      </c>
      <c r="B138" s="10">
        <v>1.3104900000000006</v>
      </c>
      <c r="C138" s="10">
        <v>1.0499999999999945</v>
      </c>
      <c r="D138">
        <v>1.2284157899999999</v>
      </c>
      <c r="E138">
        <v>1.4749056899999999</v>
      </c>
      <c r="F138">
        <v>1.0115057599999999</v>
      </c>
      <c r="G138">
        <v>1.3364771</v>
      </c>
      <c r="H138">
        <v>1.25681132</v>
      </c>
      <c r="I138">
        <v>1.2679330499999999</v>
      </c>
      <c r="J138" s="5">
        <v>0.99758399999999992</v>
      </c>
      <c r="K138" s="5">
        <v>1.2110000000000001</v>
      </c>
      <c r="N138" s="5">
        <v>1.21875841</v>
      </c>
      <c r="O138">
        <v>1.0749949999999999</v>
      </c>
      <c r="Q138">
        <v>1.2453557799999999</v>
      </c>
      <c r="R138" s="10">
        <v>3.0219999999999754</v>
      </c>
      <c r="S138" s="10">
        <v>0.99650000000000272</v>
      </c>
      <c r="T138" s="10">
        <v>2.2325000000000044</v>
      </c>
      <c r="U138">
        <v>1.23158768E-2</v>
      </c>
      <c r="V138" s="10">
        <v>1.2109999999999201</v>
      </c>
      <c r="W138">
        <v>3.9671134600000005E-2</v>
      </c>
      <c r="X138" s="10">
        <v>1.0699999999962682</v>
      </c>
      <c r="Y138" s="10">
        <v>0.96849999999997105</v>
      </c>
      <c r="Z138" s="10">
        <v>2.7754999999999983</v>
      </c>
      <c r="AA138" s="10">
        <v>0.99900000000003064</v>
      </c>
      <c r="AB138" s="10">
        <v>3.5230000000001986</v>
      </c>
      <c r="AC138" s="10">
        <v>0.95449999999996238</v>
      </c>
      <c r="AD138" s="10">
        <v>0.85750000000002236</v>
      </c>
      <c r="AE138" s="10">
        <v>0.90499999999995651</v>
      </c>
      <c r="AH138" s="10">
        <v>0.75987230303688291</v>
      </c>
      <c r="AI138" s="10">
        <v>0.52586303411338209</v>
      </c>
      <c r="AJ138" s="10">
        <v>0.5387000000000387</v>
      </c>
      <c r="AK138" s="10">
        <v>0.73467069707907573</v>
      </c>
      <c r="AL138" s="10">
        <v>0.68326443614748855</v>
      </c>
      <c r="AM138" s="10">
        <v>0.88939100430570805</v>
      </c>
      <c r="AN138" s="10">
        <v>0.9874390434074074</v>
      </c>
      <c r="AO138" s="10">
        <v>0.91283727452577379</v>
      </c>
      <c r="AP138" s="10">
        <v>0.87252724310475682</v>
      </c>
      <c r="AQ138" s="10">
        <v>0.53870000000002793</v>
      </c>
      <c r="AR138" s="10">
        <v>0.55901174211569093</v>
      </c>
      <c r="AS138" s="10">
        <v>0.76783400442222738</v>
      </c>
      <c r="AT138" s="10">
        <v>0.80680518466739115</v>
      </c>
      <c r="AU138" s="10">
        <v>0.71686657744350468</v>
      </c>
      <c r="AW138" s="10">
        <v>0.79090477132500514</v>
      </c>
      <c r="AX138" s="10">
        <v>0.54783910816158254</v>
      </c>
      <c r="AY138" s="10">
        <v>0.56070000000004017</v>
      </c>
      <c r="AZ138" s="10">
        <v>0.7646739555452714</v>
      </c>
      <c r="BA138" s="10">
        <v>0.71116831139390546</v>
      </c>
      <c r="BB138" s="10">
        <v>0.92571289421609526</v>
      </c>
      <c r="BC138" s="10">
        <v>1.0277651227743332</v>
      </c>
      <c r="BD138" s="10">
        <v>0.95011668800185889</v>
      </c>
      <c r="BE138" s="10">
        <v>0.56090000000002915</v>
      </c>
      <c r="BF138" s="10">
        <v>0.58184125450950053</v>
      </c>
      <c r="BG138" s="10">
        <v>0.79919162108695541</v>
      </c>
      <c r="BH138" s="10">
        <v>0.9081604329104086</v>
      </c>
      <c r="BI138" s="10">
        <v>0.8402408947920571</v>
      </c>
      <c r="BJ138" s="10">
        <v>0.74614273245326357</v>
      </c>
    </row>
    <row r="139" spans="1:62" x14ac:dyDescent="0.3">
      <c r="A139" s="4">
        <v>46275</v>
      </c>
      <c r="B139" s="10">
        <v>1.3116999999999934</v>
      </c>
      <c r="C139" s="10">
        <v>1.0504999999999891</v>
      </c>
      <c r="D139">
        <v>1.2302787399999999</v>
      </c>
      <c r="E139">
        <v>1.47846571</v>
      </c>
      <c r="F139">
        <v>1.0156021799999999</v>
      </c>
      <c r="G139">
        <v>1.3407502899999999</v>
      </c>
      <c r="H139">
        <v>1.2607528299999999</v>
      </c>
      <c r="I139">
        <v>1.2725215599999999</v>
      </c>
      <c r="J139" s="5">
        <v>0.99770473999999998</v>
      </c>
      <c r="K139" s="5">
        <v>1.2090000000000001</v>
      </c>
      <c r="N139" s="5">
        <v>1.2171409900000001</v>
      </c>
      <c r="O139">
        <v>1.07449996</v>
      </c>
      <c r="Q139">
        <v>1.2462244</v>
      </c>
      <c r="R139" s="10">
        <v>3.0250000000000083</v>
      </c>
      <c r="S139" s="10">
        <v>0.99709999999999865</v>
      </c>
      <c r="T139" s="10">
        <v>2.2325000000000643</v>
      </c>
      <c r="U139">
        <v>1.2250563999999999E-2</v>
      </c>
      <c r="V139" s="10">
        <v>1.209000000000042</v>
      </c>
      <c r="W139">
        <v>3.9624615599999996E-2</v>
      </c>
      <c r="X139" s="10">
        <v>1.0714999999966215</v>
      </c>
      <c r="Y139" s="10">
        <v>0.97249999999336922</v>
      </c>
      <c r="Z139" s="10">
        <v>2.7790000000000292</v>
      </c>
      <c r="AA139" s="10">
        <v>0.99800000000001565</v>
      </c>
      <c r="AB139" s="10">
        <v>3.5249999999998893</v>
      </c>
      <c r="AC139" s="10">
        <v>0.95549999999993984</v>
      </c>
      <c r="AD139" s="10">
        <v>0.85510000000010511</v>
      </c>
      <c r="AE139" s="10">
        <v>0.90000000000009384</v>
      </c>
      <c r="AH139" s="10">
        <v>0.75280805134141271</v>
      </c>
      <c r="AI139" s="10">
        <v>0.52245215869309836</v>
      </c>
      <c r="AJ139" s="10">
        <v>0.53500000000002845</v>
      </c>
      <c r="AK139" s="10">
        <v>0.72590198366388337</v>
      </c>
      <c r="AL139" s="10">
        <v>0.6710910151248729</v>
      </c>
      <c r="AM139" s="10">
        <v>0.88771295215888268</v>
      </c>
      <c r="AN139" s="10">
        <v>0.98675666977615339</v>
      </c>
      <c r="AO139" s="10">
        <v>0.90800175029163865</v>
      </c>
      <c r="AP139" s="10">
        <v>0.86761143523917061</v>
      </c>
      <c r="AQ139" s="10">
        <v>0.53736191697762314</v>
      </c>
      <c r="AR139" s="10">
        <v>0.55622520420067501</v>
      </c>
      <c r="AS139" s="10">
        <v>0.76273395565942037</v>
      </c>
      <c r="AT139" s="10">
        <v>0.79944107351223215</v>
      </c>
      <c r="AU139" s="10">
        <v>0.70854725787167283</v>
      </c>
      <c r="AW139" s="10">
        <v>0.78489033838923372</v>
      </c>
      <c r="AX139" s="10">
        <v>0.54471740956824355</v>
      </c>
      <c r="AY139" s="10">
        <v>0.55780000000002972</v>
      </c>
      <c r="AZ139" s="10">
        <v>0.75683761960320395</v>
      </c>
      <c r="BA139" s="10">
        <v>0.69969078175075528</v>
      </c>
      <c r="BB139" s="10">
        <v>0.92554445740976599</v>
      </c>
      <c r="BC139" s="10">
        <v>1.0272729944030203</v>
      </c>
      <c r="BD139" s="10">
        <v>0.94669789964986184</v>
      </c>
      <c r="BE139" s="10">
        <v>0.55942604944031038</v>
      </c>
      <c r="BF139" s="10">
        <v>0.57992975495913368</v>
      </c>
      <c r="BG139" s="10">
        <v>0.79523925320901812</v>
      </c>
      <c r="BH139" s="10">
        <v>0.90458627771291455</v>
      </c>
      <c r="BI139" s="10">
        <v>0.8335107117852768</v>
      </c>
      <c r="BJ139" s="10">
        <v>0.73874329054358712</v>
      </c>
    </row>
    <row r="140" spans="1:62" x14ac:dyDescent="0.3">
      <c r="A140" s="4">
        <v>46276</v>
      </c>
      <c r="B140" s="10">
        <v>1.3135000000000026</v>
      </c>
      <c r="C140" s="10">
        <v>1.0527999999999988</v>
      </c>
      <c r="D140">
        <v>1.23192268</v>
      </c>
      <c r="E140">
        <v>1.48303425</v>
      </c>
      <c r="F140">
        <v>1.0171820300000001</v>
      </c>
      <c r="G140">
        <v>1.3419946</v>
      </c>
      <c r="H140">
        <v>1.2616848199999999</v>
      </c>
      <c r="I140">
        <v>1.2753461699999999</v>
      </c>
      <c r="J140" s="5">
        <v>1.00047303</v>
      </c>
      <c r="K140" s="5">
        <v>1.2105345000000001</v>
      </c>
      <c r="N140" s="5">
        <v>1.22005713</v>
      </c>
      <c r="O140">
        <v>1.0730103600000001</v>
      </c>
      <c r="Q140">
        <v>1.24903546</v>
      </c>
      <c r="R140" s="10">
        <v>3.0425000000000058</v>
      </c>
      <c r="S140" s="10">
        <v>0.9991999999999841</v>
      </c>
      <c r="T140" s="10">
        <v>2.2330000000000059</v>
      </c>
      <c r="U140">
        <v>1.23002079E-2</v>
      </c>
      <c r="V140" s="10">
        <v>1.2104999999999722</v>
      </c>
      <c r="W140">
        <v>3.9727677400000001E-2</v>
      </c>
      <c r="X140" s="10">
        <v>1.072499999996146</v>
      </c>
      <c r="Y140" s="10">
        <v>0.97299999999211417</v>
      </c>
      <c r="Z140" s="10">
        <v>2.7835000000000605</v>
      </c>
      <c r="AA140" s="10">
        <v>1.0039999999999558</v>
      </c>
      <c r="AB140" s="10">
        <v>3.5280000000001173</v>
      </c>
      <c r="AC140" s="10">
        <v>0.95700000000003682</v>
      </c>
      <c r="AD140" s="10">
        <v>0.86200000000003341</v>
      </c>
      <c r="AE140" s="10">
        <v>0.90320000000008605</v>
      </c>
      <c r="AH140" s="10">
        <v>0.75298826756913839</v>
      </c>
      <c r="AI140" s="10">
        <v>0.52337216904038131</v>
      </c>
      <c r="AJ140" s="10">
        <v>0.53549999999997022</v>
      </c>
      <c r="AK140" s="10">
        <v>0.72523178846588854</v>
      </c>
      <c r="AL140" s="10">
        <v>0.6712816950251127</v>
      </c>
      <c r="AM140" s="10">
        <v>0.88520663086622919</v>
      </c>
      <c r="AN140" s="10">
        <v>0.98704290217138346</v>
      </c>
      <c r="AO140" s="10">
        <v>0.90939977819297502</v>
      </c>
      <c r="AP140" s="10">
        <v>0.8684527200559663</v>
      </c>
      <c r="AQ140" s="10">
        <v>0.54057019286968366</v>
      </c>
      <c r="AR140" s="10">
        <v>0.55700501984595341</v>
      </c>
      <c r="AS140" s="10">
        <v>0.76361574830716639</v>
      </c>
      <c r="AT140" s="10">
        <v>0.80081193088936165</v>
      </c>
      <c r="AU140" s="10">
        <v>0.70854039224334353</v>
      </c>
      <c r="AW140" s="10">
        <v>0.78307967546079027</v>
      </c>
      <c r="AX140" s="10">
        <v>0.54428750875553389</v>
      </c>
      <c r="AY140" s="10">
        <v>0.55689999999996909</v>
      </c>
      <c r="AZ140" s="10">
        <v>0.75421397384995936</v>
      </c>
      <c r="BA140" s="10">
        <v>0.69810789161435149</v>
      </c>
      <c r="BB140" s="10">
        <v>0.92058183516228398</v>
      </c>
      <c r="BC140" s="10">
        <v>1.0264877539108188</v>
      </c>
      <c r="BD140" s="10">
        <v>0.94574180480983716</v>
      </c>
      <c r="BE140" s="10">
        <v>0.56277849210989483</v>
      </c>
      <c r="BF140" s="10">
        <v>0.57926441746444712</v>
      </c>
      <c r="BG140" s="10">
        <v>0.79413185851029122</v>
      </c>
      <c r="BH140" s="10">
        <v>0.90315839364923933</v>
      </c>
      <c r="BI140" s="10">
        <v>0.83281449918260586</v>
      </c>
      <c r="BJ140" s="10">
        <v>0.73685554517332963</v>
      </c>
    </row>
    <row r="141" spans="1:62" x14ac:dyDescent="0.3">
      <c r="A141" s="4">
        <v>46279</v>
      </c>
      <c r="B141" s="10">
        <v>1.316069999999993</v>
      </c>
      <c r="C141" s="10">
        <v>1.0550000000000055</v>
      </c>
      <c r="D141">
        <v>1.2354439699999999</v>
      </c>
      <c r="E141">
        <v>1.48588655</v>
      </c>
      <c r="F141">
        <v>1.0194176500000001</v>
      </c>
      <c r="G141">
        <v>1.34450995</v>
      </c>
      <c r="H141">
        <v>1.2666343</v>
      </c>
      <c r="I141">
        <v>1.27760388</v>
      </c>
      <c r="J141" s="5">
        <v>1.0060696</v>
      </c>
      <c r="K141" s="5">
        <v>1.2153985300000001</v>
      </c>
      <c r="N141" s="5">
        <v>1.22405823</v>
      </c>
      <c r="O141">
        <v>1.0804226100000001</v>
      </c>
      <c r="Q141">
        <v>1.25289889</v>
      </c>
      <c r="R141" s="10">
        <v>3.0449999999999813</v>
      </c>
      <c r="S141" s="10">
        <v>1.0064899999999881</v>
      </c>
      <c r="T141" s="10">
        <v>2.2495000000000811</v>
      </c>
      <c r="U141">
        <v>1.24151338E-2</v>
      </c>
      <c r="V141" s="10">
        <v>1.2154999999999696</v>
      </c>
      <c r="W141">
        <v>3.9954636000000002E-2</v>
      </c>
      <c r="X141" s="10">
        <v>1.0794999999981763</v>
      </c>
      <c r="Y141" s="10">
        <v>0.9798999999961745</v>
      </c>
      <c r="Z141" s="10">
        <v>2.7950000000000643</v>
      </c>
      <c r="AA141" s="10">
        <v>1.010499999999956</v>
      </c>
      <c r="AB141" s="10">
        <v>3.5425000000000115</v>
      </c>
      <c r="AC141" s="10">
        <v>0.95999999999996788</v>
      </c>
      <c r="AD141" s="10">
        <v>0.86500000000014976</v>
      </c>
      <c r="AE141" s="10">
        <v>0.9084000000000978</v>
      </c>
      <c r="AH141" s="10">
        <v>0.74891777126044579</v>
      </c>
      <c r="AI141" s="10">
        <v>0.52421114369501964</v>
      </c>
      <c r="AJ141" s="10">
        <v>0.5336000000000316</v>
      </c>
      <c r="AK141" s="10">
        <v>0.7222534193550616</v>
      </c>
      <c r="AL141" s="10">
        <v>0.66660879758905534</v>
      </c>
      <c r="AM141" s="10">
        <v>0.88724618634109897</v>
      </c>
      <c r="AN141" s="10">
        <v>0.98576731964802877</v>
      </c>
      <c r="AO141" s="10">
        <v>0.91034350733125891</v>
      </c>
      <c r="AP141" s="10">
        <v>0.86627847507325451</v>
      </c>
      <c r="AQ141" s="10">
        <v>0.5382340100926859</v>
      </c>
      <c r="AR141" s="10">
        <v>0.55613325513193201</v>
      </c>
      <c r="AS141" s="10">
        <v>0.75874477419374931</v>
      </c>
      <c r="AT141" s="10">
        <v>0.79730167741935243</v>
      </c>
      <c r="AU141" s="10">
        <v>0.7053534779990922</v>
      </c>
      <c r="AW141" s="10">
        <v>0.77993554252141994</v>
      </c>
      <c r="AX141" s="10">
        <v>0.54592228739003468</v>
      </c>
      <c r="AY141" s="10">
        <v>0.55570000000003306</v>
      </c>
      <c r="AZ141" s="10">
        <v>0.75216683870990964</v>
      </c>
      <c r="BA141" s="10">
        <v>0.69421759524032622</v>
      </c>
      <c r="BB141" s="10">
        <v>0.92382680122022975</v>
      </c>
      <c r="BC141" s="10">
        <v>1.02659463929612</v>
      </c>
      <c r="BD141" s="10">
        <v>0.94804701466263241</v>
      </c>
      <c r="BE141" s="10">
        <v>0.56075842235001372</v>
      </c>
      <c r="BF141" s="10">
        <v>0.57916651026389543</v>
      </c>
      <c r="BG141" s="10">
        <v>0.79016954838730602</v>
      </c>
      <c r="BH141" s="10">
        <v>0.90215695014656594</v>
      </c>
      <c r="BI141" s="10">
        <v>0.83032335483870723</v>
      </c>
      <c r="BJ141" s="10">
        <v>0.73456695600467681</v>
      </c>
    </row>
    <row r="142" spans="1:62" x14ac:dyDescent="0.3">
      <c r="A142" s="4">
        <v>46280</v>
      </c>
      <c r="B142" s="10">
        <v>1.3173000000000048</v>
      </c>
      <c r="C142" s="10">
        <v>1.055950000000009</v>
      </c>
      <c r="D142">
        <v>1.2365159999999999</v>
      </c>
      <c r="E142">
        <v>1.48790837</v>
      </c>
      <c r="F142">
        <v>1.02044128</v>
      </c>
      <c r="G142">
        <v>1.34564097</v>
      </c>
      <c r="H142">
        <v>1.26531796</v>
      </c>
      <c r="I142">
        <v>1.2780193399999999</v>
      </c>
      <c r="J142" s="5">
        <v>1.0074688599999999</v>
      </c>
      <c r="K142" s="5">
        <v>1.22277905</v>
      </c>
      <c r="N142" s="5">
        <v>1.2258720400000001</v>
      </c>
      <c r="O142">
        <v>1.0821337499999999</v>
      </c>
      <c r="Q142">
        <v>1.2540483200000001</v>
      </c>
      <c r="R142" s="10">
        <v>3.047000000000037</v>
      </c>
      <c r="S142" s="10">
        <v>1.0075000000000081</v>
      </c>
      <c r="T142" s="10">
        <v>2.2529999999999681</v>
      </c>
      <c r="U142">
        <v>1.24550297E-2</v>
      </c>
      <c r="V142" s="10">
        <v>1.2220000000000029</v>
      </c>
      <c r="W142">
        <v>4.0055003100000007E-2</v>
      </c>
      <c r="X142" s="10">
        <v>1.0844999999989762</v>
      </c>
      <c r="Y142" s="10">
        <v>0.98499999999783905</v>
      </c>
      <c r="Z142" s="10">
        <v>2.8039999999999963</v>
      </c>
      <c r="AA142" s="10">
        <v>1.0115000000000631</v>
      </c>
      <c r="AB142" s="10">
        <v>3.5484999999998235</v>
      </c>
      <c r="AC142" s="10">
        <v>0.96099999999999541</v>
      </c>
      <c r="AD142" s="10">
        <v>0.86389999999996803</v>
      </c>
      <c r="AE142" s="10">
        <v>0.91119999999991008</v>
      </c>
      <c r="AH142" s="10">
        <v>0.74299779472045269</v>
      </c>
      <c r="AI142" s="10">
        <v>0.52265748973605097</v>
      </c>
      <c r="AJ142" s="10">
        <v>0.53470000000001816</v>
      </c>
      <c r="AK142" s="10">
        <v>0.71941454545481354</v>
      </c>
      <c r="AL142" s="10">
        <v>0.67030368323017075</v>
      </c>
      <c r="AM142" s="10">
        <v>0.88794696774184789</v>
      </c>
      <c r="AN142" s="10">
        <v>0.98723495601176847</v>
      </c>
      <c r="AO142" s="10">
        <v>0.90933496774193912</v>
      </c>
      <c r="AP142" s="10">
        <v>0.86806428152497517</v>
      </c>
      <c r="AQ142" s="10">
        <v>0.54046833958728047</v>
      </c>
      <c r="AR142" s="10">
        <v>0.55608800000000291</v>
      </c>
      <c r="AS142" s="10">
        <v>0.75654561876828741</v>
      </c>
      <c r="AT142" s="10">
        <v>0.79399029912034425</v>
      </c>
      <c r="AU142" s="10">
        <v>0.70743475659244337</v>
      </c>
      <c r="AW142" s="10">
        <v>0.77301229325413856</v>
      </c>
      <c r="AX142" s="10">
        <v>0.54377101466273658</v>
      </c>
      <c r="AY142" s="10">
        <v>0.55630000000001889</v>
      </c>
      <c r="AZ142" s="10">
        <v>0.74847636363664249</v>
      </c>
      <c r="BA142" s="10">
        <v>0.69738159525143817</v>
      </c>
      <c r="BB142" s="10">
        <v>0.9238169032257153</v>
      </c>
      <c r="BC142" s="10">
        <v>1.0271157771261397</v>
      </c>
      <c r="BD142" s="10">
        <v>0.94606890322581028</v>
      </c>
      <c r="BE142" s="10">
        <v>0.56240243902443021</v>
      </c>
      <c r="BF142" s="10">
        <v>0.57855200000000306</v>
      </c>
      <c r="BG142" s="10">
        <v>0.78710740175948812</v>
      </c>
      <c r="BH142" s="10">
        <v>0.90313102639301246</v>
      </c>
      <c r="BI142" s="10">
        <v>0.82606471554263605</v>
      </c>
      <c r="BJ142" s="10">
        <v>0.73601263342505385</v>
      </c>
    </row>
    <row r="143" spans="1:62" x14ac:dyDescent="0.3">
      <c r="A143" s="4">
        <v>46281</v>
      </c>
      <c r="B143" s="10">
        <v>1.3188500000000039</v>
      </c>
      <c r="C143" s="10">
        <v>1.0568500000000096</v>
      </c>
      <c r="D143">
        <v>1.2379524099999999</v>
      </c>
      <c r="E143">
        <v>1.4886435099999999</v>
      </c>
      <c r="F143">
        <v>1.02140539</v>
      </c>
      <c r="G143">
        <v>1.3460999</v>
      </c>
      <c r="H143">
        <v>1.2667624900000001</v>
      </c>
      <c r="I143">
        <v>1.2794401099999999</v>
      </c>
      <c r="J143" s="5">
        <v>1.0089119499999999</v>
      </c>
      <c r="K143" s="5">
        <v>1.22891895</v>
      </c>
      <c r="N143" s="5">
        <v>1.22719931</v>
      </c>
      <c r="O143">
        <v>1.08499287</v>
      </c>
      <c r="Q143">
        <v>1.25687583</v>
      </c>
      <c r="R143" s="10">
        <v>3.0500000000000047</v>
      </c>
      <c r="S143" s="10">
        <v>1.0089999999999808</v>
      </c>
      <c r="T143" s="10">
        <v>2.2595000000000058</v>
      </c>
      <c r="U143">
        <v>1.2507881199999999E-2</v>
      </c>
      <c r="V143" s="10">
        <v>1.2374999999999945</v>
      </c>
      <c r="W143">
        <v>4.0296776000000006E-2</v>
      </c>
      <c r="X143" s="10">
        <v>1.0869999999992119</v>
      </c>
      <c r="Y143" s="10">
        <v>0.98849999999848026</v>
      </c>
      <c r="Z143" s="10">
        <v>2.8100000000000529</v>
      </c>
      <c r="AA143" s="10">
        <v>1.0094999999999192</v>
      </c>
      <c r="AB143" s="10">
        <v>3.548500000000069</v>
      </c>
      <c r="AC143" s="10">
        <v>0.96130000000001614</v>
      </c>
      <c r="AD143" s="10">
        <v>0.86499999999993671</v>
      </c>
      <c r="AE143" s="10">
        <v>0.90700000000004455</v>
      </c>
      <c r="AH143" s="10">
        <v>0.74426393673019542</v>
      </c>
      <c r="AI143" s="10">
        <v>0.5207155711775342</v>
      </c>
      <c r="AJ143" s="10">
        <v>0.53429999999998545</v>
      </c>
      <c r="AK143" s="10">
        <v>0.7167820738137588</v>
      </c>
      <c r="AL143" s="10">
        <v>0.66532400695566773</v>
      </c>
      <c r="AM143" s="10">
        <v>0.88680653778581042</v>
      </c>
      <c r="AN143" s="10">
        <v>0.98534059753949288</v>
      </c>
      <c r="AO143" s="10">
        <v>0.90902991212666295</v>
      </c>
      <c r="AP143" s="10">
        <v>0.86452056239004083</v>
      </c>
      <c r="AQ143" s="10">
        <v>0.5390205086136618</v>
      </c>
      <c r="AR143" s="10">
        <v>0.55452014059749077</v>
      </c>
      <c r="AS143" s="10">
        <v>0.75647114235498802</v>
      </c>
      <c r="AT143" s="10">
        <v>0.79237892886434491</v>
      </c>
      <c r="AU143" s="10">
        <v>0.70520087872732429</v>
      </c>
      <c r="AW143" s="10">
        <v>0.77323771528903507</v>
      </c>
      <c r="AX143" s="10">
        <v>0.5409867369654674</v>
      </c>
      <c r="AY143" s="10">
        <v>0.55509999999998461</v>
      </c>
      <c r="AZ143" s="10">
        <v>0.74468599882840636</v>
      </c>
      <c r="BA143" s="10">
        <v>0.69122469822401489</v>
      </c>
      <c r="BB143" s="10">
        <v>0.92132942003537965</v>
      </c>
      <c r="BC143" s="10">
        <v>1.0236993555945582</v>
      </c>
      <c r="BD143" s="10">
        <v>0.9444179379028832</v>
      </c>
      <c r="BE143" s="10">
        <v>0.56051271534048874</v>
      </c>
      <c r="BF143" s="10">
        <v>0.57610729935554372</v>
      </c>
      <c r="BG143" s="10">
        <v>0.78592014059751791</v>
      </c>
      <c r="BH143" s="10">
        <v>0.89817586408892292</v>
      </c>
      <c r="BI143" s="10">
        <v>0.82397322161015263</v>
      </c>
      <c r="BJ143" s="10">
        <v>0.73265395429821767</v>
      </c>
    </row>
    <row r="144" spans="1:62" x14ac:dyDescent="0.3">
      <c r="A144" s="4">
        <v>46282</v>
      </c>
      <c r="B144" s="10">
        <v>1.3215999999999994</v>
      </c>
      <c r="C144" s="10">
        <v>1.0587999999999993</v>
      </c>
      <c r="D144">
        <v>1.2397538800000001</v>
      </c>
      <c r="E144">
        <v>1.49184129</v>
      </c>
      <c r="F144">
        <v>1.0235362400000001</v>
      </c>
      <c r="G144">
        <v>1.3498274699999999</v>
      </c>
      <c r="H144">
        <v>1.26914003</v>
      </c>
      <c r="I144">
        <v>1.28144792</v>
      </c>
      <c r="J144" s="5">
        <v>1.01114254</v>
      </c>
      <c r="K144" s="5">
        <v>1.23183869</v>
      </c>
      <c r="N144" s="5">
        <v>1.22855866</v>
      </c>
      <c r="O144">
        <v>1.08743849</v>
      </c>
      <c r="Q144">
        <v>1.25794154</v>
      </c>
      <c r="R144" s="10">
        <v>3.0559999999999494</v>
      </c>
      <c r="S144" s="10">
        <v>1.0119999999999989</v>
      </c>
      <c r="T144" s="10">
        <v>2.2655000000000269</v>
      </c>
      <c r="U144">
        <v>1.2501676100000001E-2</v>
      </c>
      <c r="V144" s="10">
        <v>1.2324999999999775</v>
      </c>
      <c r="W144">
        <v>4.0408822699999999E-2</v>
      </c>
      <c r="X144" s="10">
        <v>1.0899999999994114</v>
      </c>
      <c r="Y144" s="10">
        <v>0.994999999999303</v>
      </c>
      <c r="Z144" s="10">
        <v>2.8165000000001545</v>
      </c>
      <c r="AA144" s="10">
        <v>1.0125000000000073</v>
      </c>
      <c r="AB144" s="10">
        <v>3.5529999999999831</v>
      </c>
      <c r="AC144" s="10">
        <v>0.96549999999992053</v>
      </c>
      <c r="AD144" s="10">
        <v>0.86050000000003546</v>
      </c>
      <c r="AE144" s="10">
        <v>0.91000000000006009</v>
      </c>
      <c r="AH144" s="10">
        <v>0.74661524926616396</v>
      </c>
      <c r="AI144" s="10">
        <v>0.5215073313783074</v>
      </c>
      <c r="AJ144" s="10">
        <v>0.53499999999999681</v>
      </c>
      <c r="AK144" s="10">
        <v>0.71746056338024855</v>
      </c>
      <c r="AL144" s="10">
        <v>0.6623958943381214</v>
      </c>
      <c r="AM144" s="10">
        <v>0.88769208211135076</v>
      </c>
      <c r="AN144" s="10">
        <v>0.98647096774199139</v>
      </c>
      <c r="AO144" s="10">
        <v>0.91122580645147411</v>
      </c>
      <c r="AP144" s="10">
        <v>0.86855131964816001</v>
      </c>
      <c r="AQ144" s="10">
        <v>0.54284457478008052</v>
      </c>
      <c r="AR144" s="10">
        <v>0.55570967741929167</v>
      </c>
      <c r="AS144" s="10">
        <v>0.75370674486808953</v>
      </c>
      <c r="AT144" s="10">
        <v>0.7950633431084887</v>
      </c>
      <c r="AU144" s="10">
        <v>0.70454225351352873</v>
      </c>
      <c r="AW144" s="10">
        <v>0.7756425337236148</v>
      </c>
      <c r="AX144" s="10">
        <v>0.54178275659824904</v>
      </c>
      <c r="AY144" s="10">
        <v>0.55579999999999663</v>
      </c>
      <c r="AZ144" s="10">
        <v>0.74657218309855711</v>
      </c>
      <c r="BA144" s="10">
        <v>0.68814885621145394</v>
      </c>
      <c r="BB144" s="10">
        <v>0.92220422287381065</v>
      </c>
      <c r="BC144" s="10">
        <v>1.0248234838710257</v>
      </c>
      <c r="BD144" s="10">
        <v>0.9466529032256622</v>
      </c>
      <c r="BE144" s="10">
        <v>0.56394956011732467</v>
      </c>
      <c r="BF144" s="10">
        <v>0.57731483870961176</v>
      </c>
      <c r="BG144" s="10">
        <v>0.78300973607043756</v>
      </c>
      <c r="BH144" s="10">
        <v>0.90231929618775197</v>
      </c>
      <c r="BI144" s="10">
        <v>0.82597421700878126</v>
      </c>
      <c r="BJ144" s="10">
        <v>0.7328556337949137</v>
      </c>
    </row>
    <row r="145" spans="1:62" x14ac:dyDescent="0.3">
      <c r="A145" s="4">
        <v>46283</v>
      </c>
      <c r="B145" s="10">
        <v>1.3229999999999915</v>
      </c>
      <c r="C145" s="10">
        <v>1.0596999999999936</v>
      </c>
      <c r="D145">
        <v>1.2423725800000001</v>
      </c>
      <c r="E145">
        <v>1.49517514</v>
      </c>
      <c r="F145">
        <v>1.0260089699999999</v>
      </c>
      <c r="G145">
        <v>1.35145396</v>
      </c>
      <c r="H145">
        <v>1.2733092399999999</v>
      </c>
      <c r="I145">
        <v>1.28285122</v>
      </c>
      <c r="J145" s="5">
        <v>1.0129376000000001</v>
      </c>
      <c r="K145" s="5">
        <v>1.2382925</v>
      </c>
      <c r="N145" s="5">
        <v>1.23204487</v>
      </c>
      <c r="O145">
        <v>1.09631334</v>
      </c>
      <c r="Q145">
        <v>1.2604560199999999</v>
      </c>
      <c r="R145" s="10">
        <v>3.0619999999999896</v>
      </c>
      <c r="S145" s="10">
        <v>1.0129900000000052</v>
      </c>
      <c r="T145" s="10">
        <v>2.2689999999999717</v>
      </c>
      <c r="U145">
        <v>1.2505011100000001E-2</v>
      </c>
      <c r="V145" s="10">
        <v>1.2304999999999611</v>
      </c>
      <c r="W145">
        <v>4.0684693399999999E-2</v>
      </c>
      <c r="X145" s="10">
        <v>1.0924999999994582</v>
      </c>
      <c r="Y145" s="10">
        <v>0.99449999999906813</v>
      </c>
      <c r="Z145" s="10">
        <v>2.8230000000000439</v>
      </c>
      <c r="AA145" s="10">
        <v>1.0119999999999667</v>
      </c>
      <c r="AB145" s="10">
        <v>3.5565000000000593</v>
      </c>
      <c r="AC145" s="10">
        <v>0.96450000000004321</v>
      </c>
      <c r="AD145" s="10">
        <v>0.86299999999993471</v>
      </c>
      <c r="AE145" s="10">
        <v>0.91549999999991882</v>
      </c>
      <c r="AH145" s="10">
        <v>0.73939472450031074</v>
      </c>
      <c r="AI145" s="10">
        <v>0.51991433262960063</v>
      </c>
      <c r="AJ145" s="10">
        <v>0.53349999999994335</v>
      </c>
      <c r="AK145" s="10">
        <v>0.71106230949603966</v>
      </c>
      <c r="AL145" s="10">
        <v>0.65802502918197914</v>
      </c>
      <c r="AM145" s="10">
        <v>0.88812426729197258</v>
      </c>
      <c r="AN145" s="10">
        <v>0.98769425556859713</v>
      </c>
      <c r="AO145" s="10">
        <v>0.91007719812425891</v>
      </c>
      <c r="AP145" s="10">
        <v>0.866233880422146</v>
      </c>
      <c r="AQ145" s="10">
        <v>0.53600175849939002</v>
      </c>
      <c r="AR145" s="10">
        <v>0.55226318874560454</v>
      </c>
      <c r="AS145" s="10">
        <v>0.75052754982416037</v>
      </c>
      <c r="AT145" s="10">
        <v>0.79055568581469926</v>
      </c>
      <c r="AU145" s="10">
        <v>0.70049237982512769</v>
      </c>
      <c r="AW145" s="10">
        <v>0.76849929659872984</v>
      </c>
      <c r="AX145" s="10">
        <v>0.54077719915552114</v>
      </c>
      <c r="AY145" s="10">
        <v>0.55449999999994115</v>
      </c>
      <c r="AZ145" s="10">
        <v>0.7390516412662681</v>
      </c>
      <c r="BA145" s="10">
        <v>0.68392667044312561</v>
      </c>
      <c r="BB145" s="10">
        <v>0.92308323563898564</v>
      </c>
      <c r="BC145" s="10">
        <v>1.0265725674091606</v>
      </c>
      <c r="BD145" s="10">
        <v>0.94590029308322698</v>
      </c>
      <c r="BE145" s="10">
        <v>0.55710023446656376</v>
      </c>
      <c r="BF145" s="10">
        <v>0.57400175849941482</v>
      </c>
      <c r="BG145" s="10">
        <v>0.78007033997656405</v>
      </c>
      <c r="BH145" s="10">
        <v>0.90033118405638235</v>
      </c>
      <c r="BI145" s="10">
        <v>0.82167409144189463</v>
      </c>
      <c r="BJ145" s="10">
        <v>0.7280656506336145</v>
      </c>
    </row>
    <row r="146" spans="1:62" x14ac:dyDescent="0.3">
      <c r="A146" s="4">
        <v>46286</v>
      </c>
      <c r="B146" s="10">
        <v>1.3244999999999971</v>
      </c>
      <c r="C146" s="10">
        <v>1.0604000000000007</v>
      </c>
      <c r="D146">
        <v>1.24243803</v>
      </c>
      <c r="E146">
        <v>1.49389584</v>
      </c>
      <c r="F146">
        <v>1.0249857200000001</v>
      </c>
      <c r="G146">
        <v>1.3505734700000001</v>
      </c>
      <c r="H146">
        <v>1.2723530999999999</v>
      </c>
      <c r="I146">
        <v>1.28300897</v>
      </c>
      <c r="J146" s="5">
        <v>1.0114465399999999</v>
      </c>
      <c r="K146" s="5">
        <v>1.2340932099999999</v>
      </c>
      <c r="N146" s="5">
        <v>1.2316546799999999</v>
      </c>
      <c r="O146">
        <v>1.0946988600000001</v>
      </c>
      <c r="Q146">
        <v>1.26070404</v>
      </c>
      <c r="R146" s="10">
        <v>3.06099999999998</v>
      </c>
      <c r="S146" s="10">
        <v>1.0114999999999863</v>
      </c>
      <c r="T146" s="10">
        <v>2.2669999999999919</v>
      </c>
      <c r="U146">
        <v>1.2535023700000002E-2</v>
      </c>
      <c r="V146" s="10">
        <v>1.2349999999999519</v>
      </c>
      <c r="W146">
        <v>4.0488869199999999E-2</v>
      </c>
      <c r="X146" s="10">
        <v>1.0894999999990755</v>
      </c>
      <c r="Y146" s="10">
        <v>0.98749999999740767</v>
      </c>
      <c r="Z146" s="10">
        <v>2.8189999999999218</v>
      </c>
      <c r="AA146" s="10">
        <v>1.0099999999999976</v>
      </c>
      <c r="AB146" s="10">
        <v>3.5524999999998057</v>
      </c>
      <c r="AC146" s="10">
        <v>0.96199999999991304</v>
      </c>
      <c r="AD146" s="10">
        <v>0.8585999999999594</v>
      </c>
      <c r="AE146" s="10">
        <v>0.90869999999988105</v>
      </c>
      <c r="AH146" s="10">
        <v>0.73548989423987665</v>
      </c>
      <c r="AI146" s="10">
        <v>0.51922091656878122</v>
      </c>
      <c r="AJ146" s="10">
        <v>0.5329999999999544</v>
      </c>
      <c r="AK146" s="10">
        <v>0.70655381903631498</v>
      </c>
      <c r="AL146" s="10">
        <v>0.65406803744047193</v>
      </c>
      <c r="AM146" s="10">
        <v>0.88286345475897443</v>
      </c>
      <c r="AN146" s="10">
        <v>0.98770975323145493</v>
      </c>
      <c r="AO146" s="10">
        <v>0.90822949471209358</v>
      </c>
      <c r="AP146" s="10">
        <v>0.86313431257360884</v>
      </c>
      <c r="AQ146" s="10">
        <v>0.53400270429153507</v>
      </c>
      <c r="AR146" s="10">
        <v>0.55147649823742062</v>
      </c>
      <c r="AS146" s="10">
        <v>0.74782843713274172</v>
      </c>
      <c r="AT146" s="10">
        <v>0.78666039952985645</v>
      </c>
      <c r="AU146" s="10">
        <v>0.69540528788166522</v>
      </c>
      <c r="AW146" s="10">
        <v>0.76529586368749647</v>
      </c>
      <c r="AX146" s="10">
        <v>0.54026251468864184</v>
      </c>
      <c r="AY146" s="10">
        <v>0.55459999999995269</v>
      </c>
      <c r="AZ146" s="10">
        <v>0.73518714453572298</v>
      </c>
      <c r="BA146" s="10">
        <v>0.68057435940804101</v>
      </c>
      <c r="BB146" s="10">
        <v>0.91864178613382241</v>
      </c>
      <c r="BC146" s="10">
        <v>1.0277370152761069</v>
      </c>
      <c r="BD146" s="10">
        <v>0.94503579318447872</v>
      </c>
      <c r="BE146" s="10">
        <v>0.55614427983533044</v>
      </c>
      <c r="BF146" s="10">
        <v>0.57382526439488457</v>
      </c>
      <c r="BG146" s="10">
        <v>0.77813443008221139</v>
      </c>
      <c r="BH146" s="10">
        <v>0.89811311398372151</v>
      </c>
      <c r="BI146" s="10">
        <v>0.81854007050517541</v>
      </c>
      <c r="BJ146" s="10">
        <v>0.72358681549563153</v>
      </c>
    </row>
    <row r="147" spans="1:62" x14ac:dyDescent="0.3">
      <c r="A147" s="4">
        <v>46287</v>
      </c>
      <c r="B147" s="10">
        <v>1.3240999999999901</v>
      </c>
      <c r="C147" s="10">
        <v>1.0606699999999867</v>
      </c>
      <c r="D147">
        <v>1.2424581299999999</v>
      </c>
      <c r="E147">
        <v>1.4940571</v>
      </c>
      <c r="F147">
        <v>1.0253491100000001</v>
      </c>
      <c r="G147">
        <v>1.3507939900000001</v>
      </c>
      <c r="H147">
        <v>1.2718339400000001</v>
      </c>
      <c r="I147">
        <v>1.28149376</v>
      </c>
      <c r="J147" s="5">
        <v>1.01226349</v>
      </c>
      <c r="K147" s="5">
        <v>1.2315646899999999</v>
      </c>
      <c r="N147" s="5">
        <v>1.2316048500000001</v>
      </c>
      <c r="O147">
        <v>1.08999808</v>
      </c>
      <c r="Q147">
        <v>1.2606395699999999</v>
      </c>
      <c r="R147" s="10">
        <v>3.0625000000000107</v>
      </c>
      <c r="S147" s="10">
        <v>1.0115000000000116</v>
      </c>
      <c r="T147" s="10">
        <v>2.2669999999999391</v>
      </c>
      <c r="U147">
        <v>1.2519247399999999E-2</v>
      </c>
      <c r="V147" s="10">
        <v>1.2425000000000168</v>
      </c>
      <c r="W147">
        <v>4.0369820399999999E-2</v>
      </c>
      <c r="X147" s="10">
        <v>1.0899999999990058</v>
      </c>
      <c r="Y147" s="10">
        <v>0.98499999999608112</v>
      </c>
      <c r="Z147" s="10">
        <v>2.8129999999999864</v>
      </c>
      <c r="AA147" s="10">
        <v>1.0089999999999579</v>
      </c>
      <c r="AB147" s="10">
        <v>3.5450000000001927</v>
      </c>
      <c r="AC147" s="10">
        <v>0.9594999999999978</v>
      </c>
      <c r="AD147" s="10">
        <v>0.85999999999994314</v>
      </c>
      <c r="AE147" s="10">
        <v>0.90749999999993436</v>
      </c>
      <c r="AH147" s="10">
        <v>0.72431603773075426</v>
      </c>
      <c r="AI147" s="10">
        <v>0.51620005896225041</v>
      </c>
      <c r="AJ147" s="10">
        <v>0.52949999999999131</v>
      </c>
      <c r="AK147" s="10">
        <v>0.69521851415101421</v>
      </c>
      <c r="AL147" s="10">
        <v>0.64564032992239062</v>
      </c>
      <c r="AM147" s="10">
        <v>0.86986609669799475</v>
      </c>
      <c r="AN147" s="10">
        <v>0.98344634433959099</v>
      </c>
      <c r="AO147" s="10">
        <v>0.90221055424522933</v>
      </c>
      <c r="AP147" s="10">
        <v>0.84963520047172625</v>
      </c>
      <c r="AQ147" s="10">
        <v>0.54011497641503925</v>
      </c>
      <c r="AR147" s="10">
        <v>0.54873183962265981</v>
      </c>
      <c r="AS147" s="10">
        <v>0.73842771226395199</v>
      </c>
      <c r="AT147" s="10">
        <v>0.77620454009419437</v>
      </c>
      <c r="AU147" s="10">
        <v>0.6896612617705048</v>
      </c>
      <c r="AW147" s="10">
        <v>0.75495754716450081</v>
      </c>
      <c r="AX147" s="10">
        <v>0.53803741745281575</v>
      </c>
      <c r="AY147" s="10">
        <v>0.55189999999999073</v>
      </c>
      <c r="AZ147" s="10">
        <v>0.72462908018875294</v>
      </c>
      <c r="BA147" s="10">
        <v>0.67295353745829511</v>
      </c>
      <c r="BB147" s="10">
        <v>0.90666496462251789</v>
      </c>
      <c r="BC147" s="10">
        <v>1.0250501179244951</v>
      </c>
      <c r="BD147" s="10">
        <v>0.94037772405654763</v>
      </c>
      <c r="BE147" s="10">
        <v>0.56296403301881037</v>
      </c>
      <c r="BF147" s="10">
        <v>0.57194542452832087</v>
      </c>
      <c r="BG147" s="10">
        <v>0.76966620282998111</v>
      </c>
      <c r="BH147" s="10">
        <v>0.88557821933965175</v>
      </c>
      <c r="BI147" s="10">
        <v>0.80904114386777293</v>
      </c>
      <c r="BJ147" s="10">
        <v>0.71883673346768928</v>
      </c>
    </row>
    <row r="148" spans="1:62" x14ac:dyDescent="0.3">
      <c r="A148" s="4">
        <v>46288</v>
      </c>
      <c r="B148" s="10">
        <v>1.3243999999999927</v>
      </c>
      <c r="C148" s="10">
        <v>1.0609999999999979</v>
      </c>
      <c r="D148">
        <v>1.2429414299999999</v>
      </c>
      <c r="E148">
        <v>1.4939936199999999</v>
      </c>
      <c r="F148">
        <v>1.0240504800000001</v>
      </c>
      <c r="G148">
        <v>1.3492921600000001</v>
      </c>
      <c r="H148">
        <v>1.26972865</v>
      </c>
      <c r="I148">
        <v>1.2815449699999999</v>
      </c>
      <c r="J148" s="5">
        <v>1.0113740099999999</v>
      </c>
      <c r="K148" s="5">
        <v>1.2301632499999999</v>
      </c>
      <c r="N148" s="5">
        <v>1.2308570400000001</v>
      </c>
      <c r="O148">
        <v>1.09026702</v>
      </c>
      <c r="Q148">
        <v>1.26129709</v>
      </c>
      <c r="R148" s="10">
        <v>3.0625000000000013</v>
      </c>
      <c r="S148" s="10">
        <v>1.0125000000000015</v>
      </c>
      <c r="T148" s="10">
        <v>2.2659999999999672</v>
      </c>
      <c r="U148">
        <v>1.2503633599999999E-2</v>
      </c>
      <c r="V148" s="10">
        <v>1.2400000000000349</v>
      </c>
      <c r="W148">
        <v>4.03251793E-2</v>
      </c>
      <c r="X148" s="10">
        <v>1.0869999999983242</v>
      </c>
      <c r="Y148" s="10">
        <v>0.98499999999575338</v>
      </c>
      <c r="Z148" s="10">
        <v>2.7990000000000146</v>
      </c>
      <c r="AA148" s="10">
        <v>1.0059999999999585</v>
      </c>
      <c r="AB148" s="10">
        <v>3.5314999999999919</v>
      </c>
      <c r="AC148" s="10">
        <v>0.95499999999999874</v>
      </c>
      <c r="AD148" s="10">
        <v>0.85399999999998955</v>
      </c>
      <c r="AE148" s="10">
        <v>0.90300000000001757</v>
      </c>
      <c r="AH148" s="10">
        <v>0.71248755200268254</v>
      </c>
      <c r="AI148" s="10">
        <v>0.51261462544592129</v>
      </c>
      <c r="AJ148" s="10">
        <v>0.52320000000002953</v>
      </c>
      <c r="AK148" s="10">
        <v>0.68082558554265449</v>
      </c>
      <c r="AL148" s="10">
        <v>0.63927314192605988</v>
      </c>
      <c r="AM148" s="10">
        <v>0.85313137557940588</v>
      </c>
      <c r="AN148" s="10">
        <v>0.98220520746644524</v>
      </c>
      <c r="AO148" s="10">
        <v>0.88889882296992095</v>
      </c>
      <c r="AP148" s="10">
        <v>0.83913541790506807</v>
      </c>
      <c r="AQ148" s="10">
        <v>0.5307112960761059</v>
      </c>
      <c r="AR148" s="10">
        <v>0.54434944715249256</v>
      </c>
      <c r="AS148" s="10">
        <v>0.72903388419936266</v>
      </c>
      <c r="AT148" s="10">
        <v>0.76828476994399797</v>
      </c>
      <c r="AU148" s="10">
        <v>0.68076338124857638</v>
      </c>
      <c r="AW148" s="10">
        <v>0.74285542740340849</v>
      </c>
      <c r="AX148" s="10">
        <v>0.53466783590965594</v>
      </c>
      <c r="AY148" s="10">
        <v>0.54550000000003074</v>
      </c>
      <c r="AZ148" s="10">
        <v>0.70984395434540903</v>
      </c>
      <c r="BA148" s="10">
        <v>0.6665204490073886</v>
      </c>
      <c r="BB148" s="10">
        <v>0.88949381761958324</v>
      </c>
      <c r="BC148" s="10">
        <v>1.0240690762097591</v>
      </c>
      <c r="BD148" s="10">
        <v>0.92678575674711761</v>
      </c>
      <c r="BE148" s="10">
        <v>0.55344156956005397</v>
      </c>
      <c r="BF148" s="10">
        <v>0.56755088574481027</v>
      </c>
      <c r="BG148" s="10">
        <v>0.7601070027346184</v>
      </c>
      <c r="BH148" s="10">
        <v>0.87490131970033391</v>
      </c>
      <c r="BI148" s="10">
        <v>0.80103085245499017</v>
      </c>
      <c r="BJ148" s="10">
        <v>0.70977909875974476</v>
      </c>
    </row>
    <row r="149" spans="1:62" x14ac:dyDescent="0.3">
      <c r="A149" s="4">
        <v>46289</v>
      </c>
      <c r="B149" s="10">
        <v>1.3241999999999892</v>
      </c>
      <c r="C149" s="10">
        <v>1.0620999999999947</v>
      </c>
      <c r="D149">
        <v>1.2441817799999999</v>
      </c>
      <c r="E149">
        <v>1.49460317</v>
      </c>
      <c r="F149">
        <v>1.02456668</v>
      </c>
      <c r="G149">
        <v>1.3479110400000001</v>
      </c>
      <c r="H149">
        <v>1.2679350199999999</v>
      </c>
      <c r="I149">
        <v>1.2796838800000001</v>
      </c>
      <c r="J149" s="5">
        <v>1.01355576</v>
      </c>
      <c r="K149" s="5">
        <v>1.2290459600000001</v>
      </c>
      <c r="N149" s="5">
        <v>1.23299767</v>
      </c>
      <c r="O149">
        <v>1.0917816499999999</v>
      </c>
      <c r="Q149">
        <v>1.2624856600000001</v>
      </c>
      <c r="R149" s="10">
        <v>3.0664999999999965</v>
      </c>
      <c r="S149" s="10">
        <v>1.0148999999999895</v>
      </c>
      <c r="T149" s="10">
        <v>2.2664999999999433</v>
      </c>
      <c r="U149">
        <v>1.2430008400000001E-2</v>
      </c>
      <c r="V149" s="10">
        <v>1.2219999999999676</v>
      </c>
      <c r="W149">
        <v>4.0260275500000005E-2</v>
      </c>
      <c r="X149" s="10">
        <v>1.084999999997734</v>
      </c>
      <c r="Y149" s="10">
        <v>0.98349999999456572</v>
      </c>
      <c r="Z149" s="10">
        <v>2.8020000000000977</v>
      </c>
      <c r="AA149" s="10">
        <v>1.0079999999999665</v>
      </c>
      <c r="AB149" s="10">
        <v>3.5280000000003597</v>
      </c>
      <c r="AC149" s="10">
        <v>0.9530000000000165</v>
      </c>
      <c r="AD149" s="10">
        <v>0.85300000000004061</v>
      </c>
      <c r="AE149" s="10">
        <v>0.90290000000004189</v>
      </c>
      <c r="AH149" s="10">
        <v>0.70499678913224118</v>
      </c>
      <c r="AI149" s="10">
        <v>0.51247128077053983</v>
      </c>
      <c r="AJ149" s="10">
        <v>0.52139999999997955</v>
      </c>
      <c r="AK149" s="10">
        <v>0.67467634677143085</v>
      </c>
      <c r="AL149" s="10">
        <v>0.62990874063511948</v>
      </c>
      <c r="AM149" s="10">
        <v>0.84974535935246709</v>
      </c>
      <c r="AN149" s="10">
        <v>0.98153906528710277</v>
      </c>
      <c r="AO149" s="10">
        <v>0.88586535854433979</v>
      </c>
      <c r="AP149" s="10">
        <v>0.82516246878348265</v>
      </c>
      <c r="AQ149" s="10">
        <v>0.53133024639924198</v>
      </c>
      <c r="AR149" s="10">
        <v>0.54198565822335054</v>
      </c>
      <c r="AS149" s="10">
        <v>0.72217217267224532</v>
      </c>
      <c r="AT149" s="10">
        <v>0.76359150909728879</v>
      </c>
      <c r="AU149" s="10">
        <v>0.67647449156602457</v>
      </c>
      <c r="AW149" s="10">
        <v>0.73623082409379603</v>
      </c>
      <c r="AX149" s="10">
        <v>0.53517570460214581</v>
      </c>
      <c r="AY149" s="10">
        <v>0.54449999999997845</v>
      </c>
      <c r="AZ149" s="10">
        <v>0.70456707099548155</v>
      </c>
      <c r="BA149" s="10">
        <v>0.65781608990376383</v>
      </c>
      <c r="BB149" s="10">
        <v>0.88892670157044829</v>
      </c>
      <c r="BC149" s="10">
        <v>1.0250249732428605</v>
      </c>
      <c r="BD149" s="10">
        <v>0.92511255797351932</v>
      </c>
      <c r="BE149" s="10">
        <v>0.5549720985596992</v>
      </c>
      <c r="BF149" s="10">
        <v>0.56599768105603054</v>
      </c>
      <c r="BG149" s="10">
        <v>0.75416714234759785</v>
      </c>
      <c r="BH149" s="10">
        <v>0.86172029967895336</v>
      </c>
      <c r="BI149" s="10">
        <v>0.79742151266489014</v>
      </c>
      <c r="BJ149" s="10">
        <v>0.70644488043287368</v>
      </c>
    </row>
    <row r="150" spans="1:62" x14ac:dyDescent="0.3">
      <c r="A150" s="4">
        <v>46290</v>
      </c>
      <c r="B150" s="10">
        <v>1.3270999999999993</v>
      </c>
      <c r="C150" s="10">
        <v>1.0641999999999954</v>
      </c>
      <c r="D150">
        <v>1.24693685</v>
      </c>
      <c r="E150">
        <v>1.4954674699999999</v>
      </c>
      <c r="F150">
        <v>1.0266372500000001</v>
      </c>
      <c r="G150">
        <v>1.3493975899999999</v>
      </c>
      <c r="H150">
        <v>1.26970279</v>
      </c>
      <c r="I150">
        <v>1.2844502499999999</v>
      </c>
      <c r="J150" s="5">
        <v>1.0173794300000001</v>
      </c>
      <c r="K150" s="5">
        <v>1.22755076</v>
      </c>
      <c r="N150" s="5">
        <v>1.23756672</v>
      </c>
      <c r="O150">
        <v>1.09202855</v>
      </c>
      <c r="Q150">
        <v>1.2646537799999999</v>
      </c>
      <c r="R150" s="10">
        <v>3.07400000000003</v>
      </c>
      <c r="S150" s="10">
        <v>1.0155999999999883</v>
      </c>
      <c r="T150" s="10">
        <v>2.2685000000000088</v>
      </c>
      <c r="U150">
        <v>1.2490924465058999E-2</v>
      </c>
      <c r="V150" s="10">
        <v>1.2280000000000222</v>
      </c>
      <c r="W150">
        <v>4.0183252900000001E-2</v>
      </c>
      <c r="X150" s="10">
        <v>1.0869999999976541</v>
      </c>
      <c r="Y150" s="10">
        <v>0.98599999999493604</v>
      </c>
      <c r="Z150" s="10">
        <v>2.8030000000001389</v>
      </c>
      <c r="AA150" s="10">
        <v>1.0075000000000152</v>
      </c>
      <c r="AB150" s="10">
        <v>3.522499999999781</v>
      </c>
      <c r="AC150" s="10">
        <v>0.95149999999997692</v>
      </c>
      <c r="AD150" s="10">
        <v>0.8524999999999533</v>
      </c>
      <c r="AE150" s="10">
        <v>0.90000000000007818</v>
      </c>
      <c r="AH150" s="10">
        <v>0.69565089737163677</v>
      </c>
      <c r="AI150" s="10">
        <v>0.5101645667419642</v>
      </c>
      <c r="AJ150" s="10">
        <v>0.51929999999999843</v>
      </c>
      <c r="AK150" s="10">
        <v>0.66478794701396748</v>
      </c>
      <c r="AL150" s="10">
        <v>0.6184935219303469</v>
      </c>
      <c r="AM150" s="10">
        <v>0.83558351360974514</v>
      </c>
      <c r="AN150" s="10">
        <v>0.98057765363127269</v>
      </c>
      <c r="AO150" s="10">
        <v>0.87928545108764</v>
      </c>
      <c r="AP150" s="10">
        <v>0.81478188517763284</v>
      </c>
      <c r="AQ150" s="10">
        <v>0.5284365192582291</v>
      </c>
      <c r="AR150" s="10">
        <v>0.54318792345174882</v>
      </c>
      <c r="AS150" s="10">
        <v>0.71848948056576689</v>
      </c>
      <c r="AT150" s="10">
        <v>0.75644398478322517</v>
      </c>
      <c r="AU150" s="10">
        <v>0.66546693202523333</v>
      </c>
      <c r="AW150" s="10">
        <v>0.72592571015923335</v>
      </c>
      <c r="AX150" s="10">
        <v>0.53236699156069778</v>
      </c>
      <c r="AY150" s="10">
        <v>0.54189999999999827</v>
      </c>
      <c r="AZ150" s="10">
        <v>0.69371960039836111</v>
      </c>
      <c r="BA150" s="10">
        <v>0.64541043622964556</v>
      </c>
      <c r="BB150" s="10">
        <v>0.8719482111017155</v>
      </c>
      <c r="BC150" s="10">
        <v>1.0232525139664674</v>
      </c>
      <c r="BD150" s="10">
        <v>0.91755206228459851</v>
      </c>
      <c r="BE150" s="10">
        <v>0.55184117926774068</v>
      </c>
      <c r="BF150" s="10">
        <v>0.56682752882438403</v>
      </c>
      <c r="BG150" s="10">
        <v>0.74975823130866359</v>
      </c>
      <c r="BH150" s="10">
        <v>0.85024129323658615</v>
      </c>
      <c r="BI150" s="10">
        <v>0.78904807417930811</v>
      </c>
      <c r="BJ150" s="10">
        <v>0.6944281349209972</v>
      </c>
    </row>
    <row r="151" spans="1:62" x14ac:dyDescent="0.3">
      <c r="A151" s="4">
        <f>+WORKDAY(A150,1,Feriados!$A$2:$A$38)</f>
        <v>46293</v>
      </c>
      <c r="B151" s="10">
        <v>1.3280099999999964</v>
      </c>
      <c r="C151" s="10">
        <v>1.0649999999999995</v>
      </c>
      <c r="D151">
        <v>1.2469439899999999</v>
      </c>
      <c r="E151">
        <v>1.4964230700000001</v>
      </c>
      <c r="F151">
        <v>1.0268137500000001</v>
      </c>
      <c r="G151">
        <v>1.3470452900000001</v>
      </c>
      <c r="H151">
        <v>1.2672363799999999</v>
      </c>
      <c r="I151">
        <v>1.2805150000000001</v>
      </c>
      <c r="J151" s="5">
        <v>1.01737356</v>
      </c>
      <c r="K151" s="5">
        <v>1.23092727</v>
      </c>
      <c r="N151" s="5">
        <v>1.2389035100000001</v>
      </c>
      <c r="O151">
        <v>1.0912433500000001</v>
      </c>
      <c r="Q151">
        <v>1.26614878</v>
      </c>
      <c r="R151" s="10">
        <v>3.0765000000000113</v>
      </c>
      <c r="S151" s="10">
        <v>1.017499999999997</v>
      </c>
      <c r="T151" s="10">
        <v>2.2729999999999593</v>
      </c>
      <c r="U151">
        <v>1.2595746100000001E-2</v>
      </c>
      <c r="V151" s="10">
        <v>1.2360000000000495</v>
      </c>
      <c r="W151">
        <v>4.0270874499999998E-2</v>
      </c>
      <c r="X151" s="10">
        <v>1.0874999999976174</v>
      </c>
      <c r="Y151" s="10">
        <v>0.98649999999477211</v>
      </c>
      <c r="Z151" s="10">
        <v>2.8100000000002066</v>
      </c>
      <c r="AA151" s="10">
        <v>1.0060000000000164</v>
      </c>
      <c r="AB151" s="10">
        <v>3.4984999999999569</v>
      </c>
      <c r="AC151" s="10">
        <v>0.95099999999997764</v>
      </c>
      <c r="AD151" s="10">
        <v>0.84510000000002394</v>
      </c>
      <c r="AE151" s="10">
        <v>0.89299999999991853</v>
      </c>
      <c r="AH151" s="10">
        <v>0.68808881335091865</v>
      </c>
      <c r="AI151" s="10">
        <v>0.50997855611149889</v>
      </c>
      <c r="AJ151" s="10">
        <v>0.51749999999997653</v>
      </c>
      <c r="AK151" s="10">
        <v>0.65787973536656874</v>
      </c>
      <c r="AL151" s="10">
        <v>0.61373749106503583</v>
      </c>
      <c r="AM151" s="10">
        <v>0.82211847748374334</v>
      </c>
      <c r="AN151" s="10">
        <v>0.98074696211575851</v>
      </c>
      <c r="AO151" s="10">
        <v>0.86866511794148527</v>
      </c>
      <c r="AP151" s="10">
        <v>0.80664403145092056</v>
      </c>
      <c r="AQ151" s="10">
        <v>0.52652583452551416</v>
      </c>
      <c r="AR151" s="10">
        <v>0.53642691208009263</v>
      </c>
      <c r="AS151" s="10">
        <v>0.70960507505342174</v>
      </c>
      <c r="AT151" s="10">
        <v>0.74962545887861542</v>
      </c>
      <c r="AU151" s="10">
        <v>0.66133220143765126</v>
      </c>
      <c r="AW151" s="10">
        <v>0.71760682621350891</v>
      </c>
      <c r="AX151" s="10">
        <v>0.53185589706932557</v>
      </c>
      <c r="AY151" s="10">
        <v>0.53969999999997564</v>
      </c>
      <c r="AZ151" s="10">
        <v>0.68610182256490271</v>
      </c>
      <c r="BA151" s="10">
        <v>0.64006593995710115</v>
      </c>
      <c r="BB151" s="10">
        <v>0.85738616869174167</v>
      </c>
      <c r="BC151" s="10">
        <v>1.0228195854181157</v>
      </c>
      <c r="BD151" s="10">
        <v>0.90592959256622141</v>
      </c>
      <c r="BE151" s="10">
        <v>0.55042646638054504</v>
      </c>
      <c r="BF151" s="10">
        <v>0.55943884917802134</v>
      </c>
      <c r="BG151" s="10">
        <v>0.74004610436006146</v>
      </c>
      <c r="BH151" s="10">
        <v>0.8412478913508441</v>
      </c>
      <c r="BI151" s="10">
        <v>0.78452880810383707</v>
      </c>
      <c r="BJ151" s="10">
        <v>0.68970239442686077</v>
      </c>
    </row>
    <row r="152" spans="1:62" x14ac:dyDescent="0.3">
      <c r="A152" s="4">
        <f>+WORKDAY(A151,1,Feriados!$A$2:$A$38)</f>
        <v>46294</v>
      </c>
      <c r="B152" s="10">
        <v>1.3305300000000013</v>
      </c>
      <c r="C152" s="10">
        <v>1.0657300000000109</v>
      </c>
      <c r="D152">
        <v>1.2482832399999999</v>
      </c>
      <c r="E152">
        <v>1.49537925</v>
      </c>
      <c r="F152">
        <v>1.02808225</v>
      </c>
      <c r="G152">
        <v>1.34858872</v>
      </c>
      <c r="H152">
        <v>1.2681650499999999</v>
      </c>
      <c r="I152">
        <v>1.2803557299999999</v>
      </c>
      <c r="J152" s="5">
        <v>1.01798637</v>
      </c>
      <c r="K152" s="5">
        <v>1.22842539</v>
      </c>
      <c r="N152" s="5">
        <v>1.2374037200000001</v>
      </c>
      <c r="O152">
        <v>1.08950003</v>
      </c>
      <c r="Q152">
        <v>1.2669357299999999</v>
      </c>
      <c r="R152" s="10">
        <v>3.0775000000000134</v>
      </c>
      <c r="S152" s="10">
        <v>1.0181900000000019</v>
      </c>
      <c r="T152" s="10">
        <v>2.2774999999999714</v>
      </c>
      <c r="U152">
        <v>1.2490000000000001E-2</v>
      </c>
      <c r="V152" s="10">
        <v>1.2284999999999571</v>
      </c>
      <c r="W152">
        <v>4.0389832799999997E-2</v>
      </c>
      <c r="X152" s="10">
        <v>1.0879999999975303</v>
      </c>
      <c r="Y152" s="10">
        <v>0.98899999999582644</v>
      </c>
      <c r="Z152" s="10">
        <v>2.8035000000000241</v>
      </c>
      <c r="AA152" s="10">
        <v>1.0049999999999328</v>
      </c>
      <c r="AB152" s="10">
        <v>3.5045000000001187</v>
      </c>
      <c r="AC152" s="10">
        <v>0.94600000000004614</v>
      </c>
      <c r="AD152" s="10">
        <v>0.8470000000000083</v>
      </c>
      <c r="AE152" s="10">
        <v>0.89789999999993853</v>
      </c>
      <c r="AH152" s="10">
        <v>0.69264475360560729</v>
      </c>
      <c r="AI152" s="10">
        <v>0.51321753554501326</v>
      </c>
      <c r="AJ152" s="10">
        <v>0.52029999999996701</v>
      </c>
      <c r="AK152" s="10">
        <v>0.66245207227913538</v>
      </c>
      <c r="AL152" s="10">
        <v>0.61697819753659244</v>
      </c>
      <c r="AM152" s="10">
        <v>0.82753080568706949</v>
      </c>
      <c r="AN152" s="10">
        <v>0.97232756987174596</v>
      </c>
      <c r="AO152" s="10">
        <v>0.86757745144474796</v>
      </c>
      <c r="AP152" s="10">
        <v>0.80534355755549625</v>
      </c>
      <c r="AQ152" s="10">
        <v>0.52861777251189113</v>
      </c>
      <c r="AR152" s="10">
        <v>0.53970958076744513</v>
      </c>
      <c r="AS152" s="10">
        <v>0.71273212932261398</v>
      </c>
      <c r="AT152" s="10">
        <v>0.75412128970997161</v>
      </c>
      <c r="AU152" s="10">
        <v>0.66626609757151445</v>
      </c>
      <c r="AW152" s="10">
        <v>0.72552640921594458</v>
      </c>
      <c r="AX152" s="10">
        <v>0.53622383886254843</v>
      </c>
      <c r="AY152" s="10">
        <v>0.54499999999996551</v>
      </c>
      <c r="AZ152" s="10">
        <v>0.69390040244499107</v>
      </c>
      <c r="BA152" s="10">
        <v>0.64626776409272135</v>
      </c>
      <c r="BB152" s="10">
        <v>0.86478554502355631</v>
      </c>
      <c r="BC152" s="10">
        <v>1.0184864992890672</v>
      </c>
      <c r="BD152" s="10">
        <v>0.90876361913778159</v>
      </c>
      <c r="BE152" s="10">
        <v>0.55231443127966562</v>
      </c>
      <c r="BF152" s="10">
        <v>0.56533100426342053</v>
      </c>
      <c r="BG152" s="10">
        <v>0.74656738512555199</v>
      </c>
      <c r="BH152" s="10">
        <v>0.84357531975349898</v>
      </c>
      <c r="BI152" s="10">
        <v>0.78928082029314939</v>
      </c>
      <c r="BJ152" s="10">
        <v>0.69732953995637204</v>
      </c>
    </row>
    <row r="153" spans="1:62" x14ac:dyDescent="0.3">
      <c r="A153" s="4">
        <f>+WORKDAY(A152,1,Feriados!$A$2:$A$38)</f>
        <v>46295</v>
      </c>
      <c r="B153" s="10">
        <v>1.3315000000000026</v>
      </c>
      <c r="C153" s="10">
        <v>1.0670000000000064</v>
      </c>
      <c r="D153">
        <v>1.2495673300000001</v>
      </c>
      <c r="E153">
        <v>1.4983319500000001</v>
      </c>
      <c r="F153">
        <v>1.0294134500000001</v>
      </c>
      <c r="G153">
        <v>1.3505428799999999</v>
      </c>
      <c r="H153">
        <v>1.2717833300000001</v>
      </c>
      <c r="I153">
        <v>1.2849759700000001</v>
      </c>
      <c r="J153" s="5">
        <v>1.0209493199999999</v>
      </c>
      <c r="K153" s="5">
        <v>1.2336243200000001</v>
      </c>
      <c r="N153" s="5">
        <v>1.2382487799999999</v>
      </c>
      <c r="O153">
        <v>1.09140441</v>
      </c>
      <c r="Q153">
        <v>1.2695935</v>
      </c>
      <c r="R153" s="10">
        <v>3.0840000000000094</v>
      </c>
      <c r="S153" s="10">
        <v>1.0214999999999983</v>
      </c>
      <c r="T153" s="10">
        <v>2.284000000000022</v>
      </c>
      <c r="U153">
        <v>1.2612042400000001E-2</v>
      </c>
      <c r="V153" s="10">
        <v>1.2354999999999752</v>
      </c>
      <c r="W153">
        <v>4.0563561100000006E-2</v>
      </c>
      <c r="X153" s="10">
        <v>1.0979999999992185</v>
      </c>
      <c r="Y153" s="10">
        <v>0.99399999999758448</v>
      </c>
      <c r="Z153" s="10">
        <v>2.8175000000001278</v>
      </c>
      <c r="AA153" s="10">
        <v>1.0099999999999962</v>
      </c>
      <c r="AB153" s="10">
        <v>3.5274999999999306</v>
      </c>
      <c r="AC153" s="10">
        <v>0.95399999999991392</v>
      </c>
      <c r="AD153" s="10">
        <v>0.84799999999988562</v>
      </c>
      <c r="AE153" s="10">
        <v>0.89800000000002722</v>
      </c>
      <c r="AH153" s="10">
        <v>0.70360966363568966</v>
      </c>
      <c r="AI153" s="10">
        <v>0.51482425390811937</v>
      </c>
      <c r="AJ153" s="10">
        <v>0.5229999999999998</v>
      </c>
      <c r="AK153" s="10">
        <v>0.66954405495032598</v>
      </c>
      <c r="AL153" s="10">
        <v>0.62148057792533806</v>
      </c>
      <c r="AM153" s="10">
        <v>0.82469741828500587</v>
      </c>
      <c r="AN153" s="10">
        <v>0.97582484604443964</v>
      </c>
      <c r="AO153" s="10">
        <v>0.87393770724764774</v>
      </c>
      <c r="AP153" s="10">
        <v>0.81150473709127768</v>
      </c>
      <c r="AQ153" s="10">
        <v>0.52560044986385257</v>
      </c>
      <c r="AR153" s="10">
        <v>0.54195286594033865</v>
      </c>
      <c r="AS153" s="10">
        <v>0.71723590715295826</v>
      </c>
      <c r="AT153" s="10">
        <v>0.75520357650348924</v>
      </c>
      <c r="AU153" s="10">
        <v>0.66805755556274737</v>
      </c>
      <c r="AW153" s="10">
        <v>0.73643581237892253</v>
      </c>
      <c r="AX153" s="10">
        <v>0.53884282330650968</v>
      </c>
      <c r="AY153" s="10">
        <v>0.54739999999999989</v>
      </c>
      <c r="AZ153" s="10">
        <v>0.70078090952162231</v>
      </c>
      <c r="BA153" s="10">
        <v>0.65047508289929268</v>
      </c>
      <c r="BB153" s="10">
        <v>0.86317278540958353</v>
      </c>
      <c r="BC153" s="10">
        <v>1.0213509000472776</v>
      </c>
      <c r="BD153" s="10">
        <v>0.91471032685920151</v>
      </c>
      <c r="BE153" s="10">
        <v>0.54951878773528584</v>
      </c>
      <c r="BF153" s="10">
        <v>0.56723709142589163</v>
      </c>
      <c r="BG153" s="10">
        <v>0.75069777356697776</v>
      </c>
      <c r="BH153" s="10">
        <v>0.84936461392689355</v>
      </c>
      <c r="BI153" s="10">
        <v>0.79043678351435942</v>
      </c>
      <c r="BJ153" s="10">
        <v>0.6992250591109902</v>
      </c>
    </row>
    <row r="154" spans="1:62" x14ac:dyDescent="0.3">
      <c r="A154" s="4">
        <f>+WORKDAY(A153,1,Feriados!$A$2:$A$38)</f>
        <v>46296</v>
      </c>
      <c r="B154" s="10">
        <v>1.331499999999995</v>
      </c>
      <c r="C154" s="10">
        <v>1.0676999999999981</v>
      </c>
      <c r="D154">
        <v>1.25193624</v>
      </c>
      <c r="E154">
        <v>1.5004969800000001</v>
      </c>
      <c r="F154">
        <v>1.03125109</v>
      </c>
      <c r="G154">
        <v>1.35353996</v>
      </c>
      <c r="H154">
        <v>1.2719944599999999</v>
      </c>
      <c r="I154">
        <v>1.28608604</v>
      </c>
      <c r="J154" s="5">
        <v>1.0234993400000001</v>
      </c>
      <c r="K154" s="5">
        <v>1.2413334300000001</v>
      </c>
      <c r="N154" s="5">
        <v>1.2417132399999999</v>
      </c>
      <c r="O154">
        <v>1.093718</v>
      </c>
      <c r="Q154">
        <v>1.2704156900000001</v>
      </c>
      <c r="R154" s="10">
        <v>3.0890000000000075</v>
      </c>
      <c r="S154" s="10">
        <v>1.0245000000000111</v>
      </c>
      <c r="T154" s="10">
        <v>2.289499999999995</v>
      </c>
      <c r="U154">
        <v>1.2674304899999999E-2</v>
      </c>
      <c r="V154" s="10">
        <v>1.2404999999999948</v>
      </c>
      <c r="W154">
        <v>4.0714517199999994E-2</v>
      </c>
      <c r="X154" s="10">
        <v>1.0994999999993618</v>
      </c>
      <c r="Y154" s="10">
        <v>0.99899999999868005</v>
      </c>
      <c r="Z154" s="10">
        <v>2.8249999999997555</v>
      </c>
      <c r="AA154" s="10">
        <v>1.0090000000000532</v>
      </c>
      <c r="AB154" s="10">
        <v>3.5464999999998539</v>
      </c>
      <c r="AC154" s="10">
        <v>0.95600000000004082</v>
      </c>
      <c r="AD154" s="10">
        <v>0.85389999999995481</v>
      </c>
      <c r="AE154" s="10">
        <v>0.90100000000006841</v>
      </c>
      <c r="AH154" s="10">
        <v>0.69067549267563411</v>
      </c>
      <c r="AI154" s="10">
        <v>0.51095199477559927</v>
      </c>
      <c r="AJ154" s="10">
        <v>0.51890000000000325</v>
      </c>
      <c r="AK154" s="10">
        <v>0.65931475878478008</v>
      </c>
      <c r="AL154" s="10">
        <v>0.61298220137741111</v>
      </c>
      <c r="AM154" s="10">
        <v>0.82554513179762967</v>
      </c>
      <c r="AN154" s="10">
        <v>0.97440079553524239</v>
      </c>
      <c r="AO154" s="10">
        <v>0.8692283543102225</v>
      </c>
      <c r="AP154" s="10">
        <v>0.80712301116115459</v>
      </c>
      <c r="AQ154" s="10">
        <v>0.52801864165280499</v>
      </c>
      <c r="AR154" s="10">
        <v>0.53732212063648643</v>
      </c>
      <c r="AS154" s="10">
        <v>0.70423023034911258</v>
      </c>
      <c r="AT154" s="10">
        <v>0.74064318451494104</v>
      </c>
      <c r="AU154" s="10">
        <v>0.65167481570291652</v>
      </c>
      <c r="AW154" s="10">
        <v>0.72208798376668226</v>
      </c>
      <c r="AX154" s="10">
        <v>0.53419051294230602</v>
      </c>
      <c r="AY154" s="10">
        <v>0.54250000000000342</v>
      </c>
      <c r="AZ154" s="10">
        <v>0.68930093783145741</v>
      </c>
      <c r="BA154" s="10">
        <v>0.64086113749710083</v>
      </c>
      <c r="BB154" s="10">
        <v>0.86309160531935647</v>
      </c>
      <c r="BC154" s="10">
        <v>1.0187173474231432</v>
      </c>
      <c r="BD154" s="10">
        <v>0.90876157682269354</v>
      </c>
      <c r="BE154" s="10">
        <v>0.55203336499642841</v>
      </c>
      <c r="BF154" s="10">
        <v>0.56175997387799936</v>
      </c>
      <c r="BG154" s="10">
        <v>0.7362592020897929</v>
      </c>
      <c r="BH154" s="10">
        <v>0.84383163144136886</v>
      </c>
      <c r="BI154" s="10">
        <v>0.77432824744527951</v>
      </c>
      <c r="BJ154" s="10">
        <v>0.68131352383663957</v>
      </c>
    </row>
    <row r="155" spans="1:62" x14ac:dyDescent="0.3">
      <c r="A155" s="4">
        <f>+WORKDAY(A154,1,Feriados!$A$2:$A$38)</f>
        <v>46297</v>
      </c>
      <c r="B155" s="10">
        <v>1.3343899999999951</v>
      </c>
      <c r="C155" s="10">
        <v>1.0702099999999941</v>
      </c>
      <c r="D155">
        <v>1.2542973500000001</v>
      </c>
      <c r="E155">
        <v>1.50454106</v>
      </c>
      <c r="F155">
        <v>1.034098</v>
      </c>
      <c r="G155">
        <v>1.3561210500000001</v>
      </c>
      <c r="H155">
        <v>1.2774154</v>
      </c>
      <c r="I155">
        <v>1.2912119900000001</v>
      </c>
      <c r="J155" s="5">
        <v>1.0262334500000001</v>
      </c>
      <c r="K155" s="5">
        <v>1.2449642299999999</v>
      </c>
      <c r="N155" s="5">
        <v>1.24830782</v>
      </c>
      <c r="O155">
        <v>1.09451115</v>
      </c>
      <c r="Q155">
        <v>1.27322231</v>
      </c>
      <c r="R155" s="10">
        <v>3.0950000000000113</v>
      </c>
      <c r="S155" s="10">
        <v>1.0261999999999947</v>
      </c>
      <c r="T155" s="10">
        <v>2.2974999999999945</v>
      </c>
      <c r="U155">
        <v>1.26533424E-2</v>
      </c>
      <c r="V155" s="10">
        <v>1.24400000000001</v>
      </c>
      <c r="W155">
        <v>4.0712235899999998E-2</v>
      </c>
      <c r="X155" s="10">
        <v>1.1044999999996183</v>
      </c>
      <c r="Y155" s="10">
        <v>1.0019999999988549</v>
      </c>
      <c r="Z155" s="10">
        <v>2.834499999999839</v>
      </c>
      <c r="AA155" s="10">
        <v>1.019499999999943</v>
      </c>
      <c r="AB155" s="10">
        <v>3.5674999999999026</v>
      </c>
      <c r="AC155" s="10">
        <v>0.96499999999992836</v>
      </c>
      <c r="AD155" s="10">
        <v>0.86000000000001986</v>
      </c>
      <c r="AE155" s="10">
        <v>0.91100000000004666</v>
      </c>
      <c r="AH155" s="10">
        <v>0.6876593249313564</v>
      </c>
      <c r="AI155" s="10">
        <v>0.51282024866781162</v>
      </c>
      <c r="AJ155" s="10">
        <v>0.51989999999999248</v>
      </c>
      <c r="AK155" s="10">
        <v>0.65903250425183046</v>
      </c>
      <c r="AL155" s="10">
        <v>0.61563055062173555</v>
      </c>
      <c r="AM155" s="10">
        <v>0.824329307282201</v>
      </c>
      <c r="AN155" s="10">
        <v>0.97472785079914681</v>
      </c>
      <c r="AO155" s="10">
        <v>0.86797751332151707</v>
      </c>
      <c r="AP155" s="10">
        <v>0.80678383658952102</v>
      </c>
      <c r="AQ155" s="10">
        <v>0.52728132102276182</v>
      </c>
      <c r="AR155" s="10">
        <v>0.53830735346365033</v>
      </c>
      <c r="AS155" s="10">
        <v>0.6984944227355967</v>
      </c>
      <c r="AT155" s="10">
        <v>0.7427582593233214</v>
      </c>
      <c r="AU155" s="10">
        <v>0.65102930699098438</v>
      </c>
      <c r="AW155" s="10">
        <v>0.72099076364701364</v>
      </c>
      <c r="AX155" s="10">
        <v>0.53767708703370676</v>
      </c>
      <c r="AY155" s="10">
        <v>0.54509999999999215</v>
      </c>
      <c r="AZ155" s="10">
        <v>0.69097637635636233</v>
      </c>
      <c r="BA155" s="10">
        <v>0.64547069271765356</v>
      </c>
      <c r="BB155" s="10">
        <v>0.86428525754862051</v>
      </c>
      <c r="BC155" s="10">
        <v>1.0219737477796018</v>
      </c>
      <c r="BD155" s="10">
        <v>0.91004912966254836</v>
      </c>
      <c r="BE155" s="10">
        <v>0.55262163825761201</v>
      </c>
      <c r="BF155" s="10">
        <v>0.56439957371232119</v>
      </c>
      <c r="BG155" s="10">
        <v>0.73235104795763373</v>
      </c>
      <c r="BH155" s="10">
        <v>0.84588934280620875</v>
      </c>
      <c r="BI155" s="10">
        <v>0.77876039076195891</v>
      </c>
      <c r="BJ155" s="10">
        <v>0.68258525724328833</v>
      </c>
    </row>
    <row r="156" spans="1:62" x14ac:dyDescent="0.3">
      <c r="A156" s="4">
        <f>+WORKDAY(A155,1,Feriados!$A$2:$A$38)</f>
        <v>46300</v>
      </c>
      <c r="B156" s="10">
        <v>1.3348699999999922</v>
      </c>
      <c r="C156" s="10">
        <v>1.0708400000000036</v>
      </c>
      <c r="D156">
        <v>1.2550632399999999</v>
      </c>
      <c r="E156">
        <v>1.5063051999999999</v>
      </c>
      <c r="F156">
        <v>1.0356566199999999</v>
      </c>
      <c r="G156">
        <v>1.3539822399999999</v>
      </c>
      <c r="H156">
        <v>1.2804176300000001</v>
      </c>
      <c r="I156">
        <v>1.2890465900000001</v>
      </c>
      <c r="J156">
        <v>1.0272334599999999</v>
      </c>
      <c r="K156">
        <v>1.24899917</v>
      </c>
      <c r="N156" s="5">
        <v>1.2505858299999999</v>
      </c>
      <c r="O156">
        <v>1.0940564699999999</v>
      </c>
      <c r="Q156">
        <v>1.27487241</v>
      </c>
      <c r="R156" s="10">
        <v>3.099499999999979</v>
      </c>
      <c r="S156" s="10">
        <v>1.0275000000000238</v>
      </c>
      <c r="T156" s="10">
        <v>2.3025000000000082</v>
      </c>
      <c r="U156">
        <v>1.2798166900000001E-2</v>
      </c>
      <c r="V156" s="10">
        <v>1.249000000000025</v>
      </c>
      <c r="W156">
        <v>4.0846097800000002E-2</v>
      </c>
      <c r="X156" s="10">
        <v>1.1069999999996711</v>
      </c>
      <c r="Y156" s="10">
        <v>1.0044999999991753</v>
      </c>
      <c r="Z156" s="10">
        <v>2.8399999999999386</v>
      </c>
      <c r="AA156" s="10">
        <v>1.0230000000000696</v>
      </c>
      <c r="AB156" s="10">
        <v>3.5899999999999643</v>
      </c>
      <c r="AC156" s="10">
        <v>0.97449999999998671</v>
      </c>
      <c r="AD156" s="10">
        <v>0.86400000000007759</v>
      </c>
      <c r="AE156" s="10">
        <v>0.91230000000009159</v>
      </c>
      <c r="AH156" s="10">
        <v>0.70598892791265344</v>
      </c>
      <c r="AI156" s="10">
        <v>0.52029086115987666</v>
      </c>
      <c r="AJ156" s="10">
        <v>0.53149999999999553</v>
      </c>
      <c r="AK156" s="10">
        <v>0.67715653192744218</v>
      </c>
      <c r="AL156" s="10">
        <v>0.62957996485047329</v>
      </c>
      <c r="AM156" s="10">
        <v>0.83825676625652035</v>
      </c>
      <c r="AN156" s="10">
        <v>0.98335284124195455</v>
      </c>
      <c r="AO156" s="10">
        <v>0.88707879320448346</v>
      </c>
      <c r="AP156" s="10">
        <v>0.8277949033391766</v>
      </c>
      <c r="AQ156" s="10">
        <v>0.53361728178094514</v>
      </c>
      <c r="AR156" s="10">
        <v>0.54551142355013638</v>
      </c>
      <c r="AS156" s="10">
        <v>0.71943989455213453</v>
      </c>
      <c r="AT156" s="10">
        <v>0.75910779144620333</v>
      </c>
      <c r="AU156" s="10">
        <v>0.66818922074157716</v>
      </c>
      <c r="AW156" s="10">
        <v>0.73693820734889959</v>
      </c>
      <c r="AX156" s="10">
        <v>0.54309947275917136</v>
      </c>
      <c r="AY156" s="10">
        <v>0.5547999999999953</v>
      </c>
      <c r="AZ156" s="10">
        <v>0.70684185120102527</v>
      </c>
      <c r="BA156" s="10">
        <v>0.65717961335661845</v>
      </c>
      <c r="BB156" s="10">
        <v>0.87500442882242235</v>
      </c>
      <c r="BC156" s="10">
        <v>1.0264612536614042</v>
      </c>
      <c r="BD156" s="10">
        <v>0.92596672524900736</v>
      </c>
      <c r="BE156" s="10">
        <v>0.55701009958996872</v>
      </c>
      <c r="BF156" s="10">
        <v>0.56942565905101727</v>
      </c>
      <c r="BG156" s="10">
        <v>0.75097884007060078</v>
      </c>
      <c r="BH156" s="10">
        <v>0.86408393673109174</v>
      </c>
      <c r="BI156" s="10">
        <v>0.79238570591599933</v>
      </c>
      <c r="BJ156" s="10">
        <v>0.69748142928960855</v>
      </c>
    </row>
    <row r="157" spans="1:62" x14ac:dyDescent="0.3">
      <c r="A157" s="4">
        <f>+WORKDAY(A156,1,Feriados!$A$2:$A$38)</f>
        <v>46301</v>
      </c>
      <c r="B157" s="10">
        <v>1.3348099999999952</v>
      </c>
      <c r="C157" s="10">
        <v>1.0716399999999937</v>
      </c>
      <c r="D157">
        <v>1.2552875400000001</v>
      </c>
      <c r="E157">
        <v>1.5070904899999999</v>
      </c>
      <c r="F157">
        <v>1.03645627</v>
      </c>
      <c r="G157">
        <v>1.3604319</v>
      </c>
      <c r="H157">
        <v>1.2822477234033001</v>
      </c>
      <c r="I157">
        <v>1.29508263</v>
      </c>
      <c r="J157">
        <v>1.0288155000000001</v>
      </c>
      <c r="K157">
        <v>1.2497534400000001</v>
      </c>
      <c r="N157">
        <v>1.2508325600000001</v>
      </c>
      <c r="O157">
        <v>1.09775508</v>
      </c>
      <c r="Q157">
        <v>1.2755211200000001</v>
      </c>
      <c r="R157" s="10">
        <v>3.1009999999999827</v>
      </c>
      <c r="S157" s="10">
        <v>1.028300000000006</v>
      </c>
      <c r="T157" s="10">
        <v>2.3064999999999718</v>
      </c>
      <c r="U157">
        <v>1.27221208E-2</v>
      </c>
      <c r="V157" s="10">
        <v>1.2500000000000144</v>
      </c>
      <c r="W157">
        <v>4.0900729399999995E-2</v>
      </c>
      <c r="X157" s="10">
        <v>1.1084999999996585</v>
      </c>
      <c r="Y157" s="10">
        <v>1.0059999999992468</v>
      </c>
      <c r="Z157" s="10">
        <v>2.8480000000000762</v>
      </c>
      <c r="AA157" s="10">
        <v>1.0244999999999529</v>
      </c>
      <c r="AB157" s="10">
        <v>3.6080000000003758</v>
      </c>
      <c r="AC157" s="10">
        <v>0.97700000000001941</v>
      </c>
      <c r="AD157" s="10">
        <v>0.86990000000000933</v>
      </c>
      <c r="AE157" s="10">
        <v>0.9195000000000213</v>
      </c>
      <c r="AH157" s="10">
        <v>0.71387476699039365</v>
      </c>
      <c r="AI157" s="10">
        <v>0.51890505591797553</v>
      </c>
      <c r="AJ157" s="10">
        <v>0.53299999999998737</v>
      </c>
      <c r="AK157" s="10">
        <v>0.683077003727807</v>
      </c>
      <c r="AL157" s="10">
        <v>0.63886731127702379</v>
      </c>
      <c r="AM157" s="10">
        <v>0.84954636533081473</v>
      </c>
      <c r="AN157" s="10">
        <v>0.98167870456663375</v>
      </c>
      <c r="AO157" s="10">
        <v>0.89027889095985113</v>
      </c>
      <c r="AP157" s="10">
        <v>0.82862127213418912</v>
      </c>
      <c r="AQ157" s="10">
        <v>0.53088886300091787</v>
      </c>
      <c r="AR157" s="10">
        <v>0.54895771202237931</v>
      </c>
      <c r="AS157" s="10">
        <v>0.72647949673799317</v>
      </c>
      <c r="AT157" s="10">
        <v>0.77460100186384762</v>
      </c>
      <c r="AU157" s="10">
        <v>0.67463245565131336</v>
      </c>
      <c r="AW157" s="10">
        <v>0.74601922178921076</v>
      </c>
      <c r="AX157" s="10">
        <v>0.54227038676606465</v>
      </c>
      <c r="AY157" s="10">
        <v>0.55699999999998673</v>
      </c>
      <c r="AZ157" s="10">
        <v>0.71383469245101039</v>
      </c>
      <c r="BA157" s="10">
        <v>0.66763431966473219</v>
      </c>
      <c r="BB157" s="10">
        <v>0.8877998602049979</v>
      </c>
      <c r="BC157" s="10">
        <v>1.0258818732525612</v>
      </c>
      <c r="BD157" s="10">
        <v>0.93036649580607345</v>
      </c>
      <c r="BE157" s="10">
        <v>0.55479380242309806</v>
      </c>
      <c r="BF157" s="10">
        <v>0.57367625815471923</v>
      </c>
      <c r="BG157" s="10">
        <v>0.75919151910518257</v>
      </c>
      <c r="BH157" s="10">
        <v>0.86593254892822402</v>
      </c>
      <c r="BI157" s="10">
        <v>0.809479846225447</v>
      </c>
      <c r="BJ157" s="10">
        <v>0.70500990205962766</v>
      </c>
    </row>
    <row r="158" spans="1:62" x14ac:dyDescent="0.3">
      <c r="A158" s="4">
        <f>+WORKDAY(A157,1,Feriados!$A$2:$A$38)</f>
        <v>46302</v>
      </c>
      <c r="B158" s="10">
        <v>1.3366099999999894</v>
      </c>
      <c r="C158" s="10">
        <v>1.0721999999999978</v>
      </c>
      <c r="D158">
        <v>1.2563465</v>
      </c>
      <c r="E158">
        <v>1.5086614</v>
      </c>
      <c r="F158">
        <v>1.0368340300000001</v>
      </c>
      <c r="G158">
        <v>1.3638211099999999</v>
      </c>
      <c r="H158">
        <v>1.2838353899999999</v>
      </c>
      <c r="I158">
        <v>1.2972002300000001</v>
      </c>
      <c r="J158">
        <v>1.0285748800000001</v>
      </c>
      <c r="K158">
        <v>1.2525073600000001</v>
      </c>
      <c r="N158">
        <v>1.24982745</v>
      </c>
      <c r="O158">
        <v>1.10071407</v>
      </c>
      <c r="Q158">
        <v>1.27552815</v>
      </c>
      <c r="R158" s="10">
        <v>3.1020000000000074</v>
      </c>
      <c r="S158" s="10">
        <v>1.0290000000000004</v>
      </c>
      <c r="T158" s="10">
        <v>2.3124999999999303</v>
      </c>
      <c r="U158">
        <v>1.2782489500000001E-2</v>
      </c>
      <c r="V158" s="10">
        <v>1.2514999999999803</v>
      </c>
      <c r="W158">
        <v>4.0877081000000003E-2</v>
      </c>
      <c r="X158" s="10">
        <v>1.1099999999997709</v>
      </c>
      <c r="Y158" s="10">
        <v>1.0084999999994002</v>
      </c>
      <c r="Z158" s="10">
        <v>2.8544999999999807</v>
      </c>
      <c r="AA158" s="10">
        <v>1.0264999999999538</v>
      </c>
      <c r="AB158" s="10">
        <v>3.6099999999998236</v>
      </c>
      <c r="AC158" s="10">
        <v>0.9790000000000656</v>
      </c>
      <c r="AD158" s="10">
        <v>0.87399999999993616</v>
      </c>
      <c r="AE158" s="10">
        <v>0.92600000000009997</v>
      </c>
      <c r="AH158" s="10">
        <v>0.71466200464438556</v>
      </c>
      <c r="AI158" s="10">
        <v>0.52294615384615262</v>
      </c>
      <c r="AJ158" s="10">
        <v>0.53320000000000889</v>
      </c>
      <c r="AK158" s="10">
        <v>0.68607552447546982</v>
      </c>
      <c r="AL158" s="10">
        <v>0.63617347319346484</v>
      </c>
      <c r="AM158" s="10">
        <v>0.84789986013994223</v>
      </c>
      <c r="AN158" s="10">
        <v>0.98380993006993878</v>
      </c>
      <c r="AO158" s="10">
        <v>0.88792093240086301</v>
      </c>
      <c r="AP158" s="10">
        <v>0.82335277389267181</v>
      </c>
      <c r="AQ158" s="10">
        <v>0.53424242424240898</v>
      </c>
      <c r="AR158" s="10">
        <v>0.54811468531468077</v>
      </c>
      <c r="AS158" s="10">
        <v>0.72149790209792131</v>
      </c>
      <c r="AT158" s="10">
        <v>0.76655268065250071</v>
      </c>
      <c r="AU158" s="10">
        <v>0.66960722599587441</v>
      </c>
      <c r="AW158" s="10">
        <v>0.74723193471351268</v>
      </c>
      <c r="AX158" s="10">
        <v>0.54677884615384498</v>
      </c>
      <c r="AY158" s="10">
        <v>0.55750000000000954</v>
      </c>
      <c r="AZ158" s="10">
        <v>0.71734265734260039</v>
      </c>
      <c r="BA158" s="10">
        <v>0.66516637529136657</v>
      </c>
      <c r="BB158" s="10">
        <v>0.88654195804204394</v>
      </c>
      <c r="BC158" s="10">
        <v>1.0286459790209883</v>
      </c>
      <c r="BD158" s="10">
        <v>0.92838694638687402</v>
      </c>
      <c r="BE158" s="10">
        <v>0.55889976689975085</v>
      </c>
      <c r="BF158" s="10">
        <v>0.57309440559440095</v>
      </c>
      <c r="BG158" s="10">
        <v>0.75437937062939087</v>
      </c>
      <c r="BH158" s="10">
        <v>0.86087616550105894</v>
      </c>
      <c r="BI158" s="10">
        <v>0.80148747086228278</v>
      </c>
      <c r="BJ158" s="10">
        <v>0.70012383438240822</v>
      </c>
    </row>
    <row r="159" spans="1:62" x14ac:dyDescent="0.3">
      <c r="A159" s="4">
        <f>+WORKDAY(A158,1,Feriados!$A$2:$A$38)</f>
        <v>46303</v>
      </c>
      <c r="B159" s="10">
        <v>1.3363999999999887</v>
      </c>
      <c r="C159" s="10">
        <v>1.0728000000000002</v>
      </c>
      <c r="D159">
        <v>1.2574978000000001</v>
      </c>
      <c r="E159">
        <v>1.5098224</v>
      </c>
      <c r="F159">
        <v>1.0378953</v>
      </c>
      <c r="G159">
        <v>1.3664060499999999</v>
      </c>
      <c r="H159">
        <v>1.284648</v>
      </c>
      <c r="I159">
        <v>1.30047062</v>
      </c>
      <c r="J159">
        <v>1.0286919000000001</v>
      </c>
      <c r="K159">
        <v>1.2515807800000001</v>
      </c>
      <c r="N159">
        <v>1.25065581</v>
      </c>
      <c r="O159">
        <v>1.1008573500000001</v>
      </c>
      <c r="Q159">
        <v>1.2763398500000001</v>
      </c>
      <c r="R159" s="10">
        <v>3.1040000000000192</v>
      </c>
      <c r="S159" s="10">
        <v>1.0286500000000023</v>
      </c>
      <c r="T159" s="10">
        <v>2.3115000000000387</v>
      </c>
      <c r="U159">
        <v>1.2771360000000001E-2</v>
      </c>
      <c r="V159" s="10">
        <v>1.251500000000012</v>
      </c>
      <c r="W159">
        <v>4.0897800000000005E-2</v>
      </c>
      <c r="X159" s="10">
        <v>1.111999999999757</v>
      </c>
      <c r="Y159" s="10">
        <v>1.0074999999993017</v>
      </c>
      <c r="Z159" s="10">
        <v>2.8550000000000346</v>
      </c>
      <c r="AA159" s="10">
        <v>1.0270000000000137</v>
      </c>
      <c r="AB159" s="10">
        <v>3.609000000000318</v>
      </c>
      <c r="AC159" s="10">
        <v>0.97849999999997128</v>
      </c>
      <c r="AD159" s="10">
        <v>0.87399999999991962</v>
      </c>
      <c r="AE159" s="10">
        <v>0.93400000000007966</v>
      </c>
      <c r="AH159" s="10">
        <v>0.71463639524976796</v>
      </c>
      <c r="AI159" s="10">
        <v>0.52347596988999212</v>
      </c>
      <c r="AJ159" s="10">
        <v>0.53499999999999148</v>
      </c>
      <c r="AK159" s="10">
        <v>0.68466597077252378</v>
      </c>
      <c r="AL159" s="10">
        <v>0.6366388308976475</v>
      </c>
      <c r="AM159" s="10">
        <v>0.84885177453018001</v>
      </c>
      <c r="AN159" s="10">
        <v>0.98592147993507695</v>
      </c>
      <c r="AO159" s="10">
        <v>0.89073590814186032</v>
      </c>
      <c r="AP159" s="10">
        <v>0.82527255857106607</v>
      </c>
      <c r="AQ159" s="10">
        <v>0.53591519925852271</v>
      </c>
      <c r="AR159" s="10">
        <v>0.55063674321506595</v>
      </c>
      <c r="AS159" s="10">
        <v>0.72270296914892862</v>
      </c>
      <c r="AT159" s="10">
        <v>0.76632451867254747</v>
      </c>
      <c r="AU159" s="10">
        <v>0.67076664336289638</v>
      </c>
      <c r="AW159" s="10">
        <v>0.74869850380840175</v>
      </c>
      <c r="AX159" s="10">
        <v>0.54803530978576542</v>
      </c>
      <c r="AY159" s="10">
        <v>0.56049999999999112</v>
      </c>
      <c r="AZ159" s="10">
        <v>0.71729958246355052</v>
      </c>
      <c r="BA159" s="10">
        <v>0.66698329853856331</v>
      </c>
      <c r="BB159" s="10">
        <v>0.88931106471806698</v>
      </c>
      <c r="BC159" s="10">
        <v>1.0329139990721692</v>
      </c>
      <c r="BD159" s="10">
        <v>0.9331915448850705</v>
      </c>
      <c r="BE159" s="10">
        <v>0.56156858202033677</v>
      </c>
      <c r="BF159" s="10">
        <v>0.57688204592905512</v>
      </c>
      <c r="BG159" s="10">
        <v>0.75714955926724203</v>
      </c>
      <c r="BH159" s="10">
        <v>0.86460797958707014</v>
      </c>
      <c r="BI159" s="10">
        <v>0.80285026675880899</v>
      </c>
      <c r="BJ159" s="10">
        <v>0.70273776374748309</v>
      </c>
    </row>
    <row r="160" spans="1:62" x14ac:dyDescent="0.3">
      <c r="A160" s="4">
        <f>+WORKDAY(A159,1,Feriados!$A$2:$A$38)</f>
        <v>46304</v>
      </c>
      <c r="B160" s="10">
        <v>1.3407499999999908</v>
      </c>
      <c r="C160" s="10">
        <v>1.0754900000000014</v>
      </c>
      <c r="D160">
        <v>1.26211111</v>
      </c>
      <c r="E160">
        <v>1.51388945</v>
      </c>
      <c r="F160">
        <v>1.0415968799999999</v>
      </c>
      <c r="G160">
        <v>1.36954767</v>
      </c>
      <c r="H160">
        <v>1.2905880999999999</v>
      </c>
      <c r="I160">
        <v>1.3063048799999999</v>
      </c>
      <c r="J160">
        <v>1.0299231099999999</v>
      </c>
      <c r="K160">
        <v>1.25329863</v>
      </c>
      <c r="N160">
        <v>1.2552227199999999</v>
      </c>
      <c r="O160">
        <v>1.10295125</v>
      </c>
      <c r="Q160">
        <v>1.27997136</v>
      </c>
      <c r="R160" s="10">
        <v>3.1109999999999638</v>
      </c>
      <c r="S160" s="10">
        <v>1.0299999999999943</v>
      </c>
      <c r="T160" s="10">
        <v>2.3154999999999548</v>
      </c>
      <c r="U160">
        <v>1.2750866499999999E-2</v>
      </c>
      <c r="V160" s="10">
        <v>1.2529999999999786</v>
      </c>
      <c r="W160">
        <v>4.0949929899999994E-2</v>
      </c>
      <c r="X160" s="10">
        <v>1.1134999999998496</v>
      </c>
      <c r="Y160" s="10">
        <v>1.011499999999532</v>
      </c>
      <c r="Z160" s="10">
        <v>2.865999999999933</v>
      </c>
      <c r="AA160" s="10">
        <v>1.0309999999999553</v>
      </c>
      <c r="AB160" s="10">
        <v>3.6205000000001544</v>
      </c>
      <c r="AC160" s="10">
        <v>0.98099999999994925</v>
      </c>
      <c r="AD160" s="10">
        <v>0.8770000000000947</v>
      </c>
      <c r="AE160" s="10">
        <v>0.92899999999987859</v>
      </c>
      <c r="AH160" s="10">
        <v>0.71569428404532698</v>
      </c>
      <c r="AI160" s="10">
        <v>0.52310046189374138</v>
      </c>
      <c r="AJ160" s="10">
        <v>0.53749999999999243</v>
      </c>
      <c r="AK160" s="10">
        <v>0.68335739030009823</v>
      </c>
      <c r="AL160" s="10">
        <v>0.63575202078527981</v>
      </c>
      <c r="AM160" s="10">
        <v>0.84721420323313945</v>
      </c>
      <c r="AN160" s="10">
        <v>0.98673554939983876</v>
      </c>
      <c r="AO160" s="10">
        <v>0.8937023672055292</v>
      </c>
      <c r="AP160" s="10">
        <v>0.82549076212470607</v>
      </c>
      <c r="AQ160" s="10">
        <v>0.53351587209972784</v>
      </c>
      <c r="AR160" s="10">
        <v>0.55084439953809849</v>
      </c>
      <c r="AS160" s="10">
        <v>0.72214924942272507</v>
      </c>
      <c r="AT160" s="10">
        <v>0.76737056446945384</v>
      </c>
      <c r="AU160" s="10">
        <v>0.67144053106112556</v>
      </c>
      <c r="AW160" s="10">
        <v>0.74911554270493197</v>
      </c>
      <c r="AX160" s="10">
        <v>0.54752803695147689</v>
      </c>
      <c r="AY160" s="10">
        <v>0.562599999999992</v>
      </c>
      <c r="AZ160" s="10">
        <v>0.71526859122387942</v>
      </c>
      <c r="BA160" s="10">
        <v>0.66544016166288078</v>
      </c>
      <c r="BB160" s="10">
        <v>0.88677713625853816</v>
      </c>
      <c r="BC160" s="10">
        <v>1.0347120729455461</v>
      </c>
      <c r="BD160" s="10">
        <v>0.93543618937642914</v>
      </c>
      <c r="BE160" s="10">
        <v>0.55915802839662243</v>
      </c>
      <c r="BF160" s="10">
        <v>0.57656755196304033</v>
      </c>
      <c r="BG160" s="10">
        <v>0.75587193995390711</v>
      </c>
      <c r="BH160" s="10">
        <v>0.86403926096997141</v>
      </c>
      <c r="BI160" s="10">
        <v>0.80425238370066088</v>
      </c>
      <c r="BJ160" s="10">
        <v>0.7027952423720728</v>
      </c>
    </row>
    <row r="161" spans="1:62" x14ac:dyDescent="0.3">
      <c r="A161" s="4">
        <f>+WORKDAY(A160,1,Feriados!$A$2:$A$38)</f>
        <v>46308</v>
      </c>
      <c r="B161" s="10">
        <v>1.3396799999999911</v>
      </c>
      <c r="C161" s="10">
        <v>1.0757599999999916</v>
      </c>
      <c r="D161">
        <v>1.2606297799999999</v>
      </c>
      <c r="E161">
        <v>1.51469338</v>
      </c>
      <c r="F161">
        <v>1.0406137799999999</v>
      </c>
      <c r="G161">
        <v>1.3711843500000001</v>
      </c>
      <c r="H161">
        <v>1.2911038800000001</v>
      </c>
      <c r="I161">
        <v>1.3084733</v>
      </c>
      <c r="J161">
        <v>1.0300585799999999</v>
      </c>
      <c r="K161">
        <v>1.25503353</v>
      </c>
      <c r="N161">
        <v>1.25371196</v>
      </c>
      <c r="O161">
        <v>1.1039651500000001</v>
      </c>
      <c r="Q161">
        <v>1.2802404700000001</v>
      </c>
      <c r="R161" s="10">
        <v>3.1109999999999713</v>
      </c>
      <c r="S161" s="10">
        <v>1.0300999999999998</v>
      </c>
      <c r="T161" s="10">
        <v>2.3159999999999399</v>
      </c>
      <c r="U161">
        <v>1.27675064E-2</v>
      </c>
      <c r="V161" s="10">
        <v>1.2550000000000368</v>
      </c>
      <c r="W161">
        <v>4.1012386899999996E-2</v>
      </c>
      <c r="X161" s="10">
        <v>1.1179999999998662</v>
      </c>
      <c r="Y161" s="10">
        <v>1.0149999999997137</v>
      </c>
      <c r="Z161" s="10">
        <v>2.8705000000000136</v>
      </c>
      <c r="AA161" s="10">
        <v>1.0309999999999957</v>
      </c>
      <c r="AB161" s="10">
        <v>3.6195000000004205</v>
      </c>
      <c r="AC161" s="10">
        <v>0.98150000000005577</v>
      </c>
      <c r="AD161" s="10">
        <v>0.87399999999993483</v>
      </c>
      <c r="AE161" s="10">
        <v>0.93000000000001459</v>
      </c>
      <c r="AH161" s="10">
        <v>0.71479495076008615</v>
      </c>
      <c r="AI161" s="10">
        <v>0.52282399258913692</v>
      </c>
      <c r="AJ161" s="10">
        <v>0.53559999999997876</v>
      </c>
      <c r="AK161" s="10">
        <v>0.68252408522476404</v>
      </c>
      <c r="AL161" s="10">
        <v>0.63079986104656793</v>
      </c>
      <c r="AM161" s="10">
        <v>0.84451889763775601</v>
      </c>
      <c r="AN161" s="10">
        <v>0.98796989346919306</v>
      </c>
      <c r="AO161" s="10">
        <v>0.89308012968968487</v>
      </c>
      <c r="AP161" s="10">
        <v>0.82417651690598182</v>
      </c>
      <c r="AQ161" s="10">
        <v>0.53591013317895886</v>
      </c>
      <c r="AR161" s="10">
        <v>0.54955437702641607</v>
      </c>
      <c r="AS161" s="10">
        <v>0.72134826308474753</v>
      </c>
      <c r="AT161" s="10">
        <v>0.76913028372867942</v>
      </c>
      <c r="AU161" s="10">
        <v>0.67043029167411528</v>
      </c>
      <c r="AW161" s="10">
        <v>0.74976064850077728</v>
      </c>
      <c r="AX161" s="10">
        <v>0.54742288096338299</v>
      </c>
      <c r="AY161" s="10">
        <v>0.56079999999997765</v>
      </c>
      <c r="AZ161" s="10">
        <v>0.71463686892092537</v>
      </c>
      <c r="BA161" s="10">
        <v>0.66047901806369547</v>
      </c>
      <c r="BB161" s="10">
        <v>0.88425354330704553</v>
      </c>
      <c r="BC161" s="10">
        <v>1.0344539138489983</v>
      </c>
      <c r="BD161" s="10">
        <v>0.93509958314035702</v>
      </c>
      <c r="BE161" s="10">
        <v>0.56212530399540517</v>
      </c>
      <c r="BF161" s="10">
        <v>0.57541093098658347</v>
      </c>
      <c r="BG161" s="10">
        <v>0.75528772579896641</v>
      </c>
      <c r="BH161" s="10">
        <v>0.86295405280223025</v>
      </c>
      <c r="BI161" s="10">
        <v>0.80675390851152362</v>
      </c>
      <c r="BJ161" s="10">
        <v>0.70197406193212075</v>
      </c>
    </row>
    <row r="162" spans="1:62" x14ac:dyDescent="0.3">
      <c r="A162" s="4">
        <f>+WORKDAY(A161,1,Feriados!$A$2:$A$38)</f>
        <v>46309</v>
      </c>
      <c r="B162" s="10">
        <v>1.3396199999999987</v>
      </c>
      <c r="C162" s="10">
        <v>1.0760499999999897</v>
      </c>
      <c r="D162">
        <v>1.26006102</v>
      </c>
      <c r="E162">
        <f>INDEX('[1]Precios historicos'!$A:$AZ,MATCH(E$1,'[1]Precios historicos'!$A:$A,0),MATCH($A162,'[1]Precios historicos'!$7:$7,0))</f>
        <v>1.51396376</v>
      </c>
      <c r="F162">
        <f>INDEX('[1]Precios historicos'!$A:$AZ,MATCH(F$1,'[1]Precios historicos'!$A:$A,0),MATCH($A162,'[1]Precios historicos'!$7:$7,0))</f>
        <v>1.04013471</v>
      </c>
      <c r="G162">
        <v>1.37126331</v>
      </c>
      <c r="H162">
        <f>INDEX('[1]Precios historicos'!$A:$AZ,MATCH(H$1,'[1]Precios historicos'!$A:$A,0),MATCH($A162,'[1]Precios historicos'!$7:$7,0))</f>
        <v>1.291304</v>
      </c>
      <c r="I162">
        <v>1.3090459999999999</v>
      </c>
      <c r="J162">
        <v>1.0310101599999999</v>
      </c>
      <c r="K162">
        <v>1.2571690799999999</v>
      </c>
      <c r="N162">
        <f>INDEX('[1]Precios historicos'!$A:$AZ,MATCH(N$1,'[1]Precios historicos'!$A:$A,0),MATCH($A162,'[1]Precios historicos'!$7:$7,0))</f>
        <v>1.25551919</v>
      </c>
      <c r="O162">
        <f>INDEX('[1]Precios historicos'!$A:$AZ,MATCH(O$1,'[1]Precios historicos'!$A:$A,0),MATCH($A162,'[1]Precios historicos'!$7:$7,0))</f>
        <v>1.1058990500000001</v>
      </c>
      <c r="Q162">
        <v>1.2795586299999999</v>
      </c>
      <c r="R162" s="10">
        <v>3.1119999999999859</v>
      </c>
      <c r="S162" s="10">
        <v>1.0315000000000099</v>
      </c>
      <c r="T162" s="10">
        <v>2.317499999998391</v>
      </c>
      <c r="U162">
        <v>1.2759046999999999E-2</v>
      </c>
      <c r="V162" s="10">
        <v>1.2569999999999877</v>
      </c>
      <c r="W162">
        <v>4.1108232600000003E-2</v>
      </c>
      <c r="X162" s="10">
        <v>1.1169999999998106</v>
      </c>
      <c r="Y162" s="10">
        <v>1.0159999999996883</v>
      </c>
      <c r="Z162" s="10">
        <v>2.8710000000001146</v>
      </c>
      <c r="AA162" s="10">
        <v>1.0320000000000027</v>
      </c>
      <c r="AB162" s="10">
        <v>3.6139999999998311</v>
      </c>
      <c r="AC162" s="10">
        <v>0.9814999999999432</v>
      </c>
      <c r="AD162" s="10">
        <v>0.87049999999998651</v>
      </c>
      <c r="AE162" s="10">
        <v>0.92459999999996267</v>
      </c>
      <c r="AH162" s="10">
        <v>0.70965743098969314</v>
      </c>
      <c r="AI162" s="10">
        <v>0.51946800370973412</v>
      </c>
      <c r="AJ162" s="10">
        <v>0.53300000000003145</v>
      </c>
      <c r="AK162" s="10">
        <v>0.67536401576629923</v>
      </c>
      <c r="AL162" s="10">
        <v>0.62716786459556462</v>
      </c>
      <c r="AM162" s="10">
        <v>0.84157894736835659</v>
      </c>
      <c r="AN162" s="10">
        <v>0.98554950150709109</v>
      </c>
      <c r="AO162" s="10">
        <v>0.88853929979132718</v>
      </c>
      <c r="AP162" s="10">
        <v>0.82198087843315415</v>
      </c>
      <c r="AQ162" s="10">
        <v>0.53262926037560676</v>
      </c>
      <c r="AR162" s="10">
        <v>0.54733526547647238</v>
      </c>
      <c r="AS162" s="10">
        <v>0.71552747507523418</v>
      </c>
      <c r="AT162" s="10">
        <v>0.76378541618321039</v>
      </c>
      <c r="AU162" s="10">
        <v>0.66387108721734678</v>
      </c>
      <c r="AW162" s="10">
        <v>0.74826918614673088</v>
      </c>
      <c r="AX162" s="10">
        <v>0.54773174124741197</v>
      </c>
      <c r="AY162" s="10">
        <v>0.56200000000003325</v>
      </c>
      <c r="AZ162" s="10">
        <v>0.7121099003014264</v>
      </c>
      <c r="BA162" s="10">
        <v>0.66129144447037025</v>
      </c>
      <c r="BB162" s="10">
        <v>0.88736842105256375</v>
      </c>
      <c r="BC162" s="10">
        <v>1.0391722698817738</v>
      </c>
      <c r="BD162" s="10">
        <v>0.9368838395548329</v>
      </c>
      <c r="BE162" s="10">
        <v>0.56160908880129645</v>
      </c>
      <c r="BF162" s="10">
        <v>0.57711523301646817</v>
      </c>
      <c r="BG162" s="10">
        <v>0.75445861349396193</v>
      </c>
      <c r="BH162" s="10">
        <v>0.86495121103252648</v>
      </c>
      <c r="BI162" s="10">
        <v>0.80534222119130261</v>
      </c>
      <c r="BJ162" s="10">
        <v>0.69999165293836574</v>
      </c>
    </row>
    <row r="163" spans="1:62" x14ac:dyDescent="0.3">
      <c r="A163" s="4">
        <f>+WORKDAY(A162,1,Feriados!$A$2:$A$38)</f>
        <v>46310</v>
      </c>
      <c r="B163" s="10">
        <v>1.3426999999999913</v>
      </c>
      <c r="C163" s="10">
        <v>1.0771899999999925</v>
      </c>
      <c r="D163">
        <v>1.2619768200000001</v>
      </c>
      <c r="E163">
        <f>INDEX('[1]Precios historicos'!$A:$AZ,MATCH(E$1,'[1]Precios historicos'!$A:$A,0),MATCH($A163,'[1]Precios historicos'!$7:$7,0))</f>
        <v>1.51818404</v>
      </c>
      <c r="F163">
        <f>INDEX('[1]Precios historicos'!$A:$AZ,MATCH(F$1,'[1]Precios historicos'!$A:$A,0),MATCH($A163,'[1]Precios historicos'!$7:$7,0))</f>
        <v>1.0380406799999999</v>
      </c>
      <c r="G163">
        <v>1.3748229700000001</v>
      </c>
      <c r="H163">
        <f>INDEX('[1]Precios historicos'!$A:$AZ,MATCH(H$1,'[1]Precios historicos'!$A:$A,0),MATCH($A163,'[1]Precios historicos'!$7:$7,0))</f>
        <v>1.29516952</v>
      </c>
      <c r="I163">
        <v>1.3161225700000001</v>
      </c>
      <c r="J163">
        <v>1.0331343399999999</v>
      </c>
      <c r="K163">
        <v>1.2612713499999999</v>
      </c>
      <c r="N163">
        <f>INDEX('[1]Precios historicos'!$A:$AZ,MATCH(N$1,'[1]Precios historicos'!$A:$A,0),MATCH($A163,'[1]Precios historicos'!$7:$7,0))</f>
        <v>1.2569410700000001</v>
      </c>
      <c r="O163">
        <f>INDEX('[1]Precios historicos'!$A:$AZ,MATCH(O$1,'[1]Precios historicos'!$A:$A,0),MATCH($A163,'[1]Precios historicos'!$7:$7,0))</f>
        <v>1.11006571</v>
      </c>
      <c r="Q163">
        <v>1.2819699200000001</v>
      </c>
      <c r="R163" s="10">
        <v>3.1140000000000105</v>
      </c>
      <c r="S163" s="10">
        <v>1.0338999999999954</v>
      </c>
      <c r="T163" s="10">
        <v>2.3209999999999913</v>
      </c>
      <c r="U163">
        <v>1.27900002E-2</v>
      </c>
      <c r="V163" s="10">
        <v>1.2614999999999921</v>
      </c>
      <c r="W163">
        <v>4.1311680300000007E-2</v>
      </c>
      <c r="X163" s="10">
        <v>1.119999999999945</v>
      </c>
      <c r="Y163" s="10">
        <v>1.0189999999998482</v>
      </c>
      <c r="Z163" s="10">
        <v>2.8815000000000315</v>
      </c>
      <c r="AA163" s="10">
        <v>1.0330000000000428</v>
      </c>
      <c r="AB163" s="10">
        <v>3.6164999999998924</v>
      </c>
      <c r="AC163" s="10">
        <v>0.98099999999999465</v>
      </c>
      <c r="AD163" s="10">
        <v>0.87499999999998002</v>
      </c>
      <c r="AE163" s="10">
        <v>0.92349999999998489</v>
      </c>
      <c r="AH163" s="10">
        <v>0.71108259906279503</v>
      </c>
      <c r="AI163" s="10">
        <v>0.52269461815647555</v>
      </c>
      <c r="AJ163" s="10">
        <v>0.53260000000002539</v>
      </c>
      <c r="AK163" s="10">
        <v>0.67833293037322773</v>
      </c>
      <c r="AL163" s="10">
        <v>0.63004419388589783</v>
      </c>
      <c r="AM163" s="10">
        <v>0.84381471579676626</v>
      </c>
      <c r="AN163" s="10">
        <v>0.98496640706728</v>
      </c>
      <c r="AO163" s="10">
        <v>0.8911748227363202</v>
      </c>
      <c r="AP163" s="10">
        <v>0.82066088573747564</v>
      </c>
      <c r="AQ163" s="10">
        <v>0.53507634546091498</v>
      </c>
      <c r="AR163" s="10">
        <v>0.5463437173079071</v>
      </c>
      <c r="AS163" s="10">
        <v>0.71628292456123877</v>
      </c>
      <c r="AT163" s="10">
        <v>0.76599555968800981</v>
      </c>
      <c r="AU163" s="10">
        <v>0.6653940251578021</v>
      </c>
      <c r="AW163" s="10">
        <v>0.74966744155794085</v>
      </c>
      <c r="AX163" s="10">
        <v>0.55105713123331024</v>
      </c>
      <c r="AY163" s="10">
        <v>0.56150000000002676</v>
      </c>
      <c r="AZ163" s="10">
        <v>0.71514070673031793</v>
      </c>
      <c r="BA163" s="10">
        <v>0.66423172149254894</v>
      </c>
      <c r="BB163" s="10">
        <v>0.8896018830639959</v>
      </c>
      <c r="BC163" s="10">
        <v>1.0384127629896314</v>
      </c>
      <c r="BD163" s="10">
        <v>0.93953184935494505</v>
      </c>
      <c r="BE163" s="10">
        <v>0.56411071719170813</v>
      </c>
      <c r="BF163" s="10">
        <v>0.57598948041379994</v>
      </c>
      <c r="BG163" s="10">
        <v>0.7551499476927066</v>
      </c>
      <c r="BH163" s="10">
        <v>0.86519167732180335</v>
      </c>
      <c r="BI163" s="10">
        <v>0.8075600953150911</v>
      </c>
      <c r="BJ163" s="10">
        <v>0.70149970921161442</v>
      </c>
    </row>
    <row r="164" spans="1:62" x14ac:dyDescent="0.3">
      <c r="A164" s="4">
        <f>+WORKDAY(A163,1,Feriados!$A$2:$A$38)</f>
        <v>46311</v>
      </c>
      <c r="B164" s="10">
        <v>1.3451999999999955</v>
      </c>
      <c r="C164" s="10">
        <v>1.0792899999999945</v>
      </c>
      <c r="D164">
        <f>INDEX('[2]Precios Históricos'!$A:$AZ,MATCH(D$1,'[2]Precios Históricos'!$B:$B,0),MATCH($A164,'[2]Precios Históricos'!$6:$6,0))</f>
        <v>1.2652142500000001</v>
      </c>
      <c r="E164">
        <f>INDEX('[2]Precios Históricos'!$A:$AZ,MATCH(E$1,'[2]Precios Históricos'!$B:$B,0),MATCH($A164,'[2]Precios Históricos'!$6:$6,0))</f>
        <v>1.5226219299999999</v>
      </c>
      <c r="F164">
        <f>INDEX('[2]Precios Históricos'!$A:$AZ,MATCH(F$1,'[2]Precios Históricos'!$B:$B,0),MATCH($A164,'[2]Precios Históricos'!$6:$6,0))</f>
        <v>1.0465052399999999</v>
      </c>
      <c r="G164">
        <f>INDEX('[2]Precios Históricos'!$A:$AZ,MATCH(G$1,'[2]Precios Históricos'!$B:$B,0),MATCH($A164,'[2]Precios Históricos'!$6:$6,0))</f>
        <v>1.3789722900000001</v>
      </c>
      <c r="H164">
        <f>INDEX('[2]Precios Históricos'!$A:$AZ,MATCH(H$1,'[2]Precios Históricos'!$B:$B,0),MATCH($A164,'[2]Precios Históricos'!$6:$6,0))</f>
        <v>1.29837176</v>
      </c>
      <c r="I164">
        <f>INDEX('[2]Precios Históricos'!$A:$AZ,MATCH(I$1,'[2]Precios Históricos'!$B:$B,0),MATCH($A164,'[2]Precios Históricos'!$6:$6,0))</f>
        <v>1.31940788</v>
      </c>
      <c r="J164">
        <f>INDEX('[2]Precios Históricos'!$A:$AZ,MATCH(J$1,'[2]Precios Históricos'!$B:$B,0),MATCH($A164,'[2]Precios Históricos'!$6:$6,0))</f>
        <v>1.03549508</v>
      </c>
      <c r="K164">
        <f>INDEX('[2]Precios Históricos'!$A:$AZ,MATCH(K$1,'[2]Precios Históricos'!$B:$B,0),MATCH($A164,'[2]Precios Históricos'!$6:$6,0))</f>
        <v>1.26553798</v>
      </c>
      <c r="N164">
        <f>INDEX('[2]Precios Históricos'!$A:$AZ,MATCH(N$1,'[2]Precios Históricos'!$B:$B,0),MATCH($A164,'[2]Precios Históricos'!$6:$6,0))</f>
        <v>1.2600124800000001</v>
      </c>
      <c r="O164">
        <f>INDEX('[2]Precios Históricos'!$A:$AZ,MATCH(O$1,'[2]Precios Históricos'!$B:$B,0),MATCH($A164,'[2]Precios Históricos'!$6:$6,0))</f>
        <v>1.1138335500000001</v>
      </c>
      <c r="Q164">
        <f>INDEX('[2]Precios Históricos'!$A:$AZ,MATCH(Q$1,'[2]Precios Históricos'!$B:$B,0),MATCH($A164,'[2]Precios Históricos'!$6:$6,0))</f>
        <v>1.2836386500000001</v>
      </c>
      <c r="R164" s="10">
        <v>3.1209999999999947</v>
      </c>
      <c r="S164" s="10">
        <v>1.0354999999999783</v>
      </c>
      <c r="T164" s="10">
        <v>2.327500000000049</v>
      </c>
      <c r="U164">
        <v>1.2835501799999999E-2</v>
      </c>
      <c r="V164" s="10">
        <v>1.2654999999999919</v>
      </c>
      <c r="W164">
        <v>4.1422743400000003E-2</v>
      </c>
      <c r="X164" s="10">
        <v>1.1234999999998712</v>
      </c>
      <c r="Y164" s="10">
        <v>1.018999999999699</v>
      </c>
      <c r="Z164" s="10">
        <v>2.8945000000001277</v>
      </c>
      <c r="AA164" s="10">
        <v>1.0379999999999017</v>
      </c>
      <c r="AB164" s="10">
        <v>3.6264999999995742</v>
      </c>
      <c r="AC164" s="10">
        <v>0.98400000000008492</v>
      </c>
      <c r="AD164" s="10">
        <v>0.87449999999994832</v>
      </c>
      <c r="AE164" s="10">
        <v>0.92999999999994842</v>
      </c>
      <c r="AH164" s="10">
        <v>0.70038207373800443</v>
      </c>
      <c r="AI164" s="10">
        <v>0.51458910369069089</v>
      </c>
      <c r="AJ164" s="10">
        <v>0.5270000000000068</v>
      </c>
      <c r="AK164" s="10">
        <v>0.66981792618620739</v>
      </c>
      <c r="AL164" s="10">
        <v>0.62134751025198109</v>
      </c>
      <c r="AM164" s="10">
        <v>0.83295020503801465</v>
      </c>
      <c r="AN164" s="10">
        <v>0.98293063854716056</v>
      </c>
      <c r="AO164" s="10">
        <v>0.88728646748677154</v>
      </c>
      <c r="AP164" s="10">
        <v>0.81183315758631214</v>
      </c>
      <c r="AQ164" s="10">
        <v>0.53162497074657855</v>
      </c>
      <c r="AR164" s="10">
        <v>0.54039882835379016</v>
      </c>
      <c r="AS164" s="10">
        <v>0.70575395430595844</v>
      </c>
      <c r="AT164" s="10">
        <v>0.75860831868692313</v>
      </c>
      <c r="AU164" s="10">
        <v>0.65129419990132709</v>
      </c>
      <c r="AW164" s="10">
        <v>0.73812562382179825</v>
      </c>
      <c r="AX164" s="10">
        <v>0.5423202811950848</v>
      </c>
      <c r="AY164" s="10">
        <v>0.555400000000007</v>
      </c>
      <c r="AZ164" s="10">
        <v>0.70591437609832952</v>
      </c>
      <c r="BA164" s="10">
        <v>0.65483189220863436</v>
      </c>
      <c r="BB164" s="10">
        <v>0.87783784417099309</v>
      </c>
      <c r="BC164" s="10">
        <v>1.0359007147041612</v>
      </c>
      <c r="BD164" s="10">
        <v>0.9351022847099677</v>
      </c>
      <c r="BE164" s="10">
        <v>0.56067772057105936</v>
      </c>
      <c r="BF164" s="10">
        <v>0.56952089045103427</v>
      </c>
      <c r="BG164" s="10">
        <v>0.74378699472775966</v>
      </c>
      <c r="BH164" s="10">
        <v>0.85558280023422706</v>
      </c>
      <c r="BI164" s="10">
        <v>0.7994896777964271</v>
      </c>
      <c r="BJ164" s="10">
        <v>0.68639240725843831</v>
      </c>
    </row>
    <row r="165" spans="1:62" x14ac:dyDescent="0.3">
      <c r="A165" s="4">
        <f>+WORKDAY(A164,1,Feriados!$A$2:$A$38)</f>
        <v>46314</v>
      </c>
      <c r="B165">
        <f>INDEX('[2]Precios Históricos'!$A:$AZ,MATCH(B$1,'[2]Precios Históricos'!$B:$B,0),MATCH($A165,'[2]Precios Históricos'!$6:$6,0))</f>
        <v>1.3467551200000001</v>
      </c>
      <c r="C165">
        <f>INDEX('[2]Precios Históricos'!$A:$AZ,MATCH(C$1,'[2]Precios Históricos'!$B:$B,0),MATCH($A165,'[2]Precios Históricos'!$6:$6,0))</f>
        <v>1.0799686399999999</v>
      </c>
      <c r="D165">
        <f>INDEX('[2]Precios Históricos'!$A:$AZ,MATCH(D$1,'[2]Precios Históricos'!$B:$B,0),MATCH($A165,'[2]Precios Históricos'!$6:$6,0))</f>
        <v>1.2658785699999999</v>
      </c>
      <c r="E165">
        <f>INDEX('[2]Precios Históricos'!$A:$AZ,MATCH(E$1,'[2]Precios Históricos'!$B:$B,0),MATCH($A165,'[2]Precios Históricos'!$6:$6,0))</f>
        <v>1.5235683499999999</v>
      </c>
      <c r="F165">
        <f>INDEX('[2]Precios Históricos'!$A:$AZ,MATCH(F$1,'[2]Precios Históricos'!$B:$B,0),MATCH($A165,'[2]Precios Históricos'!$6:$6,0))</f>
        <v>1.0468394599999999</v>
      </c>
      <c r="G165">
        <f>INDEX('[2]Precios Históricos'!$A:$AZ,MATCH(G$1,'[2]Precios Históricos'!$B:$B,0),MATCH($A165,'[2]Precios Históricos'!$6:$6,0))</f>
        <v>1.3791142999999999</v>
      </c>
      <c r="H165">
        <f>INDEX('[2]Precios Históricos'!$A:$AZ,MATCH(H$1,'[2]Precios Históricos'!$B:$B,0),MATCH($A165,'[2]Precios Históricos'!$6:$6,0))</f>
        <v>1.2980624199999999</v>
      </c>
      <c r="I165">
        <f>INDEX('[2]Precios Históricos'!$A:$AZ,MATCH(I$1,'[2]Precios Históricos'!$B:$B,0),MATCH($A165,'[2]Precios Históricos'!$6:$6,0))</f>
        <v>1.31927609</v>
      </c>
      <c r="J165">
        <f>INDEX('[2]Precios Históricos'!$A:$AZ,MATCH(J$1,'[2]Precios Históricos'!$B:$B,0),MATCH($A165,'[2]Precios Históricos'!$6:$6,0))</f>
        <v>1.03625682</v>
      </c>
      <c r="K165">
        <f>INDEX('[2]Precios Históricos'!$A:$AZ,MATCH(K$1,'[2]Precios Históricos'!$B:$B,0),MATCH($A165,'[2]Precios Históricos'!$6:$6,0))</f>
        <v>1.26702314</v>
      </c>
      <c r="N165">
        <f>INDEX('[2]Precios Históricos'!$A:$AZ,MATCH(N$1,'[2]Precios Históricos'!$B:$B,0),MATCH($A165,'[2]Precios Históricos'!$6:$6,0))</f>
        <v>1.26114211</v>
      </c>
      <c r="O165">
        <f>INDEX('[2]Precios Históricos'!$A:$AZ,MATCH(O$1,'[2]Precios Históricos'!$B:$B,0),MATCH($A165,'[2]Precios Históricos'!$6:$6,0))</f>
        <v>1.1153652149836599</v>
      </c>
      <c r="Q165">
        <f>INDEX('[2]Precios Históricos'!$A:$AZ,MATCH(Q$1,'[2]Precios Históricos'!$B:$B,0),MATCH($A165,'[2]Precios Históricos'!$6:$6,0))</f>
        <v>1.28512731</v>
      </c>
      <c r="R165">
        <f>INDEX('[2]Precios Históricos'!$A:$AZ,MATCH(R$1,'[2]Precios Históricos'!$B:$B,0),MATCH($A165,'[2]Precios Históricos'!$6:$6,0))</f>
        <v>3.1237230500000002</v>
      </c>
      <c r="S165">
        <f>INDEX('[2]Precios Históricos'!$A:$AZ,MATCH(S$1,'[2]Precios Históricos'!$B:$B,0),MATCH($A165,'[2]Precios Históricos'!$6:$6,0))</f>
        <v>1.03625682</v>
      </c>
      <c r="T165">
        <f>INDEX('[2]Precios Históricos'!$A:$AZ,MATCH(T$1,'[2]Precios Históricos'!$B:$B,0),MATCH($A165,'[2]Precios Históricos'!$6:$6,0))</f>
        <v>2.3285294900000002</v>
      </c>
      <c r="U165">
        <f>INDEX('[2]Precios Históricos'!$A:$AZ,MATCH(U$1,'[2]Precios Históricos'!$B:$B,0),MATCH($A165,'[2]Precios Históricos'!$6:$6,0))</f>
        <v>1.28404717</v>
      </c>
      <c r="V165">
        <f>INDEX('[2]Precios Históricos'!$A:$AZ,MATCH(V$1,'[2]Precios Históricos'!$B:$B,0),MATCH($A165,'[2]Precios Históricos'!$6:$6,0))</f>
        <v>1.26702314</v>
      </c>
      <c r="W165">
        <f>INDEX('[2]Precios Históricos'!$A:$AZ,MATCH(W$1,'[2]Precios Históricos'!$B:$B,0),MATCH($A165,'[2]Precios Históricos'!$6:$6,0))</f>
        <v>4.1445826600000002</v>
      </c>
      <c r="X165">
        <f>INDEX('[2]Precios Históricos'!$A:$AZ,MATCH(X$1,'[2]Precios Históricos'!$B:$B,0),MATCH($A165,'[2]Precios Históricos'!$6:$6,0))</f>
        <v>1.12673896</v>
      </c>
      <c r="Y165">
        <f>INDEX('[2]Precios Históricos'!$A:$AZ,MATCH(Y$1,'[2]Precios Históricos'!$B:$B,0),MATCH($A165,'[2]Precios Históricos'!$6:$6,0))</f>
        <v>1.0166987700000001</v>
      </c>
      <c r="Z165">
        <f>INDEX('[2]Precios Históricos'!$A:$AZ,MATCH(Z$1,'[2]Precios Históricos'!$B:$B,0),MATCH($A165,'[2]Precios Históricos'!$6:$6,0))</f>
        <v>2.9025093200000001</v>
      </c>
      <c r="AA165">
        <f>INDEX('[2]Precios Históricos'!$A:$AZ,MATCH(AA$1,'[2]Precios Históricos'!$B:$B,0),MATCH($A165,'[2]Precios Históricos'!$6:$6,0))</f>
        <v>1.03936071</v>
      </c>
      <c r="AB165">
        <f>INDEX('[2]Precios Históricos'!$A:$AZ,MATCH(AB$1,'[2]Precios Históricos'!$B:$B,0),MATCH($A165,'[2]Precios Históricos'!$6:$6,0))</f>
        <v>3.61664108</v>
      </c>
      <c r="AC165">
        <f>INDEX('[2]Precios Históricos'!$A:$AZ,MATCH(AC$1,'[2]Precios Históricos'!$B:$B,0),MATCH($A165,'[2]Precios Históricos'!$6:$6,0))</f>
        <v>0.98362095000000005</v>
      </c>
      <c r="AD165">
        <f>INDEX('[2]Precios Históricos'!$A:$AZ,MATCH(AD$1,'[2]Precios Históricos'!$B:$B,0),MATCH($A165,'[2]Precios Históricos'!$6:$6,0))</f>
        <v>0.87749999999999995</v>
      </c>
      <c r="AE165">
        <f>INDEX('[2]Precios Históricos'!$A:$AZ,MATCH(AE$1,'[2]Precios Históricos'!$B:$B,0),MATCH($A165,'[2]Precios Históricos'!$6:$6,0))</f>
        <v>0.93130204000000005</v>
      </c>
      <c r="AH165" s="10">
        <v>0.68950187864166035</v>
      </c>
      <c r="AI165" s="10">
        <v>0.51586550023489208</v>
      </c>
      <c r="AJ165" s="10">
        <v>0.52379999999997218</v>
      </c>
      <c r="AK165" s="10">
        <v>0.66182339126343404</v>
      </c>
      <c r="AL165" s="10">
        <v>0.61200211366837876</v>
      </c>
      <c r="AM165" s="10">
        <v>0.82875542508200051</v>
      </c>
      <c r="AN165" s="10">
        <v>0.98141766087360727</v>
      </c>
      <c r="AO165" s="10">
        <v>0.87562433067167011</v>
      </c>
      <c r="AP165" s="10">
        <v>0.80636660403944371</v>
      </c>
      <c r="AQ165" s="10">
        <v>0.53093489901360646</v>
      </c>
      <c r="AR165" s="10">
        <v>0.53948447627994667</v>
      </c>
      <c r="AS165" s="10">
        <v>0.70241850634121106</v>
      </c>
      <c r="AT165" s="10">
        <v>0.74639654767262587</v>
      </c>
      <c r="AU165" s="10">
        <v>0.64829168623782496</v>
      </c>
      <c r="AW165" s="10">
        <v>0.72754426942582229</v>
      </c>
      <c r="AX165" s="10">
        <v>0.54432772428374354</v>
      </c>
      <c r="AY165" s="10">
        <v>0.55269999999997066</v>
      </c>
      <c r="AZ165" s="10">
        <v>0.69833865664623918</v>
      </c>
      <c r="BA165" s="10">
        <v>0.64576855331140304</v>
      </c>
      <c r="BB165" s="10">
        <v>0.87448095349908694</v>
      </c>
      <c r="BC165" s="10">
        <v>1.035566134335324</v>
      </c>
      <c r="BD165" s="10">
        <v>0.92393579145137861</v>
      </c>
      <c r="BE165" s="10">
        <v>0.56022855800843896</v>
      </c>
      <c r="BF165" s="10">
        <v>0.56924984734617512</v>
      </c>
      <c r="BG165" s="10">
        <v>0.74117355566015153</v>
      </c>
      <c r="BH165" s="10">
        <v>0.85085685767964991</v>
      </c>
      <c r="BI165" s="10">
        <v>0.78757802958888956</v>
      </c>
      <c r="BJ165" s="10">
        <v>0.68406035697526901</v>
      </c>
    </row>
    <row r="166" spans="1:62" x14ac:dyDescent="0.3">
      <c r="A166" s="4">
        <f>+WORKDAY(A165,1,Feriados!$A$2:$A$38)</f>
        <v>46315</v>
      </c>
      <c r="B166">
        <f>INDEX('[2]Precios Históricos'!$A:$AZ,MATCH(B$1,'[2]Precios Históricos'!$B:$B,0),MATCH($A166,'[2]Precios Históricos'!$6:$6,0))</f>
        <v>1.3462021099999999</v>
      </c>
      <c r="C166">
        <f>INDEX('[2]Precios Históricos'!$A:$AZ,MATCH(C$1,'[2]Precios Históricos'!$B:$B,0),MATCH($A166,'[2]Precios Históricos'!$6:$6,0))</f>
        <v>1.08108965</v>
      </c>
      <c r="D166">
        <f>INDEX('[2]Precios Históricos'!$A:$AZ,MATCH(D$1,'[2]Precios Históricos'!$B:$B,0),MATCH($A166,'[2]Precios Históricos'!$6:$6,0))</f>
        <v>1.2667788499999999</v>
      </c>
      <c r="E166">
        <f>INDEX('[2]Precios Históricos'!$A:$AZ,MATCH(E$1,'[2]Precios Históricos'!$B:$B,0),MATCH($A166,'[2]Precios Históricos'!$6:$6,0))</f>
        <v>1.5249278500000001</v>
      </c>
      <c r="F166">
        <f>INDEX('[2]Precios Históricos'!$A:$AZ,MATCH(F$1,'[2]Precios Históricos'!$B:$B,0),MATCH($A166,'[2]Precios Históricos'!$6:$6,0))</f>
        <v>1.04730795</v>
      </c>
      <c r="G166">
        <f>INDEX('[2]Precios Históricos'!$A:$AZ,MATCH(G$1,'[2]Precios Históricos'!$B:$B,0),MATCH($A166,'[2]Precios Históricos'!$6:$6,0))</f>
        <v>1.38088601</v>
      </c>
      <c r="H166">
        <f>INDEX('[2]Precios Históricos'!$A:$AZ,MATCH(H$1,'[2]Precios Históricos'!$B:$B,0),MATCH($A166,'[2]Precios Históricos'!$6:$6,0))</f>
        <v>1.3009219000000001</v>
      </c>
      <c r="I166">
        <f>INDEX('[2]Precios Históricos'!$A:$AZ,MATCH(I$1,'[2]Precios Históricos'!$B:$B,0),MATCH($A166,'[2]Precios Históricos'!$6:$6,0))</f>
        <v>1.32152921</v>
      </c>
      <c r="J166">
        <f>INDEX('[2]Precios Históricos'!$A:$AZ,MATCH(J$1,'[2]Precios Históricos'!$B:$B,0),MATCH($A166,'[2]Precios Históricos'!$6:$6,0))</f>
        <v>1.03749885</v>
      </c>
      <c r="K166">
        <f>INDEX('[2]Precios Históricos'!$A:$AZ,MATCH(K$1,'[2]Precios Históricos'!$B:$B,0),MATCH($A166,'[2]Precios Históricos'!$6:$6,0))</f>
        <v>1.2677409399999999</v>
      </c>
      <c r="N166">
        <f>INDEX('[2]Precios Históricos'!$A:$AZ,MATCH(N$1,'[2]Precios Históricos'!$B:$B,0),MATCH($A166,'[2]Precios Históricos'!$6:$6,0))</f>
        <v>1.2627306899999999</v>
      </c>
      <c r="O166">
        <f>INDEX('[2]Precios Históricos'!$A:$AZ,MATCH(O$1,'[2]Precios Históricos'!$B:$B,0),MATCH($A166,'[2]Precios Históricos'!$6:$6,0))</f>
        <v>1.11652306</v>
      </c>
      <c r="Q166">
        <f>INDEX('[2]Precios Históricos'!$A:$AZ,MATCH(Q$1,'[2]Precios Históricos'!$B:$B,0),MATCH($A166,'[2]Precios Históricos'!$6:$6,0))</f>
        <v>1.2854595799999999</v>
      </c>
      <c r="R166">
        <f>INDEX('[2]Precios Históricos'!$A:$AZ,MATCH(R$1,'[2]Precios Históricos'!$B:$B,0),MATCH($A166,'[2]Precios Históricos'!$6:$6,0))</f>
        <v>3.12464619</v>
      </c>
      <c r="S166">
        <f>INDEX('[2]Precios Históricos'!$A:$AZ,MATCH(S$1,'[2]Precios Históricos'!$B:$B,0),MATCH($A166,'[2]Precios Históricos'!$6:$6,0))</f>
        <v>1.03749885</v>
      </c>
      <c r="T166">
        <f>INDEX('[2]Precios Históricos'!$A:$AZ,MATCH(T$1,'[2]Precios Históricos'!$B:$B,0),MATCH($A166,'[2]Precios Históricos'!$6:$6,0))</f>
        <v>2.3298943300000001</v>
      </c>
      <c r="U166">
        <f>INDEX('[2]Precios Históricos'!$A:$AZ,MATCH(U$1,'[2]Precios Históricos'!$B:$B,0),MATCH($A166,'[2]Precios Históricos'!$6:$6,0))</f>
        <v>1.28724576</v>
      </c>
      <c r="V166">
        <f>INDEX('[2]Precios Históricos'!$A:$AZ,MATCH(V$1,'[2]Precios Históricos'!$B:$B,0),MATCH($A166,'[2]Precios Históricos'!$6:$6,0))</f>
        <v>1.2677409399999999</v>
      </c>
      <c r="W166">
        <f>INDEX('[2]Precios Históricos'!$A:$AZ,MATCH(W$1,'[2]Precios Históricos'!$B:$B,0),MATCH($A166,'[2]Precios Históricos'!$6:$6,0))</f>
        <v>4.1452876099999996</v>
      </c>
      <c r="X166">
        <f>INDEX('[2]Precios Históricos'!$A:$AZ,MATCH(X$1,'[2]Precios Históricos'!$B:$B,0),MATCH($A166,'[2]Precios Históricos'!$6:$6,0))</f>
        <v>1.1264308700000001</v>
      </c>
      <c r="Y166">
        <f>INDEX('[2]Precios Históricos'!$A:$AZ,MATCH(Y$1,'[2]Precios Históricos'!$B:$B,0),MATCH($A166,'[2]Precios Históricos'!$6:$6,0))</f>
        <v>1.0215940000000001</v>
      </c>
      <c r="Z166">
        <f>INDEX('[2]Precios Históricos'!$A:$AZ,MATCH(Z$1,'[2]Precios Históricos'!$B:$B,0),MATCH($A166,'[2]Precios Históricos'!$6:$6,0))</f>
        <v>2.8988112400000001</v>
      </c>
      <c r="AA166">
        <f>INDEX('[2]Precios Históricos'!$A:$AZ,MATCH(AA$1,'[2]Precios Históricos'!$B:$B,0),MATCH($A166,'[2]Precios Históricos'!$6:$6,0))</f>
        <v>1.0492393099999999</v>
      </c>
      <c r="AB166">
        <f>INDEX('[2]Precios Históricos'!$A:$AZ,MATCH(AB$1,'[2]Precios Históricos'!$B:$B,0),MATCH($A166,'[2]Precios Históricos'!$6:$6,0))</f>
        <v>3.6326244999999999</v>
      </c>
      <c r="AC166">
        <f>INDEX('[2]Precios Históricos'!$A:$AZ,MATCH(AC$1,'[2]Precios Históricos'!$B:$B,0),MATCH($A166,'[2]Precios Históricos'!$6:$6,0))</f>
        <v>0.98249960000000003</v>
      </c>
      <c r="AD166">
        <f>INDEX('[2]Precios Históricos'!$A:$AZ,MATCH(AD$1,'[2]Precios Históricos'!$B:$B,0),MATCH($A166,'[2]Precios Históricos'!$6:$6,0))</f>
        <v>0.87882985000000002</v>
      </c>
      <c r="AE166">
        <f>INDEX('[2]Precios Históricos'!$A:$AZ,MATCH(AE$1,'[2]Precios Históricos'!$B:$B,0),MATCH($A166,'[2]Precios Históricos'!$6:$6,0))</f>
        <v>0.92414275000000001</v>
      </c>
      <c r="AH166" s="10">
        <v>0.69410467276769439</v>
      </c>
      <c r="AI166" s="10">
        <v>0.51512517523368684</v>
      </c>
      <c r="AJ166" s="10">
        <v>0.52449999999997621</v>
      </c>
      <c r="AK166" s="10">
        <v>0.66441556256564571</v>
      </c>
      <c r="AL166" s="10">
        <v>0.61696150700929075</v>
      </c>
      <c r="AM166" s="10">
        <v>0.83331775700931032</v>
      </c>
      <c r="AN166" s="10">
        <v>0.98270221962611926</v>
      </c>
      <c r="AO166" s="10">
        <v>0.87676057242990624</v>
      </c>
      <c r="AP166" s="10">
        <v>0.81156571261671462</v>
      </c>
      <c r="AQ166" s="10">
        <v>0.53015923544540311</v>
      </c>
      <c r="AR166" s="10">
        <v>0.53810268691592267</v>
      </c>
      <c r="AS166" s="10">
        <v>0.70231530373852269</v>
      </c>
      <c r="AT166" s="10">
        <v>0.74988947306750076</v>
      </c>
      <c r="AU166" s="10">
        <v>0.65341915845298471</v>
      </c>
      <c r="AW166" s="10">
        <v>0.73287925219971239</v>
      </c>
      <c r="AX166" s="10">
        <v>0.54390147196266125</v>
      </c>
      <c r="AY166" s="10">
        <v>0.55379999999997476</v>
      </c>
      <c r="AZ166" s="10">
        <v>0.70049758149308661</v>
      </c>
      <c r="BA166" s="10">
        <v>0.65142665887844653</v>
      </c>
      <c r="BB166" s="10">
        <v>0.87986915887846717</v>
      </c>
      <c r="BC166" s="10">
        <v>1.0375986448597614</v>
      </c>
      <c r="BD166" s="10">
        <v>0.9257388084112147</v>
      </c>
      <c r="BE166" s="10">
        <v>0.55935992518119915</v>
      </c>
      <c r="BF166" s="10">
        <v>0.5681625700934948</v>
      </c>
      <c r="BG166" s="10">
        <v>0.74154855140208553</v>
      </c>
      <c r="BH166" s="10">
        <v>0.85690198598119449</v>
      </c>
      <c r="BI166" s="10">
        <v>0.79061327257669267</v>
      </c>
      <c r="BJ166" s="10">
        <v>0.68992093413014854</v>
      </c>
    </row>
    <row r="167" spans="1:62" x14ac:dyDescent="0.3">
      <c r="A167" s="4">
        <f>+WORKDAY(A166,1,Feriados!$A$2:$A$38)</f>
        <v>46316</v>
      </c>
      <c r="B167">
        <f>INDEX('[2]Precios Históricos'!$A:$AZ,MATCH(B$1,'[2]Precios Históricos'!$B:$B,0),MATCH($A167,'[2]Precios Históricos'!$6:$6,0))</f>
        <v>1.34694896</v>
      </c>
      <c r="C167">
        <f>INDEX('[2]Precios Históricos'!$A:$AZ,MATCH(C$1,'[2]Precios Históricos'!$B:$B,0),MATCH($A167,'[2]Precios Históricos'!$6:$6,0))</f>
        <v>1.0817655799999999</v>
      </c>
      <c r="D167">
        <f>INDEX('[2]Precios Históricos'!$A:$AZ,MATCH(D$1,'[2]Precios Históricos'!$B:$B,0),MATCH($A167,'[2]Precios Históricos'!$6:$6,0))</f>
        <v>1.2678373000000001</v>
      </c>
      <c r="E167">
        <f>INDEX('[2]Precios Históricos'!$A:$AZ,MATCH(E$1,'[2]Precios Históricos'!$B:$B,0),MATCH($A167,'[2]Precios Históricos'!$6:$6,0))</f>
        <v>1.5252739099999999</v>
      </c>
      <c r="F167">
        <f>INDEX('[2]Precios Históricos'!$A:$AZ,MATCH(F$1,'[2]Precios Históricos'!$B:$B,0),MATCH($A167,'[2]Precios Históricos'!$6:$6,0))</f>
        <v>1.0483183599999999</v>
      </c>
      <c r="G167">
        <f>INDEX('[2]Precios Históricos'!$A:$AZ,MATCH(G$1,'[2]Precios Históricos'!$B:$B,0),MATCH($A167,'[2]Precios Históricos'!$6:$6,0))</f>
        <v>1.38344445</v>
      </c>
      <c r="H167">
        <f>INDEX('[2]Precios Históricos'!$A:$AZ,MATCH(H$1,'[2]Precios Históricos'!$B:$B,0),MATCH($A167,'[2]Precios Históricos'!$6:$6,0))</f>
        <v>1.3035093099999999</v>
      </c>
      <c r="I167">
        <f>INDEX('[2]Precios Históricos'!$A:$AZ,MATCH(I$1,'[2]Precios Históricos'!$B:$B,0),MATCH($A167,'[2]Precios Históricos'!$6:$6,0))</f>
        <v>1.31171438</v>
      </c>
      <c r="J167">
        <f>INDEX('[2]Precios Históricos'!$A:$AZ,MATCH(J$1,'[2]Precios Históricos'!$B:$B,0),MATCH($A167,'[2]Precios Históricos'!$6:$6,0))</f>
        <v>1.0379849699999999</v>
      </c>
      <c r="K167">
        <f>INDEX('[2]Precios Históricos'!$A:$AZ,MATCH(K$1,'[2]Precios Históricos'!$B:$B,0),MATCH($A167,'[2]Precios Históricos'!$6:$6,0))</f>
        <v>1.26960213</v>
      </c>
      <c r="N167">
        <f>INDEX('[2]Precios Históricos'!$A:$AZ,MATCH(N$1,'[2]Precios Históricos'!$B:$B,0),MATCH($A167,'[2]Precios Históricos'!$6:$6,0))</f>
        <v>1.26323282</v>
      </c>
      <c r="O167">
        <f>INDEX('[2]Precios Históricos'!$A:$AZ,MATCH(O$1,'[2]Precios Históricos'!$B:$B,0),MATCH($A167,'[2]Precios Históricos'!$6:$6,0))</f>
        <v>1.1193425800000001</v>
      </c>
      <c r="Q167">
        <f>INDEX('[2]Precios Históricos'!$A:$AZ,MATCH(Q$1,'[2]Precios Históricos'!$B:$B,0),MATCH($A167,'[2]Precios Históricos'!$6:$6,0))</f>
        <v>1.2865622699999999</v>
      </c>
      <c r="R167">
        <f>INDEX('[2]Precios Históricos'!$A:$AZ,MATCH(R$1,'[2]Precios Históricos'!$B:$B,0),MATCH($A167,'[2]Precios Históricos'!$6:$6,0))</f>
        <v>3.1273752899999998</v>
      </c>
      <c r="S167">
        <f>INDEX('[2]Precios Históricos'!$A:$AZ,MATCH(S$1,'[2]Precios Históricos'!$B:$B,0),MATCH($A167,'[2]Precios Históricos'!$6:$6,0))</f>
        <v>1.0379849699999999</v>
      </c>
      <c r="T167">
        <f>INDEX('[2]Precios Históricos'!$A:$AZ,MATCH(T$1,'[2]Precios Históricos'!$B:$B,0),MATCH($A167,'[2]Precios Históricos'!$6:$6,0))</f>
        <v>2.3315063999999999</v>
      </c>
      <c r="U167">
        <f>INDEX('[2]Precios Históricos'!$A:$AZ,MATCH(U$1,'[2]Precios Históricos'!$B:$B,0),MATCH($A167,'[2]Precios Históricos'!$6:$6,0))</f>
        <v>1.2895944800000001</v>
      </c>
      <c r="V167">
        <f>INDEX('[2]Precios Históricos'!$A:$AZ,MATCH(V$1,'[2]Precios Históricos'!$B:$B,0),MATCH($A167,'[2]Precios Históricos'!$6:$6,0))</f>
        <v>1.26960213</v>
      </c>
      <c r="W167">
        <f>INDEX('[2]Precios Históricos'!$A:$AZ,MATCH(W$1,'[2]Precios Históricos'!$B:$B,0),MATCH($A167,'[2]Precios Históricos'!$6:$6,0))</f>
        <v>4.15149597</v>
      </c>
      <c r="X167">
        <f>INDEX('[2]Precios Históricos'!$A:$AZ,MATCH(X$1,'[2]Precios Históricos'!$B:$B,0),MATCH($A167,'[2]Precios Históricos'!$6:$6,0))</f>
        <v>1.1262223</v>
      </c>
      <c r="Y167">
        <f>INDEX('[2]Precios Históricos'!$A:$AZ,MATCH(Y$1,'[2]Precios Históricos'!$B:$B,0),MATCH($A167,'[2]Precios Históricos'!$6:$6,0))</f>
        <v>1.0229999999999999</v>
      </c>
      <c r="Z167">
        <f>INDEX('[2]Precios Históricos'!$A:$AZ,MATCH(Z$1,'[2]Precios Históricos'!$B:$B,0),MATCH($A167,'[2]Precios Históricos'!$6:$6,0))</f>
        <v>2.9093671799999998</v>
      </c>
      <c r="AA167">
        <f>INDEX('[2]Precios Históricos'!$A:$AZ,MATCH(AA$1,'[2]Precios Históricos'!$B:$B,0),MATCH($A167,'[2]Precios Históricos'!$6:$6,0))</f>
        <v>1.0453569700000001</v>
      </c>
      <c r="AB167">
        <f>INDEX('[2]Precios Históricos'!$A:$AZ,MATCH(AB$1,'[2]Precios Históricos'!$B:$B,0),MATCH($A167,'[2]Precios Históricos'!$6:$6,0))</f>
        <v>3.6433714799999999</v>
      </c>
      <c r="AC167">
        <f>INDEX('[2]Precios Históricos'!$A:$AZ,MATCH(AC$1,'[2]Precios Históricos'!$B:$B,0),MATCH($A167,'[2]Precios Históricos'!$6:$6,0))</f>
        <v>0.98438888999999996</v>
      </c>
      <c r="AD167">
        <f>INDEX('[2]Precios Históricos'!$A:$AZ,MATCH(AD$1,'[2]Precios Históricos'!$B:$B,0),MATCH($A167,'[2]Precios Históricos'!$6:$6,0))</f>
        <v>0.87983224000000004</v>
      </c>
      <c r="AE167">
        <f>INDEX('[2]Precios Históricos'!$A:$AZ,MATCH(AE$1,'[2]Precios Históricos'!$B:$B,0),MATCH($A167,'[2]Precios Históricos'!$6:$6,0))</f>
        <v>0.92962405999999997</v>
      </c>
      <c r="AH167" s="10">
        <v>0.69348287239910322</v>
      </c>
      <c r="AI167" s="10">
        <v>0.5181243088097498</v>
      </c>
      <c r="AJ167" s="10">
        <v>0.5220999999999737</v>
      </c>
      <c r="AK167" s="10">
        <v>0.66308412605442046</v>
      </c>
      <c r="AL167" s="10">
        <v>0.61439720009368226</v>
      </c>
      <c r="AM167" s="10">
        <v>0.83483398547334819</v>
      </c>
      <c r="AN167" s="10">
        <v>0.98156757263355743</v>
      </c>
      <c r="AO167" s="10">
        <v>0.87245014058103165</v>
      </c>
      <c r="AP167" s="10">
        <v>0.81611765463909836</v>
      </c>
      <c r="AQ167" s="10">
        <v>0.53512803420812005</v>
      </c>
      <c r="AR167" s="10">
        <v>0.53684063964385309</v>
      </c>
      <c r="AS167" s="10">
        <v>0.70039445876278339</v>
      </c>
      <c r="AT167" s="10">
        <v>0.74253678537601076</v>
      </c>
      <c r="AU167" s="10">
        <v>0.65170753231819945</v>
      </c>
      <c r="AW167" s="10">
        <v>0.73253362215687678</v>
      </c>
      <c r="AX167" s="10">
        <v>0.54730043345829726</v>
      </c>
      <c r="AY167" s="10">
        <v>0.55149999999997212</v>
      </c>
      <c r="AZ167" s="10">
        <v>0.70042309044055329</v>
      </c>
      <c r="BA167" s="10">
        <v>0.6489945524835582</v>
      </c>
      <c r="BB167" s="10">
        <v>0.88184436504223607</v>
      </c>
      <c r="BC167" s="10">
        <v>1.0368406747891341</v>
      </c>
      <c r="BD167" s="10">
        <v>0.92157872539827412</v>
      </c>
      <c r="BE167" s="10">
        <v>0.56526165651365301</v>
      </c>
      <c r="BF167" s="10">
        <v>0.56707070056231557</v>
      </c>
      <c r="BG167" s="10">
        <v>0.73983440721638571</v>
      </c>
      <c r="BH167" s="10">
        <v>0.86207409793806311</v>
      </c>
      <c r="BI167" s="10">
        <v>0.78434981255481684</v>
      </c>
      <c r="BJ167" s="10">
        <v>0.68840586874829912</v>
      </c>
    </row>
    <row r="168" spans="1:62" x14ac:dyDescent="0.3"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W168" s="10">
        <v>0.72782039932758591</v>
      </c>
      <c r="AX168" s="10">
        <v>0.54904390699848848</v>
      </c>
      <c r="AY168" s="10">
        <v>0.55240000000003697</v>
      </c>
      <c r="AZ168" s="10">
        <v>0.69935814931647544</v>
      </c>
      <c r="BA168" s="10">
        <v>0.65056572029441984</v>
      </c>
      <c r="BB168" s="10">
        <v>0.87587573314636546</v>
      </c>
      <c r="BC168" s="10">
        <v>1.0383880827199063</v>
      </c>
      <c r="BD168" s="10">
        <v>0.91963402266614469</v>
      </c>
      <c r="BE168" s="10">
        <v>0.56370643274856247</v>
      </c>
      <c r="BF168" s="10">
        <v>0.56711517700665903</v>
      </c>
      <c r="BG168" s="10">
        <v>0.73866316158431067</v>
      </c>
      <c r="BH168" s="10">
        <v>0.85715906063770353</v>
      </c>
      <c r="BI168" s="10">
        <v>0.7881889473653293</v>
      </c>
      <c r="BJ168" s="10">
        <v>0.6886444678117869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8"/>
  <sheetViews>
    <sheetView topLeftCell="A409" workbookViewId="0">
      <selection activeCell="B438" sqref="A436:B438"/>
    </sheetView>
  </sheetViews>
  <sheetFormatPr baseColWidth="10" defaultRowHeight="14.4" x14ac:dyDescent="0.3"/>
  <cols>
    <col min="1" max="1" width="11.44140625" style="2"/>
    <col min="2" max="2" width="11.44140625" style="3"/>
  </cols>
  <sheetData>
    <row r="1" spans="1:2" x14ac:dyDescent="0.3">
      <c r="A1" s="2" t="s">
        <v>2</v>
      </c>
      <c r="B1" s="3" t="s">
        <v>1</v>
      </c>
    </row>
    <row r="2" spans="1:2" x14ac:dyDescent="0.3">
      <c r="A2" s="2">
        <v>45659</v>
      </c>
      <c r="B2" s="3">
        <v>34.3125</v>
      </c>
    </row>
    <row r="3" spans="1:2" x14ac:dyDescent="0.3">
      <c r="A3" s="2">
        <v>45660</v>
      </c>
      <c r="B3" s="3">
        <v>34.5</v>
      </c>
    </row>
    <row r="4" spans="1:2" x14ac:dyDescent="0.3">
      <c r="A4" s="2">
        <v>45663</v>
      </c>
      <c r="B4" s="3">
        <v>34.75</v>
      </c>
    </row>
    <row r="5" spans="1:2" x14ac:dyDescent="0.3">
      <c r="A5" s="2">
        <v>45664</v>
      </c>
      <c r="B5" s="3">
        <v>34.8125</v>
      </c>
    </row>
    <row r="6" spans="1:2" x14ac:dyDescent="0.3">
      <c r="A6" s="2">
        <v>45665</v>
      </c>
      <c r="B6" s="3">
        <v>33.9375</v>
      </c>
    </row>
    <row r="7" spans="1:2" x14ac:dyDescent="0.3">
      <c r="A7" s="2">
        <v>45666</v>
      </c>
      <c r="B7" s="3">
        <v>34.1875</v>
      </c>
    </row>
    <row r="8" spans="1:2" x14ac:dyDescent="0.3">
      <c r="A8" s="2">
        <v>45667</v>
      </c>
      <c r="B8" s="3">
        <v>34.1875</v>
      </c>
    </row>
    <row r="9" spans="1:2" x14ac:dyDescent="0.3">
      <c r="A9" s="2">
        <v>45670</v>
      </c>
      <c r="B9" s="3">
        <v>34.25</v>
      </c>
    </row>
    <row r="10" spans="1:2" x14ac:dyDescent="0.3">
      <c r="A10" s="2">
        <v>45671</v>
      </c>
      <c r="B10" s="3">
        <v>34.5625</v>
      </c>
    </row>
    <row r="11" spans="1:2" x14ac:dyDescent="0.3">
      <c r="A11" s="2">
        <v>45672</v>
      </c>
      <c r="B11" s="3">
        <v>32.875</v>
      </c>
    </row>
    <row r="12" spans="1:2" x14ac:dyDescent="0.3">
      <c r="A12" s="2">
        <v>45673</v>
      </c>
      <c r="B12" s="3">
        <v>33.1875</v>
      </c>
    </row>
    <row r="13" spans="1:2" x14ac:dyDescent="0.3">
      <c r="A13" s="2">
        <v>45674</v>
      </c>
      <c r="B13" s="3">
        <v>32.5625</v>
      </c>
    </row>
    <row r="14" spans="1:2" x14ac:dyDescent="0.3">
      <c r="A14" s="2">
        <v>45677</v>
      </c>
      <c r="B14" s="3">
        <v>32.8125</v>
      </c>
    </row>
    <row r="15" spans="1:2" x14ac:dyDescent="0.3">
      <c r="A15" s="2">
        <v>45678</v>
      </c>
      <c r="B15" s="3">
        <v>33.1875</v>
      </c>
    </row>
    <row r="16" spans="1:2" x14ac:dyDescent="0.3">
      <c r="A16" s="2">
        <v>45679</v>
      </c>
      <c r="B16" s="3">
        <v>33.1875</v>
      </c>
    </row>
    <row r="17" spans="1:2" x14ac:dyDescent="0.3">
      <c r="A17" s="2">
        <v>45680</v>
      </c>
      <c r="B17" s="3">
        <v>33.3125</v>
      </c>
    </row>
    <row r="18" spans="1:2" x14ac:dyDescent="0.3">
      <c r="A18" s="2">
        <v>45681</v>
      </c>
      <c r="B18" s="3">
        <v>33.9375</v>
      </c>
    </row>
    <row r="19" spans="1:2" x14ac:dyDescent="0.3">
      <c r="A19" s="2">
        <v>45684</v>
      </c>
      <c r="B19" s="3">
        <v>32.75</v>
      </c>
    </row>
    <row r="20" spans="1:2" x14ac:dyDescent="0.3">
      <c r="A20" s="2">
        <v>45685</v>
      </c>
      <c r="B20" s="3">
        <v>33.875</v>
      </c>
    </row>
    <row r="21" spans="1:2" x14ac:dyDescent="0.3">
      <c r="A21" s="2">
        <v>45686</v>
      </c>
      <c r="B21" s="3">
        <v>33.8125</v>
      </c>
    </row>
    <row r="22" spans="1:2" x14ac:dyDescent="0.3">
      <c r="A22" s="2">
        <v>45687</v>
      </c>
      <c r="B22" s="3">
        <v>33.5</v>
      </c>
    </row>
    <row r="23" spans="1:2" x14ac:dyDescent="0.3">
      <c r="A23" s="2">
        <v>45688</v>
      </c>
      <c r="B23" s="3">
        <v>30.625</v>
      </c>
    </row>
    <row r="24" spans="1:2" x14ac:dyDescent="0.3">
      <c r="A24" s="2">
        <v>45691</v>
      </c>
      <c r="B24" s="3">
        <v>30.4375</v>
      </c>
    </row>
    <row r="25" spans="1:2" x14ac:dyDescent="0.3">
      <c r="A25" s="2">
        <v>45692</v>
      </c>
      <c r="B25" s="3">
        <v>30.6875</v>
      </c>
    </row>
    <row r="26" spans="1:2" x14ac:dyDescent="0.3">
      <c r="A26" s="2">
        <v>45693</v>
      </c>
      <c r="B26" s="3">
        <v>30.8125</v>
      </c>
    </row>
    <row r="27" spans="1:2" x14ac:dyDescent="0.3">
      <c r="A27" s="2">
        <v>45694</v>
      </c>
      <c r="B27" s="3">
        <v>30.625</v>
      </c>
    </row>
    <row r="28" spans="1:2" x14ac:dyDescent="0.3">
      <c r="A28" s="2">
        <v>45695</v>
      </c>
      <c r="B28" s="3">
        <v>30.5</v>
      </c>
    </row>
    <row r="29" spans="1:2" x14ac:dyDescent="0.3">
      <c r="A29" s="2">
        <v>45698</v>
      </c>
      <c r="B29" s="3">
        <v>30.4375</v>
      </c>
    </row>
    <row r="30" spans="1:2" x14ac:dyDescent="0.3">
      <c r="A30" s="2">
        <v>45699</v>
      </c>
      <c r="B30" s="3">
        <v>30.375</v>
      </c>
    </row>
    <row r="31" spans="1:2" x14ac:dyDescent="0.3">
      <c r="A31" s="2">
        <v>45700</v>
      </c>
      <c r="B31" s="3">
        <v>30.1875</v>
      </c>
    </row>
    <row r="32" spans="1:2" x14ac:dyDescent="0.3">
      <c r="A32" s="2">
        <v>45701</v>
      </c>
      <c r="B32" s="3">
        <v>30.25</v>
      </c>
    </row>
    <row r="33" spans="1:2" x14ac:dyDescent="0.3">
      <c r="A33" s="2">
        <v>45702</v>
      </c>
      <c r="B33" s="3">
        <v>30.1875</v>
      </c>
    </row>
    <row r="34" spans="1:2" x14ac:dyDescent="0.3">
      <c r="A34" s="2">
        <v>45705</v>
      </c>
      <c r="B34" s="3">
        <v>30.3125</v>
      </c>
    </row>
    <row r="35" spans="1:2" x14ac:dyDescent="0.3">
      <c r="A35" s="2">
        <v>45706</v>
      </c>
      <c r="B35" s="3">
        <v>30.125</v>
      </c>
    </row>
    <row r="36" spans="1:2" x14ac:dyDescent="0.3">
      <c r="A36" s="2">
        <v>45707</v>
      </c>
      <c r="B36" s="3">
        <v>29.9375</v>
      </c>
    </row>
    <row r="37" spans="1:2" x14ac:dyDescent="0.3">
      <c r="A37" s="2">
        <v>45708</v>
      </c>
      <c r="B37" s="3">
        <v>28.25</v>
      </c>
    </row>
    <row r="38" spans="1:2" x14ac:dyDescent="0.3">
      <c r="A38" s="2">
        <v>45709</v>
      </c>
      <c r="B38" s="3">
        <v>29.4375</v>
      </c>
    </row>
    <row r="39" spans="1:2" x14ac:dyDescent="0.3">
      <c r="A39" s="2">
        <v>45712</v>
      </c>
      <c r="B39" s="3">
        <v>29.0625</v>
      </c>
    </row>
    <row r="40" spans="1:2" x14ac:dyDescent="0.3">
      <c r="A40" s="2">
        <v>45713</v>
      </c>
      <c r="B40" s="3">
        <v>29.0625</v>
      </c>
    </row>
    <row r="41" spans="1:2" x14ac:dyDescent="0.3">
      <c r="A41" s="2">
        <v>45714</v>
      </c>
      <c r="B41" s="3">
        <v>29.375</v>
      </c>
    </row>
    <row r="42" spans="1:2" x14ac:dyDescent="0.3">
      <c r="A42" s="2">
        <v>45715</v>
      </c>
      <c r="B42" s="3">
        <v>29.5625</v>
      </c>
    </row>
    <row r="43" spans="1:2" x14ac:dyDescent="0.3">
      <c r="A43" s="2">
        <v>45716</v>
      </c>
      <c r="B43" s="3">
        <v>29.625</v>
      </c>
    </row>
    <row r="44" spans="1:2" x14ac:dyDescent="0.3">
      <c r="A44" s="2">
        <v>45721</v>
      </c>
      <c r="B44" s="3">
        <v>29.5625</v>
      </c>
    </row>
    <row r="45" spans="1:2" x14ac:dyDescent="0.3">
      <c r="A45" s="2">
        <v>45722</v>
      </c>
      <c r="B45" s="3">
        <v>29.8125</v>
      </c>
    </row>
    <row r="46" spans="1:2" x14ac:dyDescent="0.3">
      <c r="A46" s="2">
        <v>45723</v>
      </c>
      <c r="B46" s="3">
        <v>29.875</v>
      </c>
    </row>
    <row r="47" spans="1:2" x14ac:dyDescent="0.3">
      <c r="A47" s="2">
        <v>45726</v>
      </c>
      <c r="B47" s="3">
        <v>29.875</v>
      </c>
    </row>
    <row r="48" spans="1:2" x14ac:dyDescent="0.3">
      <c r="A48" s="2">
        <v>45727</v>
      </c>
      <c r="B48" s="3">
        <v>29.9375</v>
      </c>
    </row>
    <row r="49" spans="1:2" x14ac:dyDescent="0.3">
      <c r="A49" s="2">
        <v>45728</v>
      </c>
      <c r="B49" s="3">
        <v>30.125</v>
      </c>
    </row>
    <row r="50" spans="1:2" x14ac:dyDescent="0.3">
      <c r="A50" s="2">
        <v>45729</v>
      </c>
      <c r="B50" s="3">
        <v>30.1875</v>
      </c>
    </row>
    <row r="51" spans="1:2" x14ac:dyDescent="0.3">
      <c r="A51" s="2">
        <v>45730</v>
      </c>
      <c r="B51" s="3">
        <v>30.625</v>
      </c>
    </row>
    <row r="52" spans="1:2" x14ac:dyDescent="0.3">
      <c r="A52" s="2">
        <v>45733</v>
      </c>
      <c r="B52" s="3">
        <v>30.8125</v>
      </c>
    </row>
    <row r="53" spans="1:2" x14ac:dyDescent="0.3">
      <c r="A53" s="2">
        <v>45734</v>
      </c>
      <c r="B53" s="3">
        <v>31.0625</v>
      </c>
    </row>
    <row r="54" spans="1:2" x14ac:dyDescent="0.3">
      <c r="A54" s="2">
        <v>45735</v>
      </c>
      <c r="B54" s="3">
        <v>31.375</v>
      </c>
    </row>
    <row r="55" spans="1:2" x14ac:dyDescent="0.3">
      <c r="A55" s="2">
        <v>45736</v>
      </c>
      <c r="B55" s="3">
        <v>31.625</v>
      </c>
    </row>
    <row r="56" spans="1:2" x14ac:dyDescent="0.3">
      <c r="A56" s="2">
        <v>45737</v>
      </c>
      <c r="B56" s="3">
        <v>31.5</v>
      </c>
    </row>
    <row r="57" spans="1:2" x14ac:dyDescent="0.3">
      <c r="A57" s="2">
        <v>45741</v>
      </c>
      <c r="B57" s="3">
        <v>31.3125</v>
      </c>
    </row>
    <row r="58" spans="1:2" x14ac:dyDescent="0.3">
      <c r="A58" s="2">
        <v>45742</v>
      </c>
      <c r="B58" s="3">
        <v>31.875</v>
      </c>
    </row>
    <row r="59" spans="1:2" x14ac:dyDescent="0.3">
      <c r="A59" s="2">
        <v>45743</v>
      </c>
      <c r="B59" s="3">
        <v>31.6875</v>
      </c>
    </row>
    <row r="60" spans="1:2" x14ac:dyDescent="0.3">
      <c r="A60" s="2">
        <v>45744</v>
      </c>
      <c r="B60" s="3">
        <v>31.875</v>
      </c>
    </row>
    <row r="61" spans="1:2" x14ac:dyDescent="0.3">
      <c r="A61" s="2">
        <v>45747</v>
      </c>
      <c r="B61" s="3">
        <v>32.0625</v>
      </c>
    </row>
    <row r="62" spans="1:2" x14ac:dyDescent="0.3">
      <c r="A62" s="2">
        <v>45748</v>
      </c>
      <c r="B62" s="3">
        <v>32.625</v>
      </c>
    </row>
    <row r="63" spans="1:2" x14ac:dyDescent="0.3">
      <c r="A63" s="2">
        <v>45750</v>
      </c>
      <c r="B63" s="3">
        <v>32.9375</v>
      </c>
    </row>
    <row r="64" spans="1:2" x14ac:dyDescent="0.3">
      <c r="A64" s="2">
        <v>45751</v>
      </c>
      <c r="B64" s="3">
        <v>32.4375</v>
      </c>
    </row>
    <row r="65" spans="1:2" x14ac:dyDescent="0.3">
      <c r="A65" s="2">
        <v>45754</v>
      </c>
      <c r="B65" s="3">
        <v>33.25</v>
      </c>
    </row>
    <row r="66" spans="1:2" x14ac:dyDescent="0.3">
      <c r="A66" s="2">
        <v>45755</v>
      </c>
      <c r="B66" s="3">
        <v>32.8125</v>
      </c>
    </row>
    <row r="67" spans="1:2" x14ac:dyDescent="0.3">
      <c r="A67" s="2">
        <v>45756</v>
      </c>
      <c r="B67" s="3">
        <v>32.875</v>
      </c>
    </row>
    <row r="68" spans="1:2" x14ac:dyDescent="0.3">
      <c r="A68" s="2">
        <v>45757</v>
      </c>
      <c r="B68" s="3">
        <v>33.875</v>
      </c>
    </row>
    <row r="69" spans="1:2" x14ac:dyDescent="0.3">
      <c r="A69" s="2">
        <v>45758</v>
      </c>
      <c r="B69" s="3">
        <v>34.1875</v>
      </c>
    </row>
    <row r="70" spans="1:2" x14ac:dyDescent="0.3">
      <c r="A70" s="2">
        <v>45761</v>
      </c>
      <c r="B70" s="3">
        <v>39.1875</v>
      </c>
    </row>
    <row r="71" spans="1:2" x14ac:dyDescent="0.3">
      <c r="A71" s="2">
        <v>45762</v>
      </c>
      <c r="B71" s="3">
        <v>36.5</v>
      </c>
    </row>
    <row r="72" spans="1:2" x14ac:dyDescent="0.3">
      <c r="A72" s="2">
        <v>45763</v>
      </c>
      <c r="B72" s="3">
        <v>39.125</v>
      </c>
    </row>
    <row r="73" spans="1:2" x14ac:dyDescent="0.3">
      <c r="A73" s="2">
        <v>45768</v>
      </c>
      <c r="B73" s="3">
        <v>36.5</v>
      </c>
    </row>
    <row r="74" spans="1:2" x14ac:dyDescent="0.3">
      <c r="A74" s="2">
        <v>45769</v>
      </c>
      <c r="B74" s="3">
        <v>35.6875</v>
      </c>
    </row>
    <row r="75" spans="1:2" x14ac:dyDescent="0.3">
      <c r="A75" s="2">
        <v>45770</v>
      </c>
      <c r="B75" s="3">
        <v>35.625</v>
      </c>
    </row>
    <row r="76" spans="1:2" x14ac:dyDescent="0.3">
      <c r="A76" s="2">
        <v>45771</v>
      </c>
      <c r="B76" s="3">
        <v>35.0625</v>
      </c>
    </row>
    <row r="77" spans="1:2" x14ac:dyDescent="0.3">
      <c r="A77" s="2">
        <v>45772</v>
      </c>
      <c r="B77" s="3">
        <v>34.875</v>
      </c>
    </row>
    <row r="78" spans="1:2" x14ac:dyDescent="0.3">
      <c r="A78" s="2">
        <v>45775</v>
      </c>
      <c r="B78" s="3">
        <v>34.8125</v>
      </c>
    </row>
    <row r="79" spans="1:2" x14ac:dyDescent="0.3">
      <c r="A79" s="2">
        <v>45776</v>
      </c>
      <c r="B79" s="3">
        <v>34.0625</v>
      </c>
    </row>
    <row r="80" spans="1:2" x14ac:dyDescent="0.3">
      <c r="A80" s="2">
        <v>45777</v>
      </c>
      <c r="B80" s="3">
        <v>34.625</v>
      </c>
    </row>
    <row r="81" spans="1:2" x14ac:dyDescent="0.3">
      <c r="A81" s="2">
        <v>45782</v>
      </c>
      <c r="B81" s="3">
        <v>33.4375</v>
      </c>
    </row>
    <row r="82" spans="1:2" x14ac:dyDescent="0.3">
      <c r="A82" s="2">
        <v>45783</v>
      </c>
      <c r="B82" s="3">
        <v>35.3125</v>
      </c>
    </row>
    <row r="83" spans="1:2" x14ac:dyDescent="0.3">
      <c r="A83" s="2">
        <v>45784</v>
      </c>
      <c r="B83" s="3">
        <v>34.8125</v>
      </c>
    </row>
    <row r="84" spans="1:2" x14ac:dyDescent="0.3">
      <c r="A84" s="2">
        <v>45785</v>
      </c>
      <c r="B84" s="3">
        <v>34.5</v>
      </c>
    </row>
    <row r="85" spans="1:2" x14ac:dyDescent="0.3">
      <c r="A85" s="2">
        <v>45786</v>
      </c>
      <c r="B85" s="3">
        <v>34.25</v>
      </c>
    </row>
    <row r="86" spans="1:2" x14ac:dyDescent="0.3">
      <c r="A86" s="2">
        <v>45789</v>
      </c>
      <c r="B86" s="3">
        <v>33.8125</v>
      </c>
    </row>
    <row r="87" spans="1:2" x14ac:dyDescent="0.3">
      <c r="A87" s="2">
        <v>45790</v>
      </c>
      <c r="B87" s="3">
        <v>34.875</v>
      </c>
    </row>
    <row r="88" spans="1:2" x14ac:dyDescent="0.3">
      <c r="A88" s="2">
        <v>45791</v>
      </c>
      <c r="B88" s="3">
        <v>34.5</v>
      </c>
    </row>
    <row r="89" spans="1:2" x14ac:dyDescent="0.3">
      <c r="A89" s="2">
        <v>45792</v>
      </c>
      <c r="B89" s="3">
        <v>34.5625</v>
      </c>
    </row>
    <row r="90" spans="1:2" x14ac:dyDescent="0.3">
      <c r="A90" s="2">
        <v>45793</v>
      </c>
      <c r="B90" s="3">
        <v>32.0625</v>
      </c>
    </row>
    <row r="91" spans="1:2" x14ac:dyDescent="0.3">
      <c r="A91" s="2">
        <v>45796</v>
      </c>
      <c r="B91" s="3">
        <v>34.6875</v>
      </c>
    </row>
    <row r="92" spans="1:2" x14ac:dyDescent="0.3">
      <c r="A92" s="2">
        <v>45797</v>
      </c>
      <c r="B92" s="3">
        <v>34.6875</v>
      </c>
    </row>
    <row r="93" spans="1:2" x14ac:dyDescent="0.3">
      <c r="A93" s="2">
        <v>45798</v>
      </c>
      <c r="B93" s="3">
        <v>34.125</v>
      </c>
    </row>
    <row r="94" spans="1:2" x14ac:dyDescent="0.3">
      <c r="A94" s="2">
        <v>45799</v>
      </c>
      <c r="B94" s="3">
        <v>34.0625</v>
      </c>
    </row>
    <row r="95" spans="1:2" x14ac:dyDescent="0.3">
      <c r="A95" s="2">
        <v>45800</v>
      </c>
      <c r="B95" s="3">
        <v>34.5625</v>
      </c>
    </row>
    <row r="96" spans="1:2" x14ac:dyDescent="0.3">
      <c r="A96" s="2">
        <v>45803</v>
      </c>
      <c r="B96" s="3">
        <v>33.6875</v>
      </c>
    </row>
    <row r="97" spans="1:2" x14ac:dyDescent="0.3">
      <c r="A97" s="2">
        <v>45804</v>
      </c>
      <c r="B97" s="3">
        <v>34.1875</v>
      </c>
    </row>
    <row r="98" spans="1:2" x14ac:dyDescent="0.3">
      <c r="A98" s="2">
        <v>45805</v>
      </c>
      <c r="B98" s="3">
        <v>33.875</v>
      </c>
    </row>
    <row r="99" spans="1:2" x14ac:dyDescent="0.3">
      <c r="A99" s="2">
        <v>45806</v>
      </c>
      <c r="B99" s="3">
        <v>34.0625</v>
      </c>
    </row>
    <row r="100" spans="1:2" x14ac:dyDescent="0.3">
      <c r="A100" s="2">
        <v>45807</v>
      </c>
      <c r="B100" s="3">
        <v>33.1875</v>
      </c>
    </row>
    <row r="101" spans="1:2" x14ac:dyDescent="0.3">
      <c r="A101" s="2">
        <v>45810</v>
      </c>
      <c r="B101" s="3">
        <v>34.25</v>
      </c>
    </row>
    <row r="102" spans="1:2" x14ac:dyDescent="0.3">
      <c r="A102" s="2">
        <v>45811</v>
      </c>
      <c r="B102" s="3">
        <v>34.4375</v>
      </c>
    </row>
    <row r="103" spans="1:2" x14ac:dyDescent="0.3">
      <c r="A103" s="2">
        <v>45812</v>
      </c>
      <c r="B103" s="3">
        <v>33</v>
      </c>
    </row>
    <row r="104" spans="1:2" x14ac:dyDescent="0.3">
      <c r="A104" s="2">
        <v>45813</v>
      </c>
      <c r="B104" s="3">
        <v>33.5625</v>
      </c>
    </row>
    <row r="105" spans="1:2" x14ac:dyDescent="0.3">
      <c r="A105" s="2">
        <v>45814</v>
      </c>
      <c r="B105" s="3">
        <v>34.0625</v>
      </c>
    </row>
    <row r="106" spans="1:2" x14ac:dyDescent="0.3">
      <c r="A106" s="2">
        <v>45817</v>
      </c>
      <c r="B106" s="3">
        <v>32.9375</v>
      </c>
    </row>
    <row r="107" spans="1:2" x14ac:dyDescent="0.3">
      <c r="A107" s="2">
        <v>45818</v>
      </c>
      <c r="B107" s="3">
        <v>34</v>
      </c>
    </row>
    <row r="108" spans="1:2" x14ac:dyDescent="0.3">
      <c r="A108" s="2">
        <v>45819</v>
      </c>
      <c r="B108" s="3">
        <v>33.75</v>
      </c>
    </row>
    <row r="109" spans="1:2" x14ac:dyDescent="0.3">
      <c r="A109" s="2">
        <v>45820</v>
      </c>
      <c r="B109" s="3">
        <v>33.8125</v>
      </c>
    </row>
    <row r="110" spans="1:2" x14ac:dyDescent="0.3">
      <c r="A110" s="2">
        <v>45821</v>
      </c>
      <c r="B110" s="3">
        <v>33.5625</v>
      </c>
    </row>
    <row r="111" spans="1:2" x14ac:dyDescent="0.3">
      <c r="A111" s="2">
        <v>45825</v>
      </c>
      <c r="B111" s="3">
        <v>33.9375</v>
      </c>
    </row>
    <row r="112" spans="1:2" x14ac:dyDescent="0.3">
      <c r="A112" s="2">
        <v>45826</v>
      </c>
      <c r="B112" s="3">
        <v>32.375</v>
      </c>
    </row>
    <row r="113" spans="1:2" x14ac:dyDescent="0.3">
      <c r="A113" s="2">
        <v>45827</v>
      </c>
      <c r="B113" s="3">
        <v>34.0625</v>
      </c>
    </row>
    <row r="114" spans="1:2" x14ac:dyDescent="0.3">
      <c r="A114" s="2">
        <v>45831</v>
      </c>
      <c r="B114" s="3">
        <v>33.25</v>
      </c>
    </row>
    <row r="115" spans="1:2" x14ac:dyDescent="0.3">
      <c r="A115" s="2">
        <v>45832</v>
      </c>
      <c r="B115" s="3">
        <v>34.25</v>
      </c>
    </row>
    <row r="116" spans="1:2" x14ac:dyDescent="0.3">
      <c r="A116" s="2">
        <v>45833</v>
      </c>
      <c r="B116" s="3">
        <v>34</v>
      </c>
    </row>
    <row r="117" spans="1:2" x14ac:dyDescent="0.3">
      <c r="A117" s="2">
        <v>45834</v>
      </c>
      <c r="B117" s="3">
        <v>33.25</v>
      </c>
    </row>
    <row r="118" spans="1:2" x14ac:dyDescent="0.3">
      <c r="A118" s="2">
        <v>45835</v>
      </c>
      <c r="B118" s="3">
        <v>34.3125</v>
      </c>
    </row>
    <row r="119" spans="1:2" x14ac:dyDescent="0.3">
      <c r="A119" s="2">
        <v>45838</v>
      </c>
      <c r="B119" s="3">
        <v>33.625</v>
      </c>
    </row>
    <row r="120" spans="1:2" x14ac:dyDescent="0.3">
      <c r="A120" s="2">
        <v>45839</v>
      </c>
      <c r="B120" s="3">
        <v>34.1875</v>
      </c>
    </row>
    <row r="121" spans="1:2" x14ac:dyDescent="0.3">
      <c r="A121" s="2">
        <v>45840</v>
      </c>
      <c r="B121" s="3">
        <v>34.1875</v>
      </c>
    </row>
    <row r="122" spans="1:2" x14ac:dyDescent="0.3">
      <c r="A122" s="2">
        <v>45841</v>
      </c>
      <c r="B122" s="3">
        <v>34.0625</v>
      </c>
    </row>
    <row r="123" spans="1:2" x14ac:dyDescent="0.3">
      <c r="A123" s="2">
        <v>45842</v>
      </c>
      <c r="B123" s="3">
        <v>33.75</v>
      </c>
    </row>
    <row r="124" spans="1:2" x14ac:dyDescent="0.3">
      <c r="A124" s="2">
        <v>45845</v>
      </c>
      <c r="B124" s="3">
        <v>33.625</v>
      </c>
    </row>
    <row r="125" spans="1:2" x14ac:dyDescent="0.3">
      <c r="A125" s="2">
        <v>45846</v>
      </c>
      <c r="B125" s="3">
        <v>33.5</v>
      </c>
    </row>
    <row r="126" spans="1:2" x14ac:dyDescent="0.3">
      <c r="A126" s="2">
        <v>45848</v>
      </c>
      <c r="B126" s="3">
        <v>32.8125</v>
      </c>
    </row>
    <row r="127" spans="1:2" x14ac:dyDescent="0.3">
      <c r="A127" s="2">
        <v>45849</v>
      </c>
      <c r="B127" s="3">
        <v>31.125</v>
      </c>
    </row>
    <row r="128" spans="1:2" x14ac:dyDescent="0.3">
      <c r="A128" s="2">
        <v>45852</v>
      </c>
      <c r="B128" s="3">
        <v>29.1875</v>
      </c>
    </row>
    <row r="129" spans="1:2" x14ac:dyDescent="0.3">
      <c r="A129" s="2">
        <v>45853</v>
      </c>
      <c r="B129" s="3">
        <v>29.5</v>
      </c>
    </row>
    <row r="130" spans="1:2" x14ac:dyDescent="0.3">
      <c r="A130" s="2">
        <v>45854</v>
      </c>
      <c r="B130" s="3">
        <v>31.25</v>
      </c>
    </row>
    <row r="131" spans="1:2" x14ac:dyDescent="0.3">
      <c r="A131" s="2">
        <v>45855</v>
      </c>
      <c r="B131" s="3">
        <v>32.375</v>
      </c>
    </row>
    <row r="132" spans="1:2" x14ac:dyDescent="0.3">
      <c r="A132" s="2">
        <v>45856</v>
      </c>
      <c r="B132" s="3">
        <v>33.3125</v>
      </c>
    </row>
    <row r="133" spans="1:2" x14ac:dyDescent="0.3">
      <c r="A133" s="2">
        <v>45859</v>
      </c>
      <c r="B133" s="3">
        <v>34.1875</v>
      </c>
    </row>
    <row r="134" spans="1:2" x14ac:dyDescent="0.3">
      <c r="A134" s="2">
        <v>45860</v>
      </c>
      <c r="B134" s="3">
        <v>37.875</v>
      </c>
    </row>
    <row r="135" spans="1:2" x14ac:dyDescent="0.3">
      <c r="A135" s="2">
        <v>45861</v>
      </c>
      <c r="B135" s="3">
        <v>36.875</v>
      </c>
    </row>
    <row r="136" spans="1:2" x14ac:dyDescent="0.3">
      <c r="A136" s="2">
        <v>45862</v>
      </c>
      <c r="B136" s="3">
        <v>37</v>
      </c>
    </row>
    <row r="137" spans="1:2" x14ac:dyDescent="0.3">
      <c r="A137" s="2">
        <v>45863</v>
      </c>
      <c r="B137" s="3">
        <v>35.625</v>
      </c>
    </row>
    <row r="138" spans="1:2" x14ac:dyDescent="0.3">
      <c r="A138" s="2">
        <v>45866</v>
      </c>
      <c r="B138" s="3">
        <v>35.25</v>
      </c>
    </row>
    <row r="139" spans="1:2" x14ac:dyDescent="0.3">
      <c r="A139" s="2">
        <v>45867</v>
      </c>
      <c r="B139" s="3">
        <v>38</v>
      </c>
    </row>
    <row r="140" spans="1:2" x14ac:dyDescent="0.3">
      <c r="A140" s="2">
        <v>45868</v>
      </c>
      <c r="B140" s="3">
        <v>39.125</v>
      </c>
    </row>
    <row r="141" spans="1:2" x14ac:dyDescent="0.3">
      <c r="A141" s="2">
        <v>45869</v>
      </c>
      <c r="B141" s="3">
        <v>40.25</v>
      </c>
    </row>
    <row r="142" spans="1:2" x14ac:dyDescent="0.3">
      <c r="A142" s="2">
        <v>45870</v>
      </c>
      <c r="B142" s="3">
        <v>41.75</v>
      </c>
    </row>
    <row r="143" spans="1:2" x14ac:dyDescent="0.3">
      <c r="A143" s="2">
        <v>45873</v>
      </c>
      <c r="B143" s="3">
        <v>42.1875</v>
      </c>
    </row>
    <row r="144" spans="1:2" x14ac:dyDescent="0.3">
      <c r="A144" s="2">
        <v>45874</v>
      </c>
      <c r="B144" s="3">
        <v>42.625</v>
      </c>
    </row>
    <row r="145" spans="1:2" x14ac:dyDescent="0.3">
      <c r="A145" s="2">
        <v>45875</v>
      </c>
      <c r="B145" s="3">
        <v>41.75</v>
      </c>
    </row>
    <row r="146" spans="1:2" x14ac:dyDescent="0.3">
      <c r="A146" s="2">
        <v>45876</v>
      </c>
      <c r="B146" s="3">
        <v>43.75</v>
      </c>
    </row>
    <row r="147" spans="1:2" x14ac:dyDescent="0.3">
      <c r="A147" s="2">
        <v>45877</v>
      </c>
      <c r="B147" s="3">
        <v>45.375</v>
      </c>
    </row>
    <row r="148" spans="1:2" x14ac:dyDescent="0.3">
      <c r="A148" s="2">
        <v>45880</v>
      </c>
      <c r="B148" s="3">
        <v>47.75</v>
      </c>
    </row>
    <row r="149" spans="1:2" x14ac:dyDescent="0.3">
      <c r="A149" s="2">
        <v>45881</v>
      </c>
      <c r="B149" s="3">
        <v>49.75</v>
      </c>
    </row>
    <row r="150" spans="1:2" x14ac:dyDescent="0.3">
      <c r="A150" s="2">
        <v>45882</v>
      </c>
      <c r="B150" s="3">
        <v>49.9375</v>
      </c>
    </row>
    <row r="151" spans="1:2" x14ac:dyDescent="0.3">
      <c r="A151" s="2">
        <v>45883</v>
      </c>
      <c r="B151" s="3">
        <v>52.5625</v>
      </c>
    </row>
    <row r="152" spans="1:2" x14ac:dyDescent="0.3">
      <c r="A152" s="2">
        <v>45887</v>
      </c>
      <c r="B152" s="3">
        <v>56.5625</v>
      </c>
    </row>
    <row r="153" spans="1:2" x14ac:dyDescent="0.3">
      <c r="A153" s="2">
        <v>45888</v>
      </c>
      <c r="B153" s="3">
        <v>58.3125</v>
      </c>
    </row>
    <row r="154" spans="1:2" x14ac:dyDescent="0.3">
      <c r="A154" s="2">
        <v>45889</v>
      </c>
      <c r="B154" s="3">
        <v>58.8125</v>
      </c>
    </row>
    <row r="155" spans="1:2" x14ac:dyDescent="0.3">
      <c r="A155" s="2">
        <v>45890</v>
      </c>
      <c r="B155" s="3">
        <v>59.25</v>
      </c>
    </row>
    <row r="156" spans="1:2" x14ac:dyDescent="0.3">
      <c r="A156" s="2">
        <v>45891</v>
      </c>
      <c r="B156" s="3">
        <v>59.8125</v>
      </c>
    </row>
    <row r="157" spans="1:2" x14ac:dyDescent="0.3">
      <c r="A157" s="2">
        <v>45894</v>
      </c>
      <c r="B157" s="3">
        <v>60.25</v>
      </c>
    </row>
    <row r="158" spans="1:2" x14ac:dyDescent="0.3">
      <c r="A158" s="2">
        <v>45895</v>
      </c>
      <c r="B158" s="3">
        <v>64.125</v>
      </c>
    </row>
    <row r="159" spans="1:2" x14ac:dyDescent="0.3">
      <c r="A159" s="2">
        <v>45896</v>
      </c>
      <c r="B159" s="3">
        <v>61.1875</v>
      </c>
    </row>
    <row r="160" spans="1:2" x14ac:dyDescent="0.3">
      <c r="A160" s="2">
        <v>45897</v>
      </c>
      <c r="B160" s="3">
        <v>66.125</v>
      </c>
    </row>
    <row r="161" spans="1:2" x14ac:dyDescent="0.3">
      <c r="A161" s="2">
        <v>45898</v>
      </c>
      <c r="B161" s="3">
        <v>66.1875</v>
      </c>
    </row>
    <row r="162" spans="1:2" x14ac:dyDescent="0.3">
      <c r="A162" s="2">
        <v>45901</v>
      </c>
      <c r="B162" s="3">
        <v>67</v>
      </c>
    </row>
    <row r="163" spans="1:2" x14ac:dyDescent="0.3">
      <c r="A163" s="2">
        <v>45902</v>
      </c>
      <c r="B163" s="3">
        <v>58.4375</v>
      </c>
    </row>
    <row r="164" spans="1:2" x14ac:dyDescent="0.3">
      <c r="A164" s="2">
        <v>45903</v>
      </c>
      <c r="B164" s="3">
        <v>66</v>
      </c>
    </row>
    <row r="165" spans="1:2" x14ac:dyDescent="0.3">
      <c r="A165" s="2">
        <v>45904</v>
      </c>
      <c r="B165" s="3">
        <v>65.9375</v>
      </c>
    </row>
    <row r="166" spans="1:2" x14ac:dyDescent="0.3">
      <c r="A166" s="2">
        <v>45905</v>
      </c>
      <c r="B166" s="3">
        <v>64.0625</v>
      </c>
    </row>
    <row r="167" spans="1:2" x14ac:dyDescent="0.3">
      <c r="A167" s="2">
        <v>45908</v>
      </c>
      <c r="B167" s="3">
        <v>63.5</v>
      </c>
    </row>
    <row r="168" spans="1:2" x14ac:dyDescent="0.3">
      <c r="A168" s="2">
        <v>45909</v>
      </c>
      <c r="B168" s="3">
        <v>64.9375</v>
      </c>
    </row>
    <row r="169" spans="1:2" x14ac:dyDescent="0.3">
      <c r="A169" s="2">
        <v>45910</v>
      </c>
      <c r="B169" s="3">
        <v>59</v>
      </c>
    </row>
    <row r="170" spans="1:2" x14ac:dyDescent="0.3">
      <c r="A170" s="2">
        <v>45911</v>
      </c>
      <c r="B170" s="3">
        <v>52.5</v>
      </c>
    </row>
    <row r="171" spans="1:2" x14ac:dyDescent="0.3">
      <c r="A171" s="2">
        <v>45912</v>
      </c>
      <c r="B171" s="3">
        <v>47.6875</v>
      </c>
    </row>
    <row r="172" spans="1:2" x14ac:dyDescent="0.3">
      <c r="A172" s="2">
        <v>45915</v>
      </c>
      <c r="B172" s="3">
        <v>45.9375</v>
      </c>
    </row>
    <row r="173" spans="1:2" x14ac:dyDescent="0.3">
      <c r="A173" s="2">
        <v>45916</v>
      </c>
      <c r="B173" s="3">
        <v>43.6875</v>
      </c>
    </row>
    <row r="174" spans="1:2" x14ac:dyDescent="0.3">
      <c r="A174" s="2">
        <v>45917</v>
      </c>
      <c r="B174" s="3">
        <v>45.125</v>
      </c>
    </row>
    <row r="175" spans="1:2" x14ac:dyDescent="0.3">
      <c r="A175" s="2">
        <v>45918</v>
      </c>
      <c r="B175" s="3">
        <v>46.375</v>
      </c>
    </row>
    <row r="176" spans="1:2" x14ac:dyDescent="0.3">
      <c r="A176" s="2">
        <v>45919</v>
      </c>
      <c r="B176" s="3">
        <v>47.5625</v>
      </c>
    </row>
    <row r="177" spans="1:2" x14ac:dyDescent="0.3">
      <c r="A177" s="2">
        <v>45922</v>
      </c>
      <c r="B177" s="3">
        <v>48.1875</v>
      </c>
    </row>
    <row r="178" spans="1:2" x14ac:dyDescent="0.3">
      <c r="A178" s="2">
        <v>45923</v>
      </c>
      <c r="B178" s="3">
        <v>48.8125</v>
      </c>
    </row>
    <row r="179" spans="1:2" x14ac:dyDescent="0.3">
      <c r="A179" s="2">
        <v>45924</v>
      </c>
      <c r="B179" s="3">
        <v>44.1875</v>
      </c>
    </row>
    <row r="180" spans="1:2" x14ac:dyDescent="0.3">
      <c r="A180" s="2">
        <v>45925</v>
      </c>
      <c r="B180" s="3">
        <v>41.625</v>
      </c>
    </row>
    <row r="181" spans="1:2" x14ac:dyDescent="0.3">
      <c r="A181" s="2">
        <v>45926</v>
      </c>
      <c r="B181" s="3">
        <v>41</v>
      </c>
    </row>
    <row r="182" spans="1:2" x14ac:dyDescent="0.3">
      <c r="A182" s="2">
        <v>45929</v>
      </c>
      <c r="B182" s="3">
        <v>41.5</v>
      </c>
    </row>
    <row r="183" spans="1:2" x14ac:dyDescent="0.3">
      <c r="A183" s="2">
        <v>45930</v>
      </c>
      <c r="B183" s="3">
        <v>42.375</v>
      </c>
    </row>
    <row r="184" spans="1:2" x14ac:dyDescent="0.3">
      <c r="A184" s="2">
        <v>45931</v>
      </c>
      <c r="B184" s="3">
        <v>42.875</v>
      </c>
    </row>
    <row r="185" spans="1:2" x14ac:dyDescent="0.3">
      <c r="A185" s="2">
        <v>45932</v>
      </c>
      <c r="B185" s="3">
        <v>42</v>
      </c>
    </row>
    <row r="186" spans="1:2" x14ac:dyDescent="0.3">
      <c r="A186" s="2">
        <v>45933</v>
      </c>
      <c r="B186" s="3">
        <v>44.125</v>
      </c>
    </row>
    <row r="187" spans="1:2" x14ac:dyDescent="0.3">
      <c r="A187" s="2">
        <v>45936</v>
      </c>
      <c r="B187" s="3">
        <v>44.75</v>
      </c>
    </row>
    <row r="188" spans="1:2" x14ac:dyDescent="0.3">
      <c r="A188" s="2">
        <v>45937</v>
      </c>
      <c r="B188" s="3">
        <v>47.125</v>
      </c>
    </row>
    <row r="189" spans="1:2" x14ac:dyDescent="0.3">
      <c r="A189" s="2">
        <v>45938</v>
      </c>
      <c r="B189" s="3">
        <v>50.1875</v>
      </c>
    </row>
    <row r="190" spans="1:2" x14ac:dyDescent="0.3">
      <c r="A190" s="2">
        <v>45939</v>
      </c>
      <c r="B190" s="3">
        <v>54.375</v>
      </c>
    </row>
    <row r="191" spans="1:2" x14ac:dyDescent="0.3">
      <c r="A191" s="2">
        <v>45940</v>
      </c>
      <c r="B191" s="3">
        <v>54.375</v>
      </c>
    </row>
    <row r="192" spans="1:2" x14ac:dyDescent="0.3">
      <c r="A192" s="2">
        <v>45943</v>
      </c>
      <c r="B192" s="3">
        <v>53.75</v>
      </c>
    </row>
    <row r="193" spans="1:2" x14ac:dyDescent="0.3">
      <c r="A193" s="2">
        <v>45944</v>
      </c>
      <c r="B193" s="3">
        <v>59.125</v>
      </c>
    </row>
    <row r="194" spans="1:2" x14ac:dyDescent="0.3">
      <c r="A194" s="2">
        <v>45945</v>
      </c>
      <c r="B194" s="3">
        <v>66</v>
      </c>
    </row>
    <row r="195" spans="1:2" x14ac:dyDescent="0.3">
      <c r="A195" s="2">
        <v>45946</v>
      </c>
      <c r="B195" s="3">
        <v>60.125</v>
      </c>
    </row>
    <row r="196" spans="1:2" x14ac:dyDescent="0.3">
      <c r="A196" s="2">
        <v>45947</v>
      </c>
      <c r="B196" s="3">
        <v>57.9375</v>
      </c>
    </row>
    <row r="197" spans="1:2" x14ac:dyDescent="0.3">
      <c r="A197" s="2">
        <v>45950</v>
      </c>
      <c r="B197" s="3">
        <v>53.0625</v>
      </c>
    </row>
    <row r="198" spans="1:2" x14ac:dyDescent="0.3">
      <c r="A198" s="2">
        <v>45951</v>
      </c>
      <c r="B198" s="3">
        <v>52.8125</v>
      </c>
    </row>
    <row r="199" spans="1:2" x14ac:dyDescent="0.3">
      <c r="A199" s="2">
        <v>45952</v>
      </c>
      <c r="B199" s="3">
        <v>53.6875</v>
      </c>
    </row>
    <row r="200" spans="1:2" x14ac:dyDescent="0.3">
      <c r="A200" s="2">
        <v>45953</v>
      </c>
      <c r="B200" s="3">
        <v>54.875</v>
      </c>
    </row>
    <row r="201" spans="1:2" x14ac:dyDescent="0.3">
      <c r="A201" s="2">
        <v>45954</v>
      </c>
      <c r="B201" s="3">
        <v>58.5</v>
      </c>
    </row>
    <row r="202" spans="1:2" x14ac:dyDescent="0.3">
      <c r="A202" s="2">
        <v>45957</v>
      </c>
      <c r="B202" s="3">
        <v>45.9375</v>
      </c>
    </row>
    <row r="203" spans="1:2" x14ac:dyDescent="0.3">
      <c r="A203" s="2">
        <v>45958</v>
      </c>
      <c r="B203" s="3">
        <v>49.1875</v>
      </c>
    </row>
    <row r="204" spans="1:2" x14ac:dyDescent="0.3">
      <c r="A204" s="2">
        <v>45959</v>
      </c>
      <c r="B204" s="3">
        <v>44.625</v>
      </c>
    </row>
    <row r="205" spans="1:2" x14ac:dyDescent="0.3">
      <c r="A205" s="2">
        <v>45960</v>
      </c>
      <c r="B205" s="3">
        <v>43.375</v>
      </c>
    </row>
    <row r="206" spans="1:2" x14ac:dyDescent="0.3">
      <c r="A206" s="2">
        <v>45961</v>
      </c>
      <c r="B206" s="3">
        <v>38.3125</v>
      </c>
    </row>
    <row r="207" spans="1:2" x14ac:dyDescent="0.3">
      <c r="A207" s="2">
        <v>45964</v>
      </c>
      <c r="B207" s="3">
        <v>36.75</v>
      </c>
    </row>
    <row r="208" spans="1:2" x14ac:dyDescent="0.3">
      <c r="A208" s="2">
        <v>45965</v>
      </c>
      <c r="B208" s="3">
        <v>37.5625</v>
      </c>
    </row>
    <row r="209" spans="1:2" x14ac:dyDescent="0.3">
      <c r="A209" s="2">
        <v>45966</v>
      </c>
      <c r="B209" s="3">
        <v>36.3125</v>
      </c>
    </row>
    <row r="210" spans="1:2" x14ac:dyDescent="0.3">
      <c r="A210" s="2">
        <v>45968</v>
      </c>
      <c r="B210" s="3">
        <v>34.8125</v>
      </c>
    </row>
    <row r="211" spans="1:2" x14ac:dyDescent="0.3">
      <c r="A211" s="2">
        <v>45971</v>
      </c>
      <c r="B211" s="3">
        <v>34.75</v>
      </c>
    </row>
    <row r="212" spans="1:2" x14ac:dyDescent="0.3">
      <c r="A212" s="2">
        <v>45972</v>
      </c>
      <c r="B212" s="3">
        <v>35</v>
      </c>
    </row>
    <row r="213" spans="1:2" x14ac:dyDescent="0.3">
      <c r="A213" s="2">
        <v>45973</v>
      </c>
      <c r="B213" s="3">
        <v>34.625</v>
      </c>
    </row>
    <row r="214" spans="1:2" x14ac:dyDescent="0.3">
      <c r="A214" s="2">
        <v>45974</v>
      </c>
      <c r="B214" s="3">
        <v>33.9375</v>
      </c>
    </row>
    <row r="215" spans="1:2" x14ac:dyDescent="0.3">
      <c r="A215" s="2">
        <v>45975</v>
      </c>
      <c r="B215" s="3">
        <v>33.4375</v>
      </c>
    </row>
    <row r="216" spans="1:2" x14ac:dyDescent="0.3">
      <c r="A216" s="2">
        <v>45978</v>
      </c>
      <c r="B216" s="3">
        <v>33</v>
      </c>
    </row>
    <row r="217" spans="1:2" x14ac:dyDescent="0.3">
      <c r="A217" s="2">
        <v>45979</v>
      </c>
      <c r="B217" s="3">
        <v>33.5</v>
      </c>
    </row>
    <row r="218" spans="1:2" x14ac:dyDescent="0.3">
      <c r="A218" s="2">
        <v>45980</v>
      </c>
      <c r="B218" s="3">
        <v>33.8125</v>
      </c>
    </row>
    <row r="219" spans="1:2" x14ac:dyDescent="0.3">
      <c r="A219" s="2">
        <v>45981</v>
      </c>
      <c r="B219" s="3">
        <v>31.6875</v>
      </c>
    </row>
    <row r="220" spans="1:2" x14ac:dyDescent="0.3">
      <c r="A220" s="2">
        <v>45986</v>
      </c>
      <c r="B220" s="3">
        <v>32.0625</v>
      </c>
    </row>
    <row r="221" spans="1:2" x14ac:dyDescent="0.3">
      <c r="A221" s="2">
        <v>45987</v>
      </c>
      <c r="B221" s="3">
        <v>31.6875</v>
      </c>
    </row>
    <row r="222" spans="1:2" x14ac:dyDescent="0.3">
      <c r="A222" s="2">
        <v>45988</v>
      </c>
      <c r="B222" s="3">
        <v>31.75</v>
      </c>
    </row>
    <row r="223" spans="1:2" x14ac:dyDescent="0.3">
      <c r="A223" s="2">
        <v>45989</v>
      </c>
      <c r="B223" s="3">
        <v>31.4375</v>
      </c>
    </row>
    <row r="224" spans="1:2" x14ac:dyDescent="0.3">
      <c r="A224" s="2">
        <v>45992</v>
      </c>
      <c r="B224" s="3">
        <v>30.9375</v>
      </c>
    </row>
    <row r="225" spans="1:2" x14ac:dyDescent="0.3">
      <c r="A225" s="2">
        <v>45993</v>
      </c>
      <c r="B225" s="3">
        <v>29.6875</v>
      </c>
    </row>
    <row r="226" spans="1:2" x14ac:dyDescent="0.3">
      <c r="A226" s="2">
        <v>45994</v>
      </c>
      <c r="B226" s="3">
        <v>27.8125</v>
      </c>
    </row>
    <row r="227" spans="1:2" x14ac:dyDescent="0.3">
      <c r="A227" s="2">
        <v>45995</v>
      </c>
      <c r="B227" s="3">
        <v>26.625</v>
      </c>
    </row>
    <row r="228" spans="1:2" x14ac:dyDescent="0.3">
      <c r="A228" s="2">
        <v>45996</v>
      </c>
      <c r="B228" s="3">
        <v>26.8125</v>
      </c>
    </row>
    <row r="229" spans="1:2" x14ac:dyDescent="0.3">
      <c r="A229" s="2">
        <v>46000</v>
      </c>
      <c r="B229" s="3">
        <v>26.4375</v>
      </c>
    </row>
    <row r="230" spans="1:2" x14ac:dyDescent="0.3">
      <c r="A230" s="2">
        <v>46001</v>
      </c>
      <c r="B230" s="3">
        <v>26.6875</v>
      </c>
    </row>
    <row r="231" spans="1:2" x14ac:dyDescent="0.3">
      <c r="A231" s="2">
        <v>46002</v>
      </c>
      <c r="B231" s="3">
        <v>26.75</v>
      </c>
    </row>
    <row r="232" spans="1:2" x14ac:dyDescent="0.3">
      <c r="A232" s="2">
        <v>46003</v>
      </c>
      <c r="B232" s="3">
        <v>26.75</v>
      </c>
    </row>
    <row r="233" spans="1:2" x14ac:dyDescent="0.3">
      <c r="A233" s="2">
        <v>46006</v>
      </c>
      <c r="B233" s="3">
        <v>26.75</v>
      </c>
    </row>
    <row r="234" spans="1:2" x14ac:dyDescent="0.3">
      <c r="A234" s="2">
        <v>46007</v>
      </c>
      <c r="B234" s="3">
        <v>27.125</v>
      </c>
    </row>
    <row r="235" spans="1:2" x14ac:dyDescent="0.3">
      <c r="A235" s="2">
        <v>46008</v>
      </c>
      <c r="B235" s="3">
        <v>27.375</v>
      </c>
    </row>
    <row r="236" spans="1:2" x14ac:dyDescent="0.3">
      <c r="A236" s="2">
        <v>46009</v>
      </c>
      <c r="B236" s="3">
        <v>27.3125</v>
      </c>
    </row>
    <row r="237" spans="1:2" x14ac:dyDescent="0.3">
      <c r="A237" s="2">
        <v>46010</v>
      </c>
      <c r="B237" s="3">
        <v>28.25</v>
      </c>
    </row>
    <row r="238" spans="1:2" x14ac:dyDescent="0.3">
      <c r="A238" s="2">
        <v>46013</v>
      </c>
      <c r="B238" s="3">
        <v>28.375</v>
      </c>
    </row>
    <row r="239" spans="1:2" x14ac:dyDescent="0.3">
      <c r="A239" s="2">
        <v>46014</v>
      </c>
      <c r="B239" s="3">
        <v>29.4375</v>
      </c>
    </row>
    <row r="240" spans="1:2" x14ac:dyDescent="0.3">
      <c r="A240" s="2">
        <v>46017</v>
      </c>
      <c r="B240" s="3">
        <v>28.6875</v>
      </c>
    </row>
    <row r="241" spans="1:3" x14ac:dyDescent="0.3">
      <c r="A241" s="2">
        <v>46020</v>
      </c>
      <c r="B241" s="3">
        <v>27.9375</v>
      </c>
    </row>
    <row r="242" spans="1:3" x14ac:dyDescent="0.3">
      <c r="A242" s="2">
        <v>46021</v>
      </c>
      <c r="B242" s="3">
        <v>28.875</v>
      </c>
    </row>
    <row r="243" spans="1:3" x14ac:dyDescent="0.3">
      <c r="A243" s="2">
        <v>46024</v>
      </c>
      <c r="B243" s="3">
        <v>29.375</v>
      </c>
    </row>
    <row r="244" spans="1:3" x14ac:dyDescent="0.3">
      <c r="A244" s="2">
        <v>46027</v>
      </c>
      <c r="B244" s="3">
        <v>28.75</v>
      </c>
    </row>
    <row r="245" spans="1:3" x14ac:dyDescent="0.3">
      <c r="A245" s="2">
        <v>46028</v>
      </c>
      <c r="B245" s="3">
        <v>29.375</v>
      </c>
    </row>
    <row r="246" spans="1:3" x14ac:dyDescent="0.3">
      <c r="A246" s="2">
        <v>46029</v>
      </c>
      <c r="B246" s="3">
        <v>31.75</v>
      </c>
    </row>
    <row r="247" spans="1:3" x14ac:dyDescent="0.3">
      <c r="A247" s="2">
        <v>46030</v>
      </c>
      <c r="B247" s="3">
        <v>33.125</v>
      </c>
    </row>
    <row r="248" spans="1:3" x14ac:dyDescent="0.3">
      <c r="A248" s="2">
        <v>46031</v>
      </c>
      <c r="B248" s="3">
        <v>32.625</v>
      </c>
    </row>
    <row r="249" spans="1:3" x14ac:dyDescent="0.3">
      <c r="A249" s="2">
        <v>46034</v>
      </c>
      <c r="B249" s="3">
        <v>32.4375</v>
      </c>
    </row>
    <row r="250" spans="1:3" x14ac:dyDescent="0.3">
      <c r="A250" s="2">
        <v>46035</v>
      </c>
      <c r="B250" s="3">
        <v>34.4375</v>
      </c>
    </row>
    <row r="251" spans="1:3" x14ac:dyDescent="0.3">
      <c r="A251" s="2">
        <v>46036</v>
      </c>
      <c r="B251" s="3">
        <v>34.9375</v>
      </c>
    </row>
    <row r="252" spans="1:3" x14ac:dyDescent="0.3">
      <c r="A252" s="2">
        <v>46037</v>
      </c>
      <c r="B252" s="3">
        <v>35.6875</v>
      </c>
    </row>
    <row r="253" spans="1:3" x14ac:dyDescent="0.3">
      <c r="A253" s="2">
        <v>46038</v>
      </c>
      <c r="B253" s="3">
        <v>35.5625</v>
      </c>
    </row>
    <row r="254" spans="1:3" x14ac:dyDescent="0.3">
      <c r="A254" s="2">
        <v>46041</v>
      </c>
      <c r="B254" s="3">
        <v>36.6875</v>
      </c>
    </row>
    <row r="255" spans="1:3" x14ac:dyDescent="0.3">
      <c r="A255" s="2">
        <v>46042</v>
      </c>
      <c r="B255" s="3">
        <v>36.6875</v>
      </c>
    </row>
    <row r="256" spans="1:3" x14ac:dyDescent="0.3">
      <c r="A256" s="2">
        <v>46043</v>
      </c>
      <c r="B256" s="3">
        <v>36.9375</v>
      </c>
      <c r="C256" t="s">
        <v>5</v>
      </c>
    </row>
    <row r="257" spans="1:3" x14ac:dyDescent="0.3">
      <c r="A257" s="2">
        <v>46044</v>
      </c>
      <c r="B257" s="3">
        <v>38.0625</v>
      </c>
    </row>
    <row r="258" spans="1:3" x14ac:dyDescent="0.3">
      <c r="A258" s="2">
        <v>46045</v>
      </c>
      <c r="B258" s="3">
        <v>37.8125</v>
      </c>
    </row>
    <row r="259" spans="1:3" x14ac:dyDescent="0.3">
      <c r="A259" s="2">
        <v>46048</v>
      </c>
      <c r="B259" s="3">
        <v>35.625</v>
      </c>
    </row>
    <row r="260" spans="1:3" x14ac:dyDescent="0.3">
      <c r="A260" s="2">
        <v>46049</v>
      </c>
      <c r="B260" s="3">
        <v>34.5</v>
      </c>
    </row>
    <row r="261" spans="1:3" x14ac:dyDescent="0.3">
      <c r="A261" s="2">
        <v>46050</v>
      </c>
      <c r="B261" s="3">
        <v>32.625</v>
      </c>
    </row>
    <row r="262" spans="1:3" x14ac:dyDescent="0.3">
      <c r="A262" s="2">
        <v>46051</v>
      </c>
      <c r="B262" s="3">
        <v>31.75</v>
      </c>
    </row>
    <row r="263" spans="1:3" x14ac:dyDescent="0.3">
      <c r="A263" s="2">
        <v>46052</v>
      </c>
      <c r="B263" s="3">
        <v>32.9375</v>
      </c>
      <c r="C263" t="s">
        <v>5</v>
      </c>
    </row>
    <row r="264" spans="1:3" x14ac:dyDescent="0.3">
      <c r="A264" s="2">
        <v>46055</v>
      </c>
      <c r="B264" s="3">
        <v>32.6875</v>
      </c>
    </row>
    <row r="265" spans="1:3" x14ac:dyDescent="0.3">
      <c r="A265" s="2">
        <v>46056</v>
      </c>
      <c r="B265" s="3">
        <v>34</v>
      </c>
    </row>
    <row r="266" spans="1:3" x14ac:dyDescent="0.3">
      <c r="A266" s="2">
        <v>46057</v>
      </c>
      <c r="B266" s="3">
        <v>32.5625</v>
      </c>
    </row>
    <row r="267" spans="1:3" x14ac:dyDescent="0.3">
      <c r="A267" s="2">
        <v>46058</v>
      </c>
      <c r="B267" s="3">
        <v>32.1875</v>
      </c>
    </row>
    <row r="268" spans="1:3" x14ac:dyDescent="0.3">
      <c r="A268" s="2">
        <v>46059</v>
      </c>
      <c r="B268" s="3">
        <v>31.8125</v>
      </c>
    </row>
    <row r="269" spans="1:3" x14ac:dyDescent="0.3">
      <c r="A269" s="2">
        <v>46062</v>
      </c>
      <c r="B269" s="3">
        <v>31.1875</v>
      </c>
    </row>
    <row r="270" spans="1:3" x14ac:dyDescent="0.3">
      <c r="A270" s="2">
        <v>46063</v>
      </c>
      <c r="B270" s="3">
        <v>31.375</v>
      </c>
    </row>
    <row r="271" spans="1:3" x14ac:dyDescent="0.3">
      <c r="A271" s="2">
        <v>46064</v>
      </c>
      <c r="B271" s="3">
        <v>31.5625</v>
      </c>
    </row>
    <row r="272" spans="1:3" x14ac:dyDescent="0.3">
      <c r="A272" s="2">
        <v>46065</v>
      </c>
      <c r="B272" s="3">
        <v>32.375</v>
      </c>
    </row>
    <row r="273" spans="1:2" x14ac:dyDescent="0.3">
      <c r="A273" s="2">
        <v>46066</v>
      </c>
      <c r="B273" s="3">
        <v>33.4375</v>
      </c>
    </row>
    <row r="274" spans="1:2" x14ac:dyDescent="0.3">
      <c r="A274" s="2">
        <v>46071</v>
      </c>
      <c r="B274" s="3">
        <v>33.6875</v>
      </c>
    </row>
    <row r="275" spans="1:2" x14ac:dyDescent="0.3">
      <c r="A275" s="2">
        <v>46072</v>
      </c>
      <c r="B275" s="3">
        <v>34.625</v>
      </c>
    </row>
    <row r="276" spans="1:2" x14ac:dyDescent="0.3">
      <c r="A276" s="2">
        <v>46073</v>
      </c>
      <c r="B276" s="3">
        <v>34.875</v>
      </c>
    </row>
    <row r="277" spans="1:2" x14ac:dyDescent="0.3">
      <c r="A277" s="2">
        <v>46076</v>
      </c>
      <c r="B277" s="3">
        <v>36.5</v>
      </c>
    </row>
    <row r="278" spans="1:2" x14ac:dyDescent="0.3">
      <c r="A278" s="2">
        <v>46077</v>
      </c>
      <c r="B278" s="3">
        <v>35.625</v>
      </c>
    </row>
    <row r="279" spans="1:2" x14ac:dyDescent="0.3">
      <c r="A279" s="2">
        <v>46078</v>
      </c>
      <c r="B279" s="3">
        <v>33.25</v>
      </c>
    </row>
    <row r="280" spans="1:2" x14ac:dyDescent="0.3">
      <c r="A280" s="2">
        <v>46079</v>
      </c>
      <c r="B280" s="3">
        <v>31.25</v>
      </c>
    </row>
    <row r="281" spans="1:2" x14ac:dyDescent="0.3">
      <c r="A281" s="2">
        <v>46080</v>
      </c>
      <c r="B281" s="3">
        <v>31.0625</v>
      </c>
    </row>
    <row r="282" spans="1:2" x14ac:dyDescent="0.3">
      <c r="A282" s="2">
        <v>46083</v>
      </c>
      <c r="B282" s="3">
        <v>30.75</v>
      </c>
    </row>
    <row r="283" spans="1:2" x14ac:dyDescent="0.3">
      <c r="A283" s="2">
        <v>46084</v>
      </c>
      <c r="B283" s="3">
        <v>31</v>
      </c>
    </row>
    <row r="284" spans="1:2" x14ac:dyDescent="0.3">
      <c r="A284" s="2">
        <v>46085</v>
      </c>
      <c r="B284" s="3">
        <v>31</v>
      </c>
    </row>
    <row r="285" spans="1:2" x14ac:dyDescent="0.3">
      <c r="A285" s="2">
        <v>46086</v>
      </c>
      <c r="B285" s="3">
        <v>31.25</v>
      </c>
    </row>
    <row r="286" spans="1:2" x14ac:dyDescent="0.3">
      <c r="A286" s="2">
        <v>46087</v>
      </c>
      <c r="B286" s="3">
        <v>30.875</v>
      </c>
    </row>
    <row r="287" spans="1:2" x14ac:dyDescent="0.3">
      <c r="A287" s="2">
        <v>46090</v>
      </c>
      <c r="B287" s="3">
        <v>30.875</v>
      </c>
    </row>
    <row r="288" spans="1:2" x14ac:dyDescent="0.3">
      <c r="A288" s="2">
        <v>46091</v>
      </c>
      <c r="B288" s="3">
        <v>31.0625</v>
      </c>
    </row>
    <row r="289" spans="1:2" x14ac:dyDescent="0.3">
      <c r="A289" s="2">
        <v>46092</v>
      </c>
      <c r="B289" s="3">
        <v>31</v>
      </c>
    </row>
    <row r="290" spans="1:2" x14ac:dyDescent="0.3">
      <c r="A290" s="2">
        <v>46093</v>
      </c>
      <c r="B290" s="3">
        <v>31</v>
      </c>
    </row>
    <row r="291" spans="1:2" x14ac:dyDescent="0.3">
      <c r="A291" s="2">
        <v>46094</v>
      </c>
      <c r="B291" s="3">
        <v>31.0625</v>
      </c>
    </row>
    <row r="292" spans="1:2" x14ac:dyDescent="0.3">
      <c r="A292" s="2">
        <v>46097</v>
      </c>
      <c r="B292" s="3">
        <v>30.625</v>
      </c>
    </row>
    <row r="293" spans="1:2" x14ac:dyDescent="0.3">
      <c r="A293" s="2">
        <v>46098</v>
      </c>
      <c r="B293" s="3">
        <v>28.8125</v>
      </c>
    </row>
    <row r="294" spans="1:2" x14ac:dyDescent="0.3">
      <c r="A294" s="2">
        <v>46099</v>
      </c>
      <c r="B294" s="3">
        <v>27.1875</v>
      </c>
    </row>
    <row r="295" spans="1:2" x14ac:dyDescent="0.3">
      <c r="A295" s="2">
        <v>46100</v>
      </c>
      <c r="B295" s="3">
        <v>26.5625</v>
      </c>
    </row>
    <row r="296" spans="1:2" x14ac:dyDescent="0.3">
      <c r="A296" s="2">
        <v>46101</v>
      </c>
      <c r="B296" s="3">
        <v>26.75</v>
      </c>
    </row>
    <row r="297" spans="1:2" x14ac:dyDescent="0.3">
      <c r="A297" s="2">
        <v>46106</v>
      </c>
      <c r="B297" s="3">
        <v>26.4375</v>
      </c>
    </row>
    <row r="298" spans="1:2" x14ac:dyDescent="0.3">
      <c r="A298" s="2">
        <v>46107</v>
      </c>
      <c r="B298" s="3">
        <v>26.3125</v>
      </c>
    </row>
    <row r="299" spans="1:2" x14ac:dyDescent="0.3">
      <c r="A299" s="2">
        <v>46108</v>
      </c>
      <c r="B299" s="3">
        <v>26.125</v>
      </c>
    </row>
    <row r="300" spans="1:2" x14ac:dyDescent="0.3">
      <c r="A300" s="2">
        <v>46111</v>
      </c>
      <c r="B300" s="3">
        <v>26.1875</v>
      </c>
    </row>
    <row r="301" spans="1:2" x14ac:dyDescent="0.3">
      <c r="A301" s="2">
        <v>46112</v>
      </c>
      <c r="B301" s="3">
        <v>26.3125</v>
      </c>
    </row>
    <row r="302" spans="1:2" x14ac:dyDescent="0.3">
      <c r="A302" s="2">
        <v>46113</v>
      </c>
      <c r="B302" s="3">
        <v>26.25</v>
      </c>
    </row>
    <row r="303" spans="1:2" x14ac:dyDescent="0.3">
      <c r="A303" s="2">
        <v>46118</v>
      </c>
      <c r="B303" s="3">
        <v>26.125</v>
      </c>
    </row>
    <row r="304" spans="1:2" x14ac:dyDescent="0.3">
      <c r="A304" s="2">
        <v>46119</v>
      </c>
      <c r="B304" s="3">
        <v>26.1875</v>
      </c>
    </row>
    <row r="305" spans="1:2" x14ac:dyDescent="0.3">
      <c r="A305" s="2">
        <v>46120</v>
      </c>
      <c r="B305" s="3">
        <v>25.625</v>
      </c>
    </row>
    <row r="306" spans="1:2" x14ac:dyDescent="0.3">
      <c r="A306" s="2">
        <v>46121</v>
      </c>
      <c r="B306" s="3">
        <v>23.4375</v>
      </c>
    </row>
    <row r="307" spans="1:2" x14ac:dyDescent="0.3">
      <c r="A307" s="2">
        <v>46122</v>
      </c>
      <c r="B307" s="3">
        <v>22.8125</v>
      </c>
    </row>
    <row r="308" spans="1:2" x14ac:dyDescent="0.3">
      <c r="A308" s="2">
        <v>46125</v>
      </c>
      <c r="B308" s="3">
        <v>22.5</v>
      </c>
    </row>
    <row r="309" spans="1:2" x14ac:dyDescent="0.3">
      <c r="A309" s="2">
        <v>46126</v>
      </c>
      <c r="B309" s="3">
        <v>23.0625</v>
      </c>
    </row>
    <row r="310" spans="1:2" x14ac:dyDescent="0.3">
      <c r="A310" s="2">
        <v>46127</v>
      </c>
      <c r="B310" s="3">
        <v>22.875</v>
      </c>
    </row>
    <row r="311" spans="1:2" x14ac:dyDescent="0.3">
      <c r="A311" s="2">
        <v>46128</v>
      </c>
      <c r="B311" s="3">
        <v>23.125</v>
      </c>
    </row>
    <row r="312" spans="1:2" x14ac:dyDescent="0.3">
      <c r="A312" s="2">
        <v>46129</v>
      </c>
      <c r="B312" s="3">
        <v>22.75</v>
      </c>
    </row>
    <row r="313" spans="1:2" x14ac:dyDescent="0.3">
      <c r="A313" s="2">
        <v>46132</v>
      </c>
      <c r="B313" s="3">
        <v>22.3125</v>
      </c>
    </row>
    <row r="314" spans="1:2" x14ac:dyDescent="0.3">
      <c r="A314" s="2">
        <v>46133</v>
      </c>
      <c r="B314" s="3">
        <v>22.4375</v>
      </c>
    </row>
    <row r="315" spans="1:2" x14ac:dyDescent="0.3">
      <c r="A315" s="2">
        <v>46134</v>
      </c>
      <c r="B315" s="3">
        <v>22.5</v>
      </c>
    </row>
    <row r="316" spans="1:2" x14ac:dyDescent="0.3">
      <c r="A316" s="2">
        <v>46135</v>
      </c>
      <c r="B316" s="3">
        <v>22.5625</v>
      </c>
    </row>
    <row r="317" spans="1:2" x14ac:dyDescent="0.3">
      <c r="A317" s="2">
        <v>46136</v>
      </c>
      <c r="B317" s="3">
        <v>22.4375</v>
      </c>
    </row>
    <row r="318" spans="1:2" x14ac:dyDescent="0.3">
      <c r="A318" s="2">
        <v>46139</v>
      </c>
      <c r="B318" s="3">
        <v>22.3125</v>
      </c>
    </row>
    <row r="319" spans="1:2" x14ac:dyDescent="0.3">
      <c r="A319" s="2">
        <v>46140</v>
      </c>
      <c r="B319" s="3">
        <v>22.625</v>
      </c>
    </row>
    <row r="320" spans="1:2" x14ac:dyDescent="0.3">
      <c r="A320" s="2">
        <v>46141</v>
      </c>
      <c r="B320" s="3">
        <v>22.625</v>
      </c>
    </row>
    <row r="321" spans="1:2" x14ac:dyDescent="0.3">
      <c r="A321" s="2">
        <v>46142</v>
      </c>
      <c r="B321" s="3">
        <v>23.125</v>
      </c>
    </row>
    <row r="322" spans="1:2" x14ac:dyDescent="0.3">
      <c r="A322" s="2">
        <v>46146</v>
      </c>
      <c r="B322" s="3">
        <v>23.125</v>
      </c>
    </row>
    <row r="323" spans="1:2" x14ac:dyDescent="0.3">
      <c r="A323" s="2">
        <v>46147</v>
      </c>
      <c r="B323" s="3">
        <v>23.4375</v>
      </c>
    </row>
    <row r="324" spans="1:2" x14ac:dyDescent="0.3">
      <c r="A324" s="2">
        <v>46148</v>
      </c>
      <c r="B324" s="3">
        <v>22.75</v>
      </c>
    </row>
    <row r="325" spans="1:2" x14ac:dyDescent="0.3">
      <c r="A325" s="2">
        <v>46149</v>
      </c>
      <c r="B325" s="3">
        <v>22.8125</v>
      </c>
    </row>
    <row r="326" spans="1:2" x14ac:dyDescent="0.3">
      <c r="A326" s="2">
        <v>46150</v>
      </c>
      <c r="B326" s="3">
        <v>22.5625</v>
      </c>
    </row>
    <row r="327" spans="1:2" x14ac:dyDescent="0.3">
      <c r="A327" s="2">
        <v>46153</v>
      </c>
      <c r="B327" s="3">
        <v>22.75</v>
      </c>
    </row>
    <row r="328" spans="1:2" x14ac:dyDescent="0.3">
      <c r="A328" s="2">
        <v>46154</v>
      </c>
      <c r="B328" s="3">
        <v>22.625</v>
      </c>
    </row>
    <row r="329" spans="1:2" x14ac:dyDescent="0.3">
      <c r="A329" s="2">
        <v>46155</v>
      </c>
      <c r="B329" s="3">
        <v>22.5</v>
      </c>
    </row>
    <row r="330" spans="1:2" x14ac:dyDescent="0.3">
      <c r="A330" s="2">
        <v>46156</v>
      </c>
      <c r="B330" s="3">
        <v>22.8125</v>
      </c>
    </row>
    <row r="331" spans="1:2" x14ac:dyDescent="0.3">
      <c r="A331" s="2">
        <v>46157</v>
      </c>
      <c r="B331" s="3">
        <v>22.8125</v>
      </c>
    </row>
    <row r="332" spans="1:2" x14ac:dyDescent="0.3">
      <c r="A332" s="2">
        <v>46160</v>
      </c>
      <c r="B332" s="3">
        <v>22.8125</v>
      </c>
    </row>
    <row r="333" spans="1:2" x14ac:dyDescent="0.3">
      <c r="A333" s="2">
        <v>46161</v>
      </c>
      <c r="B333" s="3">
        <v>22.9375</v>
      </c>
    </row>
    <row r="334" spans="1:2" x14ac:dyDescent="0.3">
      <c r="A334" s="2">
        <v>46162</v>
      </c>
      <c r="B334" s="3">
        <v>22.75</v>
      </c>
    </row>
    <row r="335" spans="1:2" x14ac:dyDescent="0.3">
      <c r="A335" s="2">
        <v>46163</v>
      </c>
      <c r="B335" s="3">
        <v>22.9375</v>
      </c>
    </row>
    <row r="336" spans="1:2" x14ac:dyDescent="0.3">
      <c r="A336" s="2">
        <v>46164</v>
      </c>
      <c r="B336" s="3">
        <v>22.9375</v>
      </c>
    </row>
    <row r="337" spans="1:2" x14ac:dyDescent="0.3">
      <c r="A337" s="2">
        <v>46168</v>
      </c>
      <c r="B337" s="3">
        <v>22.8125</v>
      </c>
    </row>
    <row r="338" spans="1:2" x14ac:dyDescent="0.3">
      <c r="A338" s="2">
        <v>46169</v>
      </c>
      <c r="B338" s="3">
        <v>22.8125</v>
      </c>
    </row>
    <row r="339" spans="1:2" x14ac:dyDescent="0.3">
      <c r="A339" s="2">
        <v>46170</v>
      </c>
      <c r="B339" s="3">
        <v>23</v>
      </c>
    </row>
    <row r="340" spans="1:2" x14ac:dyDescent="0.3">
      <c r="A340" s="2">
        <v>46171</v>
      </c>
      <c r="B340" s="3">
        <v>22.25</v>
      </c>
    </row>
    <row r="341" spans="1:2" x14ac:dyDescent="0.3">
      <c r="A341" s="2">
        <v>46174</v>
      </c>
      <c r="B341" s="3">
        <v>22.9375</v>
      </c>
    </row>
    <row r="342" spans="1:2" x14ac:dyDescent="0.3">
      <c r="A342" s="2">
        <v>46175</v>
      </c>
      <c r="B342" s="3">
        <v>22.75</v>
      </c>
    </row>
    <row r="343" spans="1:2" x14ac:dyDescent="0.3">
      <c r="A343" s="2">
        <v>46176</v>
      </c>
      <c r="B343" s="3">
        <v>22.125</v>
      </c>
    </row>
    <row r="344" spans="1:2" x14ac:dyDescent="0.3">
      <c r="A344" s="2">
        <v>46177</v>
      </c>
      <c r="B344" s="3">
        <v>22.25</v>
      </c>
    </row>
    <row r="345" spans="1:2" x14ac:dyDescent="0.3">
      <c r="A345" s="2">
        <v>46178</v>
      </c>
      <c r="B345" s="3">
        <v>21.8125</v>
      </c>
    </row>
    <row r="346" spans="1:2" x14ac:dyDescent="0.3">
      <c r="A346" s="2">
        <v>46181</v>
      </c>
      <c r="B346" s="3">
        <v>21.625</v>
      </c>
    </row>
    <row r="347" spans="1:2" x14ac:dyDescent="0.3">
      <c r="A347" s="2">
        <v>46182</v>
      </c>
      <c r="B347" s="3">
        <v>21.5</v>
      </c>
    </row>
    <row r="348" spans="1:2" x14ac:dyDescent="0.3">
      <c r="A348" s="2">
        <v>46183</v>
      </c>
      <c r="B348" s="3">
        <v>21.5625</v>
      </c>
    </row>
    <row r="349" spans="1:2" x14ac:dyDescent="0.3">
      <c r="A349" s="2">
        <v>46184</v>
      </c>
      <c r="B349" s="3">
        <v>21.5</v>
      </c>
    </row>
    <row r="350" spans="1:2" x14ac:dyDescent="0.3">
      <c r="A350" s="2">
        <v>46185</v>
      </c>
      <c r="B350" s="3">
        <v>21.375</v>
      </c>
    </row>
    <row r="351" spans="1:2" x14ac:dyDescent="0.3">
      <c r="A351" s="2">
        <v>46189</v>
      </c>
      <c r="B351" s="3">
        <v>21.75</v>
      </c>
    </row>
    <row r="352" spans="1:2" x14ac:dyDescent="0.3">
      <c r="A352" s="2">
        <v>46190</v>
      </c>
      <c r="B352" s="3">
        <v>21.9375</v>
      </c>
    </row>
    <row r="353" spans="1:2" x14ac:dyDescent="0.3">
      <c r="A353" s="2">
        <v>46191</v>
      </c>
      <c r="B353" s="3">
        <v>22.25</v>
      </c>
    </row>
    <row r="354" spans="1:2" x14ac:dyDescent="0.3">
      <c r="A354" s="2">
        <v>46192</v>
      </c>
      <c r="B354" s="3">
        <v>22.1875</v>
      </c>
    </row>
    <row r="355" spans="1:2" x14ac:dyDescent="0.3">
      <c r="A355" s="2">
        <v>46195</v>
      </c>
      <c r="B355" s="3">
        <v>22.375</v>
      </c>
    </row>
    <row r="356" spans="1:2" x14ac:dyDescent="0.3">
      <c r="A356" s="2">
        <v>46196</v>
      </c>
      <c r="B356" s="3">
        <v>22.5</v>
      </c>
    </row>
    <row r="357" spans="1:2" x14ac:dyDescent="0.3">
      <c r="A357" s="2">
        <v>46197</v>
      </c>
      <c r="B357" s="3">
        <v>22.25</v>
      </c>
    </row>
    <row r="358" spans="1:2" x14ac:dyDescent="0.3">
      <c r="A358" s="2">
        <v>46198</v>
      </c>
      <c r="B358" s="3">
        <v>22.8125</v>
      </c>
    </row>
    <row r="359" spans="1:2" x14ac:dyDescent="0.3">
      <c r="A359" s="2">
        <v>46199</v>
      </c>
      <c r="B359" s="3">
        <v>22.5625</v>
      </c>
    </row>
    <row r="360" spans="1:2" x14ac:dyDescent="0.3">
      <c r="A360" s="2">
        <v>46202</v>
      </c>
      <c r="B360" s="3">
        <v>22.9375</v>
      </c>
    </row>
    <row r="361" spans="1:2" x14ac:dyDescent="0.3">
      <c r="A361" s="2">
        <v>46203</v>
      </c>
      <c r="B361" s="3">
        <v>22.6875</v>
      </c>
    </row>
    <row r="362" spans="1:2" x14ac:dyDescent="0.3">
      <c r="A362" s="2">
        <v>46204</v>
      </c>
      <c r="B362" s="3">
        <v>22.1875</v>
      </c>
    </row>
    <row r="363" spans="1:2" x14ac:dyDescent="0.3">
      <c r="A363" s="2">
        <v>46205</v>
      </c>
      <c r="B363" s="3">
        <v>22.125</v>
      </c>
    </row>
    <row r="364" spans="1:2" x14ac:dyDescent="0.3">
      <c r="A364" s="2">
        <v>46206</v>
      </c>
      <c r="B364" s="3">
        <v>21.875</v>
      </c>
    </row>
    <row r="365" spans="1:2" x14ac:dyDescent="0.3">
      <c r="A365" s="2">
        <v>46209</v>
      </c>
      <c r="B365" s="3">
        <v>21.9375</v>
      </c>
    </row>
    <row r="366" spans="1:2" x14ac:dyDescent="0.3">
      <c r="A366" s="2">
        <v>46210</v>
      </c>
      <c r="B366" s="3">
        <v>21.9375</v>
      </c>
    </row>
    <row r="367" spans="1:2" x14ac:dyDescent="0.3">
      <c r="A367" s="2">
        <v>46211</v>
      </c>
      <c r="B367" s="3">
        <v>21.9375</v>
      </c>
    </row>
    <row r="368" spans="1:2" x14ac:dyDescent="0.3">
      <c r="A368" s="2">
        <v>46216</v>
      </c>
      <c r="B368" s="3">
        <v>22.4375</v>
      </c>
    </row>
    <row r="369" spans="1:2" x14ac:dyDescent="0.3">
      <c r="A369" s="2">
        <v>46217</v>
      </c>
      <c r="B369" s="3">
        <v>22.625</v>
      </c>
    </row>
    <row r="370" spans="1:2" x14ac:dyDescent="0.3">
      <c r="A370" s="2">
        <v>46218</v>
      </c>
      <c r="B370" s="3">
        <v>22.625</v>
      </c>
    </row>
    <row r="371" spans="1:2" x14ac:dyDescent="0.3">
      <c r="A371" s="2">
        <v>46219</v>
      </c>
      <c r="B371" s="3">
        <v>22.625</v>
      </c>
    </row>
    <row r="372" spans="1:2" x14ac:dyDescent="0.3">
      <c r="A372" s="2">
        <v>46220</v>
      </c>
      <c r="B372" s="3">
        <v>22.875</v>
      </c>
    </row>
    <row r="373" spans="1:2" x14ac:dyDescent="0.3">
      <c r="A373" s="2">
        <v>46223</v>
      </c>
      <c r="B373" s="3">
        <v>22.6875</v>
      </c>
    </row>
    <row r="374" spans="1:2" x14ac:dyDescent="0.3">
      <c r="A374" s="2">
        <v>46224</v>
      </c>
      <c r="B374" s="3">
        <v>22.9375</v>
      </c>
    </row>
    <row r="375" spans="1:2" x14ac:dyDescent="0.3">
      <c r="A375" s="2">
        <v>46225</v>
      </c>
      <c r="B375" s="3">
        <v>22.9375</v>
      </c>
    </row>
    <row r="376" spans="1:2" x14ac:dyDescent="0.3">
      <c r="A376" s="2">
        <v>46226</v>
      </c>
      <c r="B376" s="3">
        <v>22.9375</v>
      </c>
    </row>
    <row r="377" spans="1:2" x14ac:dyDescent="0.3">
      <c r="A377" s="2">
        <v>46227</v>
      </c>
      <c r="B377" s="3">
        <v>22.6875</v>
      </c>
    </row>
    <row r="378" spans="1:2" x14ac:dyDescent="0.3">
      <c r="A378" s="2">
        <v>46230</v>
      </c>
      <c r="B378" s="3">
        <v>22.8125</v>
      </c>
    </row>
    <row r="379" spans="1:2" x14ac:dyDescent="0.3">
      <c r="A379" s="2">
        <v>46231</v>
      </c>
      <c r="B379" s="3">
        <v>22.875</v>
      </c>
    </row>
    <row r="380" spans="1:2" x14ac:dyDescent="0.3">
      <c r="A380" s="2">
        <v>46232</v>
      </c>
      <c r="B380" s="3">
        <v>22.375</v>
      </c>
    </row>
    <row r="381" spans="1:2" x14ac:dyDescent="0.3">
      <c r="A381" s="2">
        <v>46233</v>
      </c>
      <c r="B381" s="3">
        <v>22.875</v>
      </c>
    </row>
    <row r="382" spans="1:2" x14ac:dyDescent="0.3">
      <c r="A382" s="2">
        <v>46234</v>
      </c>
      <c r="B382" s="3">
        <v>23.3125</v>
      </c>
    </row>
    <row r="383" spans="1:2" x14ac:dyDescent="0.3">
      <c r="A383" s="2">
        <v>46237</v>
      </c>
      <c r="B383" s="3">
        <v>22.9375</v>
      </c>
    </row>
    <row r="384" spans="1:2" x14ac:dyDescent="0.3">
      <c r="A384" s="2">
        <v>46238</v>
      </c>
      <c r="B384" s="3">
        <v>23.125</v>
      </c>
    </row>
    <row r="385" spans="1:2" x14ac:dyDescent="0.3">
      <c r="A385" s="2">
        <v>46239</v>
      </c>
      <c r="B385" s="3">
        <v>22.875</v>
      </c>
    </row>
    <row r="386" spans="1:2" x14ac:dyDescent="0.3">
      <c r="A386" s="2">
        <v>46240</v>
      </c>
      <c r="B386" s="3">
        <v>23.25</v>
      </c>
    </row>
    <row r="387" spans="1:2" x14ac:dyDescent="0.3">
      <c r="A387" s="2">
        <v>46241</v>
      </c>
      <c r="B387" s="3">
        <v>23.375</v>
      </c>
    </row>
    <row r="388" spans="1:2" x14ac:dyDescent="0.3">
      <c r="A388" s="2">
        <v>46244</v>
      </c>
      <c r="B388" s="3">
        <v>23.3125</v>
      </c>
    </row>
    <row r="389" spans="1:2" x14ac:dyDescent="0.3">
      <c r="A389" s="2">
        <v>46245</v>
      </c>
      <c r="B389" s="3">
        <v>23.875</v>
      </c>
    </row>
    <row r="390" spans="1:2" x14ac:dyDescent="0.3">
      <c r="A390" s="2">
        <v>46246</v>
      </c>
      <c r="B390" s="3">
        <v>23.1875</v>
      </c>
    </row>
    <row r="391" spans="1:2" x14ac:dyDescent="0.3">
      <c r="A391" s="2">
        <v>46247</v>
      </c>
      <c r="B391" s="3">
        <v>24.1875</v>
      </c>
    </row>
    <row r="392" spans="1:2" x14ac:dyDescent="0.3">
      <c r="A392" s="2">
        <v>46248</v>
      </c>
      <c r="B392" s="3">
        <v>24.5625</v>
      </c>
    </row>
    <row r="393" spans="1:2" x14ac:dyDescent="0.3">
      <c r="A393" s="2">
        <v>46252</v>
      </c>
      <c r="B393" s="3">
        <v>24.5</v>
      </c>
    </row>
    <row r="394" spans="1:2" x14ac:dyDescent="0.3">
      <c r="A394" s="2">
        <v>46253</v>
      </c>
      <c r="B394" s="3">
        <v>25.1875</v>
      </c>
    </row>
    <row r="395" spans="1:2" x14ac:dyDescent="0.3">
      <c r="A395" s="2">
        <v>46254</v>
      </c>
      <c r="B395" s="3">
        <v>26.5</v>
      </c>
    </row>
    <row r="396" spans="1:2" x14ac:dyDescent="0.3">
      <c r="A396" s="2">
        <v>46255</v>
      </c>
      <c r="B396" s="3">
        <v>25.3125</v>
      </c>
    </row>
    <row r="397" spans="1:2" x14ac:dyDescent="0.3">
      <c r="A397" s="2">
        <v>46258</v>
      </c>
      <c r="B397" s="3">
        <v>25.0625</v>
      </c>
    </row>
    <row r="398" spans="1:2" x14ac:dyDescent="0.3">
      <c r="A398" s="2">
        <v>46259</v>
      </c>
      <c r="B398" s="3">
        <v>25.25</v>
      </c>
    </row>
    <row r="399" spans="1:2" x14ac:dyDescent="0.3">
      <c r="A399" s="2">
        <v>46260</v>
      </c>
      <c r="B399" s="3">
        <v>25.125</v>
      </c>
    </row>
    <row r="400" spans="1:2" x14ac:dyDescent="0.3">
      <c r="A400" s="2">
        <v>46261</v>
      </c>
      <c r="B400" s="3">
        <v>25.1875</v>
      </c>
    </row>
    <row r="401" spans="1:2" x14ac:dyDescent="0.3">
      <c r="A401" s="2">
        <v>46262</v>
      </c>
      <c r="B401" s="3">
        <v>24.625</v>
      </c>
    </row>
    <row r="402" spans="1:2" x14ac:dyDescent="0.3">
      <c r="A402" s="2">
        <v>46265</v>
      </c>
      <c r="B402" s="3">
        <v>24.6875</v>
      </c>
    </row>
    <row r="403" spans="1:2" x14ac:dyDescent="0.3">
      <c r="A403" s="2">
        <v>46266</v>
      </c>
      <c r="B403" s="3">
        <v>23.8125</v>
      </c>
    </row>
    <row r="404" spans="1:2" x14ac:dyDescent="0.3">
      <c r="A404" s="2">
        <v>46267</v>
      </c>
      <c r="B404" s="3">
        <v>24.5</v>
      </c>
    </row>
    <row r="405" spans="1:2" x14ac:dyDescent="0.3">
      <c r="A405" s="2">
        <v>46268</v>
      </c>
      <c r="B405" s="3">
        <v>24.25</v>
      </c>
    </row>
    <row r="406" spans="1:2" x14ac:dyDescent="0.3">
      <c r="A406" s="2">
        <v>46269</v>
      </c>
      <c r="B406" s="3">
        <v>24.0625</v>
      </c>
    </row>
    <row r="407" spans="1:2" x14ac:dyDescent="0.3">
      <c r="A407" s="2">
        <v>46272</v>
      </c>
      <c r="B407" s="3">
        <v>24.1875</v>
      </c>
    </row>
    <row r="408" spans="1:2" x14ac:dyDescent="0.3">
      <c r="A408" s="2">
        <v>46273</v>
      </c>
      <c r="B408" s="3">
        <v>24</v>
      </c>
    </row>
    <row r="409" spans="1:2" x14ac:dyDescent="0.3">
      <c r="A409" s="2">
        <v>46274</v>
      </c>
      <c r="B409" s="3">
        <v>23.5625</v>
      </c>
    </row>
    <row r="410" spans="1:2" x14ac:dyDescent="0.3">
      <c r="A410" s="2">
        <v>46275</v>
      </c>
      <c r="B410" s="3">
        <v>23.8125</v>
      </c>
    </row>
    <row r="411" spans="1:2" x14ac:dyDescent="0.3">
      <c r="A411" s="2">
        <v>46276</v>
      </c>
      <c r="B411" s="3">
        <v>23.4375</v>
      </c>
    </row>
    <row r="412" spans="1:2" x14ac:dyDescent="0.3">
      <c r="A412" s="2">
        <v>46279</v>
      </c>
      <c r="B412" s="3">
        <v>23.625</v>
      </c>
    </row>
    <row r="413" spans="1:2" x14ac:dyDescent="0.3">
      <c r="A413" s="2">
        <v>46280</v>
      </c>
      <c r="B413" s="3">
        <v>23.625</v>
      </c>
    </row>
    <row r="414" spans="1:2" x14ac:dyDescent="0.3">
      <c r="A414" s="2">
        <v>46281</v>
      </c>
      <c r="B414" s="3">
        <v>23.625</v>
      </c>
    </row>
    <row r="415" spans="1:2" x14ac:dyDescent="0.3">
      <c r="A415" s="2">
        <v>46282</v>
      </c>
      <c r="B415" s="3">
        <v>23.5625</v>
      </c>
    </row>
    <row r="416" spans="1:2" x14ac:dyDescent="0.3">
      <c r="A416" s="2">
        <v>46283</v>
      </c>
      <c r="B416" s="3">
        <v>23.25</v>
      </c>
    </row>
    <row r="417" spans="1:2" x14ac:dyDescent="0.3">
      <c r="A417" s="2">
        <v>46286</v>
      </c>
      <c r="B417" s="3">
        <v>23.5</v>
      </c>
    </row>
    <row r="418" spans="1:2" x14ac:dyDescent="0.3">
      <c r="A418" s="2">
        <v>46287</v>
      </c>
      <c r="B418" s="3">
        <v>23.625</v>
      </c>
    </row>
    <row r="419" spans="1:2" x14ac:dyDescent="0.3">
      <c r="A419" s="2">
        <v>46288</v>
      </c>
      <c r="B419" s="3">
        <v>23.6875</v>
      </c>
    </row>
    <row r="420" spans="1:2" x14ac:dyDescent="0.3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3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3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3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3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3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3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3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3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3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3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3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3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3">
      <c r="A433" s="2">
        <f>+WORKDAY(A432,1,Feriados!$A$2:$A$38)</f>
        <v>46309</v>
      </c>
      <c r="B433" s="3">
        <f>+IFERROR(VLOOKUP(A433,[3]Variables!$M:$N,2,0),0)</f>
        <v>24.5625</v>
      </c>
      <c r="C433" s="6"/>
    </row>
    <row r="434" spans="1:3" x14ac:dyDescent="0.3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3">
      <c r="A435" s="2">
        <f>+WORKDAY(A434,1,Feriados!$A$2:$A$38)</f>
        <v>46311</v>
      </c>
      <c r="B435" s="3">
        <f>+IFERROR(VLOOKUP(A435,[3]Variables!$M:$N,2,0),0)</f>
        <v>24.625</v>
      </c>
    </row>
    <row r="436" spans="1:3" x14ac:dyDescent="0.3">
      <c r="A436" s="2">
        <f>+WORKDAY(A435,1,Feriados!$A$2:$A$38)</f>
        <v>46314</v>
      </c>
      <c r="B436" s="3">
        <f>+IFERROR(VLOOKUP(A436,[3]Variables!$M:$N,2,0),0)</f>
        <v>24</v>
      </c>
    </row>
    <row r="437" spans="1:3" x14ac:dyDescent="0.3">
      <c r="A437" s="2">
        <f>+WORKDAY(A436,1,Feriados!$A$2:$A$38)</f>
        <v>46315</v>
      </c>
      <c r="B437" s="3">
        <f>+IFERROR(VLOOKUP(A437,[3]Variables!$M:$N,2,0),0)</f>
        <v>24.375</v>
      </c>
    </row>
    <row r="438" spans="1:3" x14ac:dyDescent="0.3">
      <c r="A438" s="2">
        <f>+WORKDAY(A437,1,Feriados!$A$2:$A$38)</f>
        <v>46316</v>
      </c>
      <c r="B438" s="3">
        <f>+IFERROR(VLOOKUP(A438,[3]Variables!$M:$N,2,0),0)</f>
        <v>24.1875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61" workbookViewId="0">
      <selection activeCell="B418" sqref="B418"/>
    </sheetView>
  </sheetViews>
  <sheetFormatPr baseColWidth="10" defaultRowHeight="14.4" x14ac:dyDescent="0.3"/>
  <sheetData>
    <row r="1" spans="1:2" x14ac:dyDescent="0.3">
      <c r="A1" s="2" t="s">
        <v>2</v>
      </c>
      <c r="B1" s="3" t="s">
        <v>21</v>
      </c>
    </row>
    <row r="2" spans="1:2" x14ac:dyDescent="0.3">
      <c r="A2" s="2">
        <v>45659</v>
      </c>
      <c r="B2" s="3">
        <v>516.30553999999995</v>
      </c>
    </row>
    <row r="3" spans="1:2" x14ac:dyDescent="0.3">
      <c r="A3" s="2">
        <v>45660</v>
      </c>
      <c r="B3" s="3">
        <v>516.70069000000001</v>
      </c>
    </row>
    <row r="4" spans="1:2" x14ac:dyDescent="0.3">
      <c r="A4" s="2">
        <v>45663</v>
      </c>
      <c r="B4" s="3">
        <v>517.88795700000003</v>
      </c>
    </row>
    <row r="5" spans="1:2" x14ac:dyDescent="0.3">
      <c r="A5" s="2">
        <v>45664</v>
      </c>
      <c r="B5" s="3">
        <v>518.28431799999998</v>
      </c>
    </row>
    <row r="6" spans="1:2" x14ac:dyDescent="0.3">
      <c r="A6" s="2">
        <v>45665</v>
      </c>
      <c r="B6" s="3">
        <v>518.68098299999997</v>
      </c>
    </row>
    <row r="7" spans="1:2" x14ac:dyDescent="0.3">
      <c r="A7" s="2">
        <v>45666</v>
      </c>
      <c r="B7" s="3">
        <v>519.07795099999998</v>
      </c>
    </row>
    <row r="8" spans="1:2" x14ac:dyDescent="0.3">
      <c r="A8" s="2">
        <v>45667</v>
      </c>
      <c r="B8" s="3">
        <v>519.47522300000003</v>
      </c>
    </row>
    <row r="9" spans="1:2" x14ac:dyDescent="0.3">
      <c r="A9" s="2">
        <v>45670</v>
      </c>
      <c r="B9" s="3">
        <v>520.66886499999998</v>
      </c>
    </row>
    <row r="10" spans="1:2" x14ac:dyDescent="0.3">
      <c r="A10" s="2">
        <v>45671</v>
      </c>
      <c r="B10" s="3">
        <v>521.06735500000002</v>
      </c>
    </row>
    <row r="11" spans="1:2" x14ac:dyDescent="0.3">
      <c r="A11" s="2">
        <v>45672</v>
      </c>
      <c r="B11" s="3">
        <v>521.46614899999997</v>
      </c>
    </row>
    <row r="12" spans="1:2" x14ac:dyDescent="0.3">
      <c r="A12" s="2">
        <v>45673</v>
      </c>
      <c r="B12" s="3">
        <v>521.91449899999998</v>
      </c>
    </row>
    <row r="13" spans="1:2" x14ac:dyDescent="0.3">
      <c r="A13" s="2">
        <v>45674</v>
      </c>
      <c r="B13" s="3">
        <v>522.36323400000003</v>
      </c>
    </row>
    <row r="14" spans="1:2" x14ac:dyDescent="0.3">
      <c r="A14" s="2">
        <v>45677</v>
      </c>
      <c r="B14" s="3">
        <v>523.71175500000004</v>
      </c>
    </row>
    <row r="15" spans="1:2" x14ac:dyDescent="0.3">
      <c r="A15" s="2">
        <v>45678</v>
      </c>
      <c r="B15" s="3">
        <v>524.16203599999994</v>
      </c>
    </row>
    <row r="16" spans="1:2" x14ac:dyDescent="0.3">
      <c r="A16" s="2">
        <v>45679</v>
      </c>
      <c r="B16" s="3">
        <v>524.61270300000001</v>
      </c>
    </row>
    <row r="17" spans="1:2" x14ac:dyDescent="0.3">
      <c r="A17" s="2">
        <v>45680</v>
      </c>
      <c r="B17" s="3">
        <v>525.06375800000001</v>
      </c>
    </row>
    <row r="18" spans="1:2" x14ac:dyDescent="0.3">
      <c r="A18" s="2">
        <v>45681</v>
      </c>
      <c r="B18" s="3">
        <v>525.51520100000005</v>
      </c>
    </row>
    <row r="19" spans="1:2" x14ac:dyDescent="0.3">
      <c r="A19" s="2">
        <v>45684</v>
      </c>
      <c r="B19" s="3">
        <v>526.87185899999997</v>
      </c>
    </row>
    <row r="20" spans="1:2" x14ac:dyDescent="0.3">
      <c r="A20" s="2">
        <v>45685</v>
      </c>
      <c r="B20" s="3">
        <v>527.32485699999995</v>
      </c>
    </row>
    <row r="21" spans="1:2" x14ac:dyDescent="0.3">
      <c r="A21" s="2">
        <v>45686</v>
      </c>
      <c r="B21" s="3">
        <v>527.77824299999997</v>
      </c>
    </row>
    <row r="22" spans="1:2" x14ac:dyDescent="0.3">
      <c r="A22" s="2">
        <v>45687</v>
      </c>
      <c r="B22" s="3">
        <v>528.23202000000003</v>
      </c>
    </row>
    <row r="23" spans="1:2" x14ac:dyDescent="0.3">
      <c r="A23" s="2">
        <v>45688</v>
      </c>
      <c r="B23" s="3">
        <v>528.68618700000002</v>
      </c>
    </row>
    <row r="24" spans="1:2" x14ac:dyDescent="0.3">
      <c r="A24" s="2">
        <v>45691</v>
      </c>
      <c r="B24" s="3">
        <v>530.05103099999997</v>
      </c>
    </row>
    <row r="25" spans="1:2" x14ac:dyDescent="0.3">
      <c r="A25" s="2">
        <v>45692</v>
      </c>
      <c r="B25" s="3">
        <v>530.50676199999998</v>
      </c>
    </row>
    <row r="26" spans="1:2" x14ac:dyDescent="0.3">
      <c r="A26" s="2">
        <v>45693</v>
      </c>
      <c r="B26" s="3">
        <v>530.96288500000003</v>
      </c>
    </row>
    <row r="27" spans="1:2" x14ac:dyDescent="0.3">
      <c r="A27" s="2">
        <v>45694</v>
      </c>
      <c r="B27" s="3">
        <v>531.4194</v>
      </c>
    </row>
    <row r="28" spans="1:2" x14ac:dyDescent="0.3">
      <c r="A28" s="2">
        <v>45695</v>
      </c>
      <c r="B28" s="3">
        <v>531.876307</v>
      </c>
    </row>
    <row r="29" spans="1:2" x14ac:dyDescent="0.3">
      <c r="A29" s="2">
        <v>45698</v>
      </c>
      <c r="B29" s="3">
        <v>533.24938699999996</v>
      </c>
    </row>
    <row r="30" spans="1:2" x14ac:dyDescent="0.3">
      <c r="A30" s="2">
        <v>45699</v>
      </c>
      <c r="B30" s="3">
        <v>533.70786799999996</v>
      </c>
    </row>
    <row r="31" spans="1:2" x14ac:dyDescent="0.3">
      <c r="A31" s="2">
        <v>45700</v>
      </c>
      <c r="B31" s="3">
        <v>534.166742</v>
      </c>
    </row>
    <row r="32" spans="1:2" x14ac:dyDescent="0.3">
      <c r="A32" s="2">
        <v>45701</v>
      </c>
      <c r="B32" s="3">
        <v>534.62601199999995</v>
      </c>
    </row>
    <row r="33" spans="1:2" x14ac:dyDescent="0.3">
      <c r="A33" s="2">
        <v>45702</v>
      </c>
      <c r="B33" s="3">
        <v>535.08567600000003</v>
      </c>
    </row>
    <row r="34" spans="1:2" x14ac:dyDescent="0.3">
      <c r="A34" s="2">
        <v>45705</v>
      </c>
      <c r="B34" s="3">
        <v>536.37883099999999</v>
      </c>
    </row>
    <row r="35" spans="1:2" x14ac:dyDescent="0.3">
      <c r="A35" s="2">
        <v>45706</v>
      </c>
      <c r="B35" s="3">
        <v>536.79586400000005</v>
      </c>
    </row>
    <row r="36" spans="1:2" x14ac:dyDescent="0.3">
      <c r="A36" s="2">
        <v>45707</v>
      </c>
      <c r="B36" s="3">
        <v>537.21322199999997</v>
      </c>
    </row>
    <row r="37" spans="1:2" x14ac:dyDescent="0.3">
      <c r="A37" s="2">
        <v>45708</v>
      </c>
      <c r="B37" s="3">
        <v>537.63090499999998</v>
      </c>
    </row>
    <row r="38" spans="1:2" x14ac:dyDescent="0.3">
      <c r="A38" s="2">
        <v>45709</v>
      </c>
      <c r="B38" s="3">
        <v>538.04891199999997</v>
      </c>
    </row>
    <row r="39" spans="1:2" x14ac:dyDescent="0.3">
      <c r="A39" s="2">
        <v>45712</v>
      </c>
      <c r="B39" s="3">
        <v>539.30488400000002</v>
      </c>
    </row>
    <row r="40" spans="1:2" x14ac:dyDescent="0.3">
      <c r="A40" s="2">
        <v>45713</v>
      </c>
      <c r="B40" s="3">
        <v>539.72419300000001</v>
      </c>
    </row>
    <row r="41" spans="1:2" x14ac:dyDescent="0.3">
      <c r="A41" s="2">
        <v>45714</v>
      </c>
      <c r="B41" s="3">
        <v>540.14382699999999</v>
      </c>
    </row>
    <row r="42" spans="1:2" x14ac:dyDescent="0.3">
      <c r="A42" s="2">
        <v>45715</v>
      </c>
      <c r="B42" s="3">
        <v>540.56378800000005</v>
      </c>
    </row>
    <row r="43" spans="1:2" x14ac:dyDescent="0.3">
      <c r="A43" s="2">
        <v>45716</v>
      </c>
      <c r="B43" s="3">
        <v>540.98407499999996</v>
      </c>
    </row>
    <row r="44" spans="1:2" x14ac:dyDescent="0.3">
      <c r="A44" s="2">
        <v>45721</v>
      </c>
      <c r="B44" s="3">
        <v>543.090419</v>
      </c>
    </row>
    <row r="45" spans="1:2" x14ac:dyDescent="0.3">
      <c r="A45" s="2">
        <v>45722</v>
      </c>
      <c r="B45" s="3">
        <v>543.51267099999995</v>
      </c>
    </row>
    <row r="46" spans="1:2" x14ac:dyDescent="0.3">
      <c r="A46" s="2">
        <v>45723</v>
      </c>
      <c r="B46" s="3">
        <v>543.93525099999999</v>
      </c>
    </row>
    <row r="47" spans="1:2" x14ac:dyDescent="0.3">
      <c r="A47" s="2">
        <v>45726</v>
      </c>
      <c r="B47" s="3">
        <v>545.20496400000002</v>
      </c>
    </row>
    <row r="48" spans="1:2" x14ac:dyDescent="0.3">
      <c r="A48" s="2">
        <v>45727</v>
      </c>
      <c r="B48" s="3">
        <v>545.62886000000003</v>
      </c>
    </row>
    <row r="49" spans="1:2" x14ac:dyDescent="0.3">
      <c r="A49" s="2">
        <v>45728</v>
      </c>
      <c r="B49" s="3">
        <v>546.05308500000001</v>
      </c>
    </row>
    <row r="50" spans="1:2" x14ac:dyDescent="0.3">
      <c r="A50" s="2">
        <v>45729</v>
      </c>
      <c r="B50" s="3">
        <v>546.47763999999995</v>
      </c>
    </row>
    <row r="51" spans="1:2" x14ac:dyDescent="0.3">
      <c r="A51" s="2">
        <v>45730</v>
      </c>
      <c r="B51" s="3">
        <v>546.90252599999997</v>
      </c>
    </row>
    <row r="52" spans="1:2" x14ac:dyDescent="0.3">
      <c r="A52" s="2">
        <v>45733</v>
      </c>
      <c r="B52" s="3">
        <v>548.16584799999998</v>
      </c>
    </row>
    <row r="53" spans="1:2" x14ac:dyDescent="0.3">
      <c r="A53" s="2">
        <v>45734</v>
      </c>
      <c r="B53" s="3">
        <v>548.58538199999998</v>
      </c>
    </row>
    <row r="54" spans="1:2" x14ac:dyDescent="0.3">
      <c r="A54" s="2">
        <v>45735</v>
      </c>
      <c r="B54" s="3">
        <v>549.00523799999996</v>
      </c>
    </row>
    <row r="55" spans="1:2" x14ac:dyDescent="0.3">
      <c r="A55" s="2">
        <v>45736</v>
      </c>
      <c r="B55" s="3">
        <v>549.42541500000004</v>
      </c>
    </row>
    <row r="56" spans="1:2" x14ac:dyDescent="0.3">
      <c r="A56" s="2">
        <v>45737</v>
      </c>
      <c r="B56" s="3">
        <v>549.845913</v>
      </c>
    </row>
    <row r="57" spans="1:2" x14ac:dyDescent="0.3">
      <c r="A57" s="2">
        <v>45741</v>
      </c>
      <c r="B57" s="3">
        <v>551.53112699999997</v>
      </c>
    </row>
    <row r="58" spans="1:2" x14ac:dyDescent="0.3">
      <c r="A58" s="2">
        <v>45742</v>
      </c>
      <c r="B58" s="3">
        <v>551.95323699999994</v>
      </c>
    </row>
    <row r="59" spans="1:2" x14ac:dyDescent="0.3">
      <c r="A59" s="2">
        <v>45743</v>
      </c>
      <c r="B59" s="3">
        <v>552.37567000000001</v>
      </c>
    </row>
    <row r="60" spans="1:2" x14ac:dyDescent="0.3">
      <c r="A60" s="2">
        <v>45744</v>
      </c>
      <c r="B60" s="3">
        <v>552.79842599999995</v>
      </c>
    </row>
    <row r="61" spans="1:2" x14ac:dyDescent="0.3">
      <c r="A61" s="2">
        <v>45747</v>
      </c>
      <c r="B61" s="3">
        <v>554.06863699999997</v>
      </c>
    </row>
    <row r="62" spans="1:2" x14ac:dyDescent="0.3">
      <c r="A62" s="2">
        <v>45748</v>
      </c>
      <c r="B62" s="3">
        <v>554.49268900000004</v>
      </c>
    </row>
    <row r="63" spans="1:2" x14ac:dyDescent="0.3">
      <c r="A63" s="2">
        <v>45750</v>
      </c>
      <c r="B63" s="3">
        <v>555.341767</v>
      </c>
    </row>
    <row r="64" spans="1:2" x14ac:dyDescent="0.3">
      <c r="A64" s="2">
        <v>45751</v>
      </c>
      <c r="B64" s="3">
        <v>555.76679300000001</v>
      </c>
    </row>
    <row r="65" spans="1:2" x14ac:dyDescent="0.3">
      <c r="A65" s="2">
        <v>45754</v>
      </c>
      <c r="B65" s="3">
        <v>557.04382499999997</v>
      </c>
    </row>
    <row r="66" spans="1:2" x14ac:dyDescent="0.3">
      <c r="A66" s="2">
        <v>45755</v>
      </c>
      <c r="B66" s="3">
        <v>557.47015399999998</v>
      </c>
    </row>
    <row r="67" spans="1:2" x14ac:dyDescent="0.3">
      <c r="A67" s="2">
        <v>45756</v>
      </c>
      <c r="B67" s="3">
        <v>557.89680999999996</v>
      </c>
    </row>
    <row r="68" spans="1:2" x14ac:dyDescent="0.3">
      <c r="A68" s="2">
        <v>45757</v>
      </c>
      <c r="B68" s="3">
        <v>558.32379100000003</v>
      </c>
    </row>
    <row r="69" spans="1:2" x14ac:dyDescent="0.3">
      <c r="A69" s="2">
        <v>45758</v>
      </c>
      <c r="B69" s="3">
        <v>558.75109999999995</v>
      </c>
    </row>
    <row r="70" spans="1:2" x14ac:dyDescent="0.3">
      <c r="A70" s="2">
        <v>45761</v>
      </c>
      <c r="B70" s="3">
        <v>560.034989</v>
      </c>
    </row>
    <row r="71" spans="1:2" x14ac:dyDescent="0.3">
      <c r="A71" s="2">
        <v>45762</v>
      </c>
      <c r="B71" s="3">
        <v>560.46360700000002</v>
      </c>
    </row>
    <row r="72" spans="1:2" x14ac:dyDescent="0.3">
      <c r="A72" s="2">
        <v>45763</v>
      </c>
      <c r="B72" s="3">
        <v>561.14277600000003</v>
      </c>
    </row>
    <row r="73" spans="1:2" x14ac:dyDescent="0.3">
      <c r="A73" s="2">
        <v>45768</v>
      </c>
      <c r="B73" s="3">
        <v>564.55098399999997</v>
      </c>
    </row>
    <row r="74" spans="1:2" x14ac:dyDescent="0.3">
      <c r="A74" s="2">
        <v>45769</v>
      </c>
      <c r="B74" s="3">
        <v>565.23510599999997</v>
      </c>
    </row>
    <row r="75" spans="1:2" x14ac:dyDescent="0.3">
      <c r="A75" s="2">
        <v>45770</v>
      </c>
      <c r="B75" s="3">
        <v>565.92005700000004</v>
      </c>
    </row>
    <row r="76" spans="1:2" x14ac:dyDescent="0.3">
      <c r="A76" s="2">
        <v>45771</v>
      </c>
      <c r="B76" s="3">
        <v>566.60583799999995</v>
      </c>
    </row>
    <row r="77" spans="1:2" x14ac:dyDescent="0.3">
      <c r="A77" s="2">
        <v>45772</v>
      </c>
      <c r="B77" s="3">
        <v>567.29245000000003</v>
      </c>
    </row>
    <row r="78" spans="1:2" x14ac:dyDescent="0.3">
      <c r="A78" s="2">
        <v>45775</v>
      </c>
      <c r="B78" s="3">
        <v>569.35728099999994</v>
      </c>
    </row>
    <row r="79" spans="1:2" x14ac:dyDescent="0.3">
      <c r="A79" s="2">
        <v>45776</v>
      </c>
      <c r="B79" s="3">
        <v>570.04722700000002</v>
      </c>
    </row>
    <row r="80" spans="1:2" x14ac:dyDescent="0.3">
      <c r="A80" s="2">
        <v>45777</v>
      </c>
      <c r="B80" s="3">
        <v>570.73800900000003</v>
      </c>
    </row>
    <row r="81" spans="1:2" x14ac:dyDescent="0.3">
      <c r="A81" s="2">
        <v>45782</v>
      </c>
      <c r="B81" s="3">
        <v>574.20449599999995</v>
      </c>
    </row>
    <row r="82" spans="1:2" x14ac:dyDescent="0.3">
      <c r="A82" s="2">
        <v>45783</v>
      </c>
      <c r="B82" s="3">
        <v>574.90031599999998</v>
      </c>
    </row>
    <row r="83" spans="1:2" x14ac:dyDescent="0.3">
      <c r="A83" s="2">
        <v>45784</v>
      </c>
      <c r="B83" s="3">
        <v>575.59697900000003</v>
      </c>
    </row>
    <row r="84" spans="1:2" x14ac:dyDescent="0.3">
      <c r="A84" s="2">
        <v>45785</v>
      </c>
      <c r="B84" s="3">
        <v>576.29448600000001</v>
      </c>
    </row>
    <row r="85" spans="1:2" x14ac:dyDescent="0.3">
      <c r="A85" s="2">
        <v>45786</v>
      </c>
      <c r="B85" s="3">
        <v>576.992839</v>
      </c>
    </row>
    <row r="86" spans="1:2" x14ac:dyDescent="0.3">
      <c r="A86" s="2">
        <v>45789</v>
      </c>
      <c r="B86" s="3">
        <v>579.09297800000002</v>
      </c>
    </row>
    <row r="87" spans="1:2" x14ac:dyDescent="0.3">
      <c r="A87" s="2">
        <v>45790</v>
      </c>
      <c r="B87" s="3">
        <v>579.79472099999998</v>
      </c>
    </row>
    <row r="88" spans="1:2" x14ac:dyDescent="0.3">
      <c r="A88" s="2">
        <v>45791</v>
      </c>
      <c r="B88" s="3">
        <v>580.49731499999996</v>
      </c>
    </row>
    <row r="89" spans="1:2" x14ac:dyDescent="0.3">
      <c r="A89" s="2">
        <v>45792</v>
      </c>
      <c r="B89" s="3">
        <v>581.20076100000006</v>
      </c>
    </row>
    <row r="90" spans="1:2" x14ac:dyDescent="0.3">
      <c r="A90" s="2">
        <v>45793</v>
      </c>
      <c r="B90" s="3">
        <v>581.71873200000005</v>
      </c>
    </row>
    <row r="91" spans="1:2" x14ac:dyDescent="0.3">
      <c r="A91" s="2">
        <v>45796</v>
      </c>
      <c r="B91" s="3">
        <v>583.27541699999995</v>
      </c>
    </row>
    <row r="92" spans="1:2" x14ac:dyDescent="0.3">
      <c r="A92" s="2">
        <v>45797</v>
      </c>
      <c r="B92" s="3">
        <v>583.79523700000004</v>
      </c>
    </row>
    <row r="93" spans="1:2" x14ac:dyDescent="0.3">
      <c r="A93" s="2">
        <v>45798</v>
      </c>
      <c r="B93" s="3">
        <v>584.31552099999999</v>
      </c>
    </row>
    <row r="94" spans="1:2" x14ac:dyDescent="0.3">
      <c r="A94" s="2">
        <v>45799</v>
      </c>
      <c r="B94" s="3">
        <v>584.83626800000002</v>
      </c>
    </row>
    <row r="95" spans="1:2" x14ac:dyDescent="0.3">
      <c r="A95" s="2">
        <v>45800</v>
      </c>
      <c r="B95" s="3">
        <v>585.35747900000001</v>
      </c>
    </row>
    <row r="96" spans="1:2" x14ac:dyDescent="0.3">
      <c r="A96" s="2">
        <v>45803</v>
      </c>
      <c r="B96" s="3">
        <v>586.923901</v>
      </c>
    </row>
    <row r="97" spans="1:2" x14ac:dyDescent="0.3">
      <c r="A97" s="2">
        <v>45804</v>
      </c>
      <c r="B97" s="3">
        <v>587.44697299999996</v>
      </c>
    </row>
    <row r="98" spans="1:2" x14ac:dyDescent="0.3">
      <c r="A98" s="2">
        <v>45805</v>
      </c>
      <c r="B98" s="3">
        <v>587.97051099999999</v>
      </c>
    </row>
    <row r="99" spans="1:2" x14ac:dyDescent="0.3">
      <c r="A99" s="2">
        <v>45806</v>
      </c>
      <c r="B99" s="3">
        <v>588.49451499999998</v>
      </c>
    </row>
    <row r="100" spans="1:2" x14ac:dyDescent="0.3">
      <c r="A100" s="2">
        <v>45807</v>
      </c>
      <c r="B100" s="3">
        <v>589.01898700000004</v>
      </c>
    </row>
    <row r="101" spans="1:2" x14ac:dyDescent="0.3">
      <c r="A101" s="2">
        <v>45810</v>
      </c>
      <c r="B101" s="3">
        <v>590.59520699999996</v>
      </c>
    </row>
    <row r="102" spans="1:2" x14ac:dyDescent="0.3">
      <c r="A102" s="2">
        <v>45811</v>
      </c>
      <c r="B102" s="3">
        <v>591.12155099999995</v>
      </c>
    </row>
    <row r="103" spans="1:2" x14ac:dyDescent="0.3">
      <c r="A103" s="2">
        <v>45812</v>
      </c>
      <c r="B103" s="3">
        <v>591.64836300000002</v>
      </c>
    </row>
    <row r="104" spans="1:2" x14ac:dyDescent="0.3">
      <c r="A104" s="2">
        <v>45813</v>
      </c>
      <c r="B104" s="3">
        <v>592.17564600000003</v>
      </c>
    </row>
    <row r="105" spans="1:2" x14ac:dyDescent="0.3">
      <c r="A105" s="2">
        <v>45814</v>
      </c>
      <c r="B105" s="3">
        <v>592.70339799999999</v>
      </c>
    </row>
    <row r="106" spans="1:2" x14ac:dyDescent="0.3">
      <c r="A106" s="2">
        <v>45817</v>
      </c>
      <c r="B106" s="3">
        <v>594.28947800000003</v>
      </c>
    </row>
    <row r="107" spans="1:2" x14ac:dyDescent="0.3">
      <c r="A107" s="2">
        <v>45818</v>
      </c>
      <c r="B107" s="3">
        <v>594.81911400000001</v>
      </c>
    </row>
    <row r="108" spans="1:2" x14ac:dyDescent="0.3">
      <c r="A108" s="2">
        <v>45819</v>
      </c>
      <c r="B108" s="3">
        <v>595.34922200000005</v>
      </c>
    </row>
    <row r="109" spans="1:2" x14ac:dyDescent="0.3">
      <c r="A109" s="2">
        <v>45820</v>
      </c>
      <c r="B109" s="3">
        <v>595.87980200000004</v>
      </c>
    </row>
    <row r="110" spans="1:2" x14ac:dyDescent="0.3">
      <c r="A110" s="2">
        <v>45821</v>
      </c>
      <c r="B110" s="3">
        <v>596.41085499999997</v>
      </c>
    </row>
    <row r="111" spans="1:2" x14ac:dyDescent="0.3">
      <c r="A111" s="2">
        <v>45825</v>
      </c>
      <c r="B111" s="3">
        <v>598.06771400000002</v>
      </c>
    </row>
    <row r="112" spans="1:2" x14ac:dyDescent="0.3">
      <c r="A112" s="2">
        <v>45826</v>
      </c>
      <c r="B112" s="3">
        <v>598.36460099999999</v>
      </c>
    </row>
    <row r="113" spans="1:2" x14ac:dyDescent="0.3">
      <c r="A113" s="2">
        <v>45827</v>
      </c>
      <c r="B113" s="3">
        <v>598.66163600000004</v>
      </c>
    </row>
    <row r="114" spans="1:2" x14ac:dyDescent="0.3">
      <c r="A114" s="2">
        <v>45831</v>
      </c>
      <c r="B114" s="3">
        <v>599.85124800000006</v>
      </c>
    </row>
    <row r="115" spans="1:2" x14ac:dyDescent="0.3">
      <c r="A115" s="2">
        <v>45832</v>
      </c>
      <c r="B115" s="3">
        <v>600.14901999999995</v>
      </c>
    </row>
    <row r="116" spans="1:2" x14ac:dyDescent="0.3">
      <c r="A116" s="2">
        <v>45833</v>
      </c>
      <c r="B116" s="3">
        <v>600.44694000000004</v>
      </c>
    </row>
    <row r="117" spans="1:2" x14ac:dyDescent="0.3">
      <c r="A117" s="2">
        <v>45834</v>
      </c>
      <c r="B117" s="3">
        <v>600.74500899999998</v>
      </c>
    </row>
    <row r="118" spans="1:2" x14ac:dyDescent="0.3">
      <c r="A118" s="2">
        <v>45835</v>
      </c>
      <c r="B118" s="3">
        <v>601.04322400000001</v>
      </c>
    </row>
    <row r="119" spans="1:2" x14ac:dyDescent="0.3">
      <c r="A119" s="2">
        <v>45838</v>
      </c>
      <c r="B119" s="3">
        <v>601.938761</v>
      </c>
    </row>
    <row r="120" spans="1:2" x14ac:dyDescent="0.3">
      <c r="A120" s="2">
        <v>45839</v>
      </c>
      <c r="B120" s="3">
        <v>602.23757000000001</v>
      </c>
    </row>
    <row r="121" spans="1:2" x14ac:dyDescent="0.3">
      <c r="A121" s="2">
        <v>45840</v>
      </c>
      <c r="B121" s="3">
        <v>602.53652599999998</v>
      </c>
    </row>
    <row r="122" spans="1:2" x14ac:dyDescent="0.3">
      <c r="A122" s="2">
        <v>45841</v>
      </c>
      <c r="B122" s="3">
        <v>602.83563200000003</v>
      </c>
    </row>
    <row r="123" spans="1:2" x14ac:dyDescent="0.3">
      <c r="A123" s="2">
        <v>45842</v>
      </c>
      <c r="B123" s="3">
        <v>603.13488600000005</v>
      </c>
    </row>
    <row r="124" spans="1:2" x14ac:dyDescent="0.3">
      <c r="A124" s="2">
        <v>45845</v>
      </c>
      <c r="B124" s="3">
        <v>604.03353900000002</v>
      </c>
    </row>
    <row r="125" spans="1:2" x14ac:dyDescent="0.3">
      <c r="A125" s="2">
        <v>45846</v>
      </c>
      <c r="B125" s="3">
        <v>604.33338700000002</v>
      </c>
    </row>
    <row r="126" spans="1:2" x14ac:dyDescent="0.3">
      <c r="A126" s="2">
        <v>45848</v>
      </c>
      <c r="B126" s="3">
        <v>604.93353000000002</v>
      </c>
    </row>
    <row r="127" spans="1:2" x14ac:dyDescent="0.3">
      <c r="A127" s="2">
        <v>45849</v>
      </c>
      <c r="B127" s="3">
        <v>605.23382600000002</v>
      </c>
    </row>
    <row r="128" spans="1:2" x14ac:dyDescent="0.3">
      <c r="A128" s="2">
        <v>45852</v>
      </c>
      <c r="B128" s="3">
        <v>606.13560600000005</v>
      </c>
    </row>
    <row r="129" spans="1:2" x14ac:dyDescent="0.3">
      <c r="A129" s="2">
        <v>45853</v>
      </c>
      <c r="B129" s="3">
        <v>606.43649800000003</v>
      </c>
    </row>
    <row r="130" spans="1:2" x14ac:dyDescent="0.3">
      <c r="A130" s="2">
        <v>45854</v>
      </c>
      <c r="B130" s="3">
        <v>606.74709900000005</v>
      </c>
    </row>
    <row r="131" spans="1:2" x14ac:dyDescent="0.3">
      <c r="A131" s="2">
        <v>45855</v>
      </c>
      <c r="B131" s="3">
        <v>607.05786000000001</v>
      </c>
    </row>
    <row r="132" spans="1:2" x14ac:dyDescent="0.3">
      <c r="A132" s="2">
        <v>45856</v>
      </c>
      <c r="B132" s="3">
        <v>607.36877900000002</v>
      </c>
    </row>
    <row r="133" spans="1:2" x14ac:dyDescent="0.3">
      <c r="A133" s="2">
        <v>45859</v>
      </c>
      <c r="B133" s="3">
        <v>608.30249400000002</v>
      </c>
    </row>
    <row r="134" spans="1:2" x14ac:dyDescent="0.3">
      <c r="A134" s="2">
        <v>45860</v>
      </c>
      <c r="B134" s="3">
        <v>608.61405100000002</v>
      </c>
    </row>
    <row r="135" spans="1:2" x14ac:dyDescent="0.3">
      <c r="A135" s="2">
        <v>45861</v>
      </c>
      <c r="B135" s="3">
        <v>608.92576799999995</v>
      </c>
    </row>
    <row r="136" spans="1:2" x14ac:dyDescent="0.3">
      <c r="A136" s="2">
        <v>45862</v>
      </c>
      <c r="B136" s="3">
        <v>609.23764400000005</v>
      </c>
    </row>
    <row r="137" spans="1:2" x14ac:dyDescent="0.3">
      <c r="A137" s="2">
        <v>45863</v>
      </c>
      <c r="B137" s="3">
        <v>609.54967999999997</v>
      </c>
    </row>
    <row r="138" spans="1:2" x14ac:dyDescent="0.3">
      <c r="A138" s="2">
        <v>45866</v>
      </c>
      <c r="B138" s="3">
        <v>610.48674800000003</v>
      </c>
    </row>
    <row r="139" spans="1:2" x14ac:dyDescent="0.3">
      <c r="A139" s="2">
        <v>45867</v>
      </c>
      <c r="B139" s="3">
        <v>610.79942400000004</v>
      </c>
    </row>
    <row r="140" spans="1:2" x14ac:dyDescent="0.3">
      <c r="A140" s="2">
        <v>45868</v>
      </c>
      <c r="B140" s="3">
        <v>611.11225999999999</v>
      </c>
    </row>
    <row r="141" spans="1:2" x14ac:dyDescent="0.3">
      <c r="A141" s="2">
        <v>45869</v>
      </c>
      <c r="B141" s="3">
        <v>611.42525599999999</v>
      </c>
    </row>
    <row r="142" spans="1:2" x14ac:dyDescent="0.3">
      <c r="A142" s="2">
        <v>45870</v>
      </c>
      <c r="B142" s="3">
        <v>611.73841200000004</v>
      </c>
    </row>
    <row r="143" spans="1:2" x14ac:dyDescent="0.3">
      <c r="A143" s="2">
        <v>45873</v>
      </c>
      <c r="B143" s="3">
        <v>612.67884500000002</v>
      </c>
    </row>
    <row r="144" spans="1:2" x14ac:dyDescent="0.3">
      <c r="A144" s="2">
        <v>45874</v>
      </c>
      <c r="B144" s="3">
        <v>612.99264300000004</v>
      </c>
    </row>
    <row r="145" spans="1:2" x14ac:dyDescent="0.3">
      <c r="A145" s="2">
        <v>45875</v>
      </c>
      <c r="B145" s="3">
        <v>613.306602</v>
      </c>
    </row>
    <row r="146" spans="1:2" x14ac:dyDescent="0.3">
      <c r="A146" s="2">
        <v>45876</v>
      </c>
      <c r="B146" s="3">
        <v>613.620722</v>
      </c>
    </row>
    <row r="147" spans="1:2" x14ac:dyDescent="0.3">
      <c r="A147" s="2">
        <v>45877</v>
      </c>
      <c r="B147" s="3">
        <v>613.93500300000005</v>
      </c>
    </row>
    <row r="148" spans="1:2" x14ac:dyDescent="0.3">
      <c r="A148" s="2">
        <v>45880</v>
      </c>
      <c r="B148" s="3">
        <v>614.87881200000004</v>
      </c>
    </row>
    <row r="149" spans="1:2" x14ac:dyDescent="0.3">
      <c r="A149" s="2">
        <v>45881</v>
      </c>
      <c r="B149" s="3">
        <v>615.19373800000005</v>
      </c>
    </row>
    <row r="150" spans="1:2" x14ac:dyDescent="0.3">
      <c r="A150" s="2">
        <v>45882</v>
      </c>
      <c r="B150" s="3">
        <v>615.508824</v>
      </c>
    </row>
    <row r="151" spans="1:2" x14ac:dyDescent="0.3">
      <c r="A151" s="2">
        <v>45883</v>
      </c>
      <c r="B151" s="3">
        <v>615.824072</v>
      </c>
    </row>
    <row r="152" spans="1:2" x14ac:dyDescent="0.3">
      <c r="A152" s="2">
        <v>45887</v>
      </c>
      <c r="B152" s="3">
        <v>617.26277800000003</v>
      </c>
    </row>
    <row r="153" spans="1:2" x14ac:dyDescent="0.3">
      <c r="A153" s="2">
        <v>45888</v>
      </c>
      <c r="B153" s="3">
        <v>617.63766499999997</v>
      </c>
    </row>
    <row r="154" spans="1:2" x14ac:dyDescent="0.3">
      <c r="A154" s="2">
        <v>45889</v>
      </c>
      <c r="B154" s="3">
        <v>618.01278000000002</v>
      </c>
    </row>
    <row r="155" spans="1:2" x14ac:dyDescent="0.3">
      <c r="A155" s="2">
        <v>45890</v>
      </c>
      <c r="B155" s="3">
        <v>618.38812199999995</v>
      </c>
    </row>
    <row r="156" spans="1:2" x14ac:dyDescent="0.3">
      <c r="A156" s="2">
        <v>45891</v>
      </c>
      <c r="B156" s="3">
        <v>618.76369299999999</v>
      </c>
    </row>
    <row r="157" spans="1:2" x14ac:dyDescent="0.3">
      <c r="A157" s="2">
        <v>45894</v>
      </c>
      <c r="B157" s="3">
        <v>619.89177299999994</v>
      </c>
    </row>
    <row r="158" spans="1:2" x14ac:dyDescent="0.3">
      <c r="A158" s="2">
        <v>45895</v>
      </c>
      <c r="B158" s="3">
        <v>620.26825699999995</v>
      </c>
    </row>
    <row r="159" spans="1:2" x14ac:dyDescent="0.3">
      <c r="A159" s="2">
        <v>45896</v>
      </c>
      <c r="B159" s="3">
        <v>620.64496899999995</v>
      </c>
    </row>
    <row r="160" spans="1:2" x14ac:dyDescent="0.3">
      <c r="A160" s="2">
        <v>45897</v>
      </c>
      <c r="B160" s="3">
        <v>621.02191000000005</v>
      </c>
    </row>
    <row r="161" spans="1:2" x14ac:dyDescent="0.3">
      <c r="A161" s="2">
        <v>45898</v>
      </c>
      <c r="B161" s="3">
        <v>621.39908000000003</v>
      </c>
    </row>
    <row r="162" spans="1:2" x14ac:dyDescent="0.3">
      <c r="A162" s="2">
        <v>45901</v>
      </c>
      <c r="B162" s="3">
        <v>622.53196500000001</v>
      </c>
    </row>
    <row r="163" spans="1:2" x14ac:dyDescent="0.3">
      <c r="A163" s="2">
        <v>45902</v>
      </c>
      <c r="B163" s="3">
        <v>622.91005199999995</v>
      </c>
    </row>
    <row r="164" spans="1:2" x14ac:dyDescent="0.3">
      <c r="A164" s="2">
        <v>45903</v>
      </c>
      <c r="B164" s="3">
        <v>623.28836899999999</v>
      </c>
    </row>
    <row r="165" spans="1:2" x14ac:dyDescent="0.3">
      <c r="A165" s="2">
        <v>45904</v>
      </c>
      <c r="B165" s="3">
        <v>623.66691600000001</v>
      </c>
    </row>
    <row r="166" spans="1:2" x14ac:dyDescent="0.3">
      <c r="A166" s="2">
        <v>45905</v>
      </c>
      <c r="B166" s="3">
        <v>624.04569200000003</v>
      </c>
    </row>
    <row r="167" spans="1:2" x14ac:dyDescent="0.3">
      <c r="A167" s="2">
        <v>45908</v>
      </c>
      <c r="B167" s="3">
        <v>625.183402</v>
      </c>
    </row>
    <row r="168" spans="1:2" x14ac:dyDescent="0.3">
      <c r="A168" s="2">
        <v>45909</v>
      </c>
      <c r="B168" s="3">
        <v>625.56309999999996</v>
      </c>
    </row>
    <row r="169" spans="1:2" x14ac:dyDescent="0.3">
      <c r="A169" s="2">
        <v>45910</v>
      </c>
      <c r="B169" s="3">
        <v>625.94302800000003</v>
      </c>
    </row>
    <row r="170" spans="1:2" x14ac:dyDescent="0.3">
      <c r="A170" s="2">
        <v>45911</v>
      </c>
      <c r="B170" s="3">
        <v>626.32318699999996</v>
      </c>
    </row>
    <row r="171" spans="1:2" x14ac:dyDescent="0.3">
      <c r="A171" s="2">
        <v>45912</v>
      </c>
      <c r="B171" s="3">
        <v>626.703576</v>
      </c>
    </row>
    <row r="172" spans="1:2" x14ac:dyDescent="0.3">
      <c r="A172" s="2">
        <v>45915</v>
      </c>
      <c r="B172" s="3">
        <v>627.84613200000001</v>
      </c>
    </row>
    <row r="173" spans="1:2" x14ac:dyDescent="0.3">
      <c r="A173" s="2">
        <v>45916</v>
      </c>
      <c r="B173" s="3">
        <v>628.24016099999994</v>
      </c>
    </row>
    <row r="174" spans="1:2" x14ac:dyDescent="0.3">
      <c r="A174" s="2">
        <v>45917</v>
      </c>
      <c r="B174" s="3">
        <v>628.63443800000005</v>
      </c>
    </row>
    <row r="175" spans="1:2" x14ac:dyDescent="0.3">
      <c r="A175" s="2">
        <v>45918</v>
      </c>
      <c r="B175" s="3">
        <v>629.02896099999998</v>
      </c>
    </row>
    <row r="176" spans="1:2" x14ac:dyDescent="0.3">
      <c r="A176" s="2">
        <v>45919</v>
      </c>
      <c r="B176" s="3">
        <v>629.42373299999997</v>
      </c>
    </row>
    <row r="177" spans="1:2" x14ac:dyDescent="0.3">
      <c r="A177" s="2">
        <v>45922</v>
      </c>
      <c r="B177" s="3">
        <v>630.60953400000005</v>
      </c>
    </row>
    <row r="178" spans="1:2" x14ac:dyDescent="0.3">
      <c r="A178" s="2">
        <v>45923</v>
      </c>
      <c r="B178" s="3">
        <v>631.00529800000004</v>
      </c>
    </row>
    <row r="179" spans="1:2" x14ac:dyDescent="0.3">
      <c r="A179" s="2">
        <v>45924</v>
      </c>
      <c r="B179" s="3">
        <v>631.40130899999997</v>
      </c>
    </row>
    <row r="180" spans="1:2" x14ac:dyDescent="0.3">
      <c r="A180" s="2">
        <v>45925</v>
      </c>
      <c r="B180" s="3">
        <v>631.79756999999995</v>
      </c>
    </row>
    <row r="181" spans="1:2" x14ac:dyDescent="0.3">
      <c r="A181" s="2">
        <v>45926</v>
      </c>
      <c r="B181" s="3">
        <v>632.19407899999999</v>
      </c>
    </row>
    <row r="182" spans="1:2" x14ac:dyDescent="0.3">
      <c r="A182" s="2">
        <v>45929</v>
      </c>
      <c r="B182" s="3">
        <v>633.38509899999997</v>
      </c>
    </row>
    <row r="183" spans="1:2" x14ac:dyDescent="0.3">
      <c r="A183" s="2">
        <v>45930</v>
      </c>
      <c r="B183" s="3">
        <v>633.78260499999999</v>
      </c>
    </row>
    <row r="184" spans="1:2" x14ac:dyDescent="0.3">
      <c r="A184" s="2">
        <v>45931</v>
      </c>
      <c r="B184" s="3">
        <v>634.18035999999995</v>
      </c>
    </row>
    <row r="185" spans="1:2" x14ac:dyDescent="0.3">
      <c r="A185" s="2">
        <v>45932</v>
      </c>
      <c r="B185" s="3">
        <v>634.57836399999997</v>
      </c>
    </row>
    <row r="186" spans="1:2" x14ac:dyDescent="0.3">
      <c r="A186" s="2">
        <v>45933</v>
      </c>
      <c r="B186" s="3">
        <v>634.97661800000003</v>
      </c>
    </row>
    <row r="187" spans="1:2" x14ac:dyDescent="0.3">
      <c r="A187" s="2">
        <v>45936</v>
      </c>
      <c r="B187" s="3">
        <v>636.17288099999996</v>
      </c>
    </row>
    <row r="188" spans="1:2" x14ac:dyDescent="0.3">
      <c r="A188" s="2">
        <v>45937</v>
      </c>
      <c r="B188" s="3">
        <v>636.572136</v>
      </c>
    </row>
    <row r="189" spans="1:2" x14ac:dyDescent="0.3">
      <c r="A189" s="2">
        <v>45938</v>
      </c>
      <c r="B189" s="3">
        <v>636.97164099999998</v>
      </c>
    </row>
    <row r="190" spans="1:2" x14ac:dyDescent="0.3">
      <c r="A190" s="2">
        <v>45939</v>
      </c>
      <c r="B190" s="3">
        <v>637.371397</v>
      </c>
    </row>
    <row r="191" spans="1:2" x14ac:dyDescent="0.3">
      <c r="A191" s="2">
        <v>45940</v>
      </c>
      <c r="B191" s="3">
        <v>637.77140499999996</v>
      </c>
    </row>
    <row r="192" spans="1:2" x14ac:dyDescent="0.3">
      <c r="A192" s="2">
        <v>45943</v>
      </c>
      <c r="B192" s="3">
        <v>638.97293300000001</v>
      </c>
    </row>
    <row r="193" spans="1:2" x14ac:dyDescent="0.3">
      <c r="A193" s="2">
        <v>45944</v>
      </c>
      <c r="B193" s="3">
        <v>639.37394500000005</v>
      </c>
    </row>
    <row r="194" spans="1:2" x14ac:dyDescent="0.3">
      <c r="A194" s="2">
        <v>45945</v>
      </c>
      <c r="B194" s="3">
        <v>639.77520900000002</v>
      </c>
    </row>
    <row r="195" spans="1:2" x14ac:dyDescent="0.3">
      <c r="A195" s="2">
        <v>45946</v>
      </c>
      <c r="B195" s="3">
        <v>640.20426099999997</v>
      </c>
    </row>
    <row r="196" spans="1:2" x14ac:dyDescent="0.3">
      <c r="A196" s="2">
        <v>45947</v>
      </c>
      <c r="B196" s="3">
        <v>640.6336</v>
      </c>
    </row>
    <row r="197" spans="1:2" x14ac:dyDescent="0.3">
      <c r="A197" s="2">
        <v>45950</v>
      </c>
      <c r="B197" s="3">
        <v>641.92334800000003</v>
      </c>
    </row>
    <row r="198" spans="1:2" x14ac:dyDescent="0.3">
      <c r="A198" s="2">
        <v>45951</v>
      </c>
      <c r="B198" s="3">
        <v>642.35383999999999</v>
      </c>
    </row>
    <row r="199" spans="1:2" x14ac:dyDescent="0.3">
      <c r="A199" s="2">
        <v>45952</v>
      </c>
      <c r="B199" s="3">
        <v>642.78462200000001</v>
      </c>
    </row>
    <row r="200" spans="1:2" x14ac:dyDescent="0.3">
      <c r="A200" s="2">
        <v>45953</v>
      </c>
      <c r="B200" s="3">
        <v>643.21569199999999</v>
      </c>
    </row>
    <row r="201" spans="1:2" x14ac:dyDescent="0.3">
      <c r="A201" s="2">
        <v>45954</v>
      </c>
      <c r="B201" s="3">
        <v>643.64705100000003</v>
      </c>
    </row>
    <row r="202" spans="1:2" x14ac:dyDescent="0.3">
      <c r="A202" s="2">
        <v>45957</v>
      </c>
      <c r="B202" s="3">
        <v>644.94286499999998</v>
      </c>
    </row>
    <row r="203" spans="1:2" x14ac:dyDescent="0.3">
      <c r="A203" s="2">
        <v>45958</v>
      </c>
      <c r="B203" s="3">
        <v>645.37538300000006</v>
      </c>
    </row>
    <row r="204" spans="1:2" x14ac:dyDescent="0.3">
      <c r="A204" s="2">
        <v>45959</v>
      </c>
      <c r="B204" s="3">
        <v>645.80818999999997</v>
      </c>
    </row>
    <row r="205" spans="1:2" x14ac:dyDescent="0.3">
      <c r="A205" s="2">
        <v>45960</v>
      </c>
      <c r="B205" s="3">
        <v>646.24128800000005</v>
      </c>
    </row>
    <row r="206" spans="1:2" x14ac:dyDescent="0.3">
      <c r="A206" s="2">
        <v>45961</v>
      </c>
      <c r="B206" s="3">
        <v>646.67467699999997</v>
      </c>
    </row>
    <row r="207" spans="1:2" x14ac:dyDescent="0.3">
      <c r="A207" s="2">
        <v>45964</v>
      </c>
      <c r="B207" s="3">
        <v>647.976586</v>
      </c>
    </row>
    <row r="208" spans="1:2" x14ac:dyDescent="0.3">
      <c r="A208" s="2">
        <v>45965</v>
      </c>
      <c r="B208" s="3">
        <v>648.41113800000005</v>
      </c>
    </row>
    <row r="209" spans="1:2" x14ac:dyDescent="0.3">
      <c r="A209" s="2">
        <v>45966</v>
      </c>
      <c r="B209" s="3">
        <v>648.84598200000005</v>
      </c>
    </row>
    <row r="210" spans="1:2" x14ac:dyDescent="0.3">
      <c r="A210" s="2">
        <v>45968</v>
      </c>
      <c r="B210" s="3">
        <v>649.716544</v>
      </c>
    </row>
    <row r="211" spans="1:2" x14ac:dyDescent="0.3">
      <c r="A211" s="2">
        <v>45971</v>
      </c>
      <c r="B211" s="3">
        <v>651.02457700000002</v>
      </c>
    </row>
    <row r="212" spans="1:2" x14ac:dyDescent="0.3">
      <c r="A212" s="2">
        <v>45972</v>
      </c>
      <c r="B212" s="3">
        <v>651.46117400000003</v>
      </c>
    </row>
    <row r="213" spans="1:2" x14ac:dyDescent="0.3">
      <c r="A213" s="2">
        <v>45973</v>
      </c>
      <c r="B213" s="3">
        <v>651.89806199999998</v>
      </c>
    </row>
    <row r="214" spans="1:2" x14ac:dyDescent="0.3">
      <c r="A214" s="2">
        <v>45974</v>
      </c>
      <c r="B214" s="3">
        <v>652.33524399999999</v>
      </c>
    </row>
    <row r="215" spans="1:2" x14ac:dyDescent="0.3">
      <c r="A215" s="2">
        <v>45975</v>
      </c>
      <c r="B215" s="3">
        <v>652.77271900000005</v>
      </c>
    </row>
    <row r="216" spans="1:2" x14ac:dyDescent="0.3">
      <c r="A216" s="2">
        <v>45978</v>
      </c>
      <c r="B216" s="3">
        <v>654.20148400000005</v>
      </c>
    </row>
    <row r="217" spans="1:2" x14ac:dyDescent="0.3">
      <c r="A217" s="2">
        <v>45979</v>
      </c>
      <c r="B217" s="3">
        <v>654.69754499999999</v>
      </c>
    </row>
    <row r="218" spans="1:2" x14ac:dyDescent="0.3">
      <c r="A218" s="2">
        <v>45980</v>
      </c>
      <c r="B218" s="3">
        <v>655.193983</v>
      </c>
    </row>
    <row r="219" spans="1:2" x14ac:dyDescent="0.3">
      <c r="A219" s="2">
        <v>45981</v>
      </c>
      <c r="B219" s="3">
        <v>655.69079699999998</v>
      </c>
    </row>
    <row r="220" spans="1:2" x14ac:dyDescent="0.3">
      <c r="A220" s="2">
        <v>45986</v>
      </c>
      <c r="B220" s="3">
        <v>658.18052399999999</v>
      </c>
    </row>
    <row r="221" spans="1:2" x14ac:dyDescent="0.3">
      <c r="A221" s="2">
        <v>45987</v>
      </c>
      <c r="B221" s="3">
        <v>658.67960300000004</v>
      </c>
    </row>
    <row r="222" spans="1:2" x14ac:dyDescent="0.3">
      <c r="A222" s="2">
        <v>45988</v>
      </c>
      <c r="B222" s="3">
        <v>659.17906000000005</v>
      </c>
    </row>
    <row r="223" spans="1:2" x14ac:dyDescent="0.3">
      <c r="A223" s="2">
        <v>45989</v>
      </c>
      <c r="B223" s="3">
        <v>659.67889600000001</v>
      </c>
    </row>
    <row r="224" spans="1:2" x14ac:dyDescent="0.3">
      <c r="A224" s="2">
        <v>45992</v>
      </c>
      <c r="B224" s="3">
        <v>661.18067799999994</v>
      </c>
    </row>
    <row r="225" spans="1:2" x14ac:dyDescent="0.3">
      <c r="A225" s="2">
        <v>45993</v>
      </c>
      <c r="B225" s="3">
        <v>661.68203200000005</v>
      </c>
    </row>
    <row r="226" spans="1:2" x14ac:dyDescent="0.3">
      <c r="A226" s="2">
        <v>45994</v>
      </c>
      <c r="B226" s="3">
        <v>662.18376599999999</v>
      </c>
    </row>
    <row r="227" spans="1:2" x14ac:dyDescent="0.3">
      <c r="A227" s="2">
        <v>45995</v>
      </c>
      <c r="B227" s="3">
        <v>662.68588</v>
      </c>
    </row>
    <row r="228" spans="1:2" x14ac:dyDescent="0.3">
      <c r="A228" s="2">
        <v>45996</v>
      </c>
      <c r="B228" s="3">
        <v>663.18837499999995</v>
      </c>
    </row>
    <row r="229" spans="1:2" x14ac:dyDescent="0.3">
      <c r="A229" s="2">
        <v>46000</v>
      </c>
      <c r="B229" s="3">
        <v>665.20216800000003</v>
      </c>
    </row>
    <row r="230" spans="1:2" x14ac:dyDescent="0.3">
      <c r="A230" s="2">
        <v>46001</v>
      </c>
      <c r="B230" s="3">
        <v>665.70657100000005</v>
      </c>
    </row>
    <row r="231" spans="1:2" x14ac:dyDescent="0.3">
      <c r="A231" s="2">
        <v>46002</v>
      </c>
      <c r="B231" s="3">
        <v>666.21135700000002</v>
      </c>
    </row>
    <row r="232" spans="1:2" x14ac:dyDescent="0.3">
      <c r="A232" s="2">
        <v>46003</v>
      </c>
      <c r="B232" s="3">
        <v>666.71652500000005</v>
      </c>
    </row>
    <row r="233" spans="1:2" x14ac:dyDescent="0.3">
      <c r="A233" s="2">
        <v>46006</v>
      </c>
      <c r="B233" s="3">
        <v>668.23429999999996</v>
      </c>
    </row>
    <row r="234" spans="1:2" x14ac:dyDescent="0.3">
      <c r="A234" s="2">
        <v>46007</v>
      </c>
      <c r="B234" s="3">
        <v>668.76679999999999</v>
      </c>
    </row>
    <row r="235" spans="1:2" x14ac:dyDescent="0.3">
      <c r="A235" s="2">
        <v>46008</v>
      </c>
      <c r="B235" s="3">
        <v>669.29970000000003</v>
      </c>
    </row>
    <row r="236" spans="1:2" x14ac:dyDescent="0.3">
      <c r="A236" s="2">
        <v>46009</v>
      </c>
      <c r="B236" s="3">
        <v>669.83309999999994</v>
      </c>
    </row>
    <row r="237" spans="1:2" x14ac:dyDescent="0.3">
      <c r="A237" s="2">
        <v>46010</v>
      </c>
      <c r="B237" s="3">
        <v>670.36680000000001</v>
      </c>
    </row>
    <row r="238" spans="1:2" x14ac:dyDescent="0.3">
      <c r="A238" s="2">
        <v>46013</v>
      </c>
      <c r="B238" s="3">
        <v>671.97059999999999</v>
      </c>
    </row>
    <row r="239" spans="1:2" x14ac:dyDescent="0.3">
      <c r="A239" s="2">
        <v>46014</v>
      </c>
      <c r="B239" s="3">
        <v>672.50609999999995</v>
      </c>
    </row>
    <row r="240" spans="1:2" x14ac:dyDescent="0.3">
      <c r="A240" s="2">
        <v>46017</v>
      </c>
      <c r="B240" s="3">
        <v>674.11509999999998</v>
      </c>
    </row>
    <row r="241" spans="1:2" x14ac:dyDescent="0.3">
      <c r="A241" s="2">
        <v>46020</v>
      </c>
      <c r="B241" s="3">
        <v>675.72789999999998</v>
      </c>
    </row>
    <row r="242" spans="1:2" x14ac:dyDescent="0.3">
      <c r="A242" s="2">
        <v>46021</v>
      </c>
      <c r="B242" s="3">
        <v>676.2663</v>
      </c>
    </row>
    <row r="243" spans="1:2" x14ac:dyDescent="0.3">
      <c r="A243" s="2">
        <v>46024</v>
      </c>
      <c r="B243" s="3">
        <v>677.88419999999996</v>
      </c>
    </row>
    <row r="244" spans="1:2" x14ac:dyDescent="0.3">
      <c r="A244" s="2">
        <v>46027</v>
      </c>
      <c r="B244" s="3">
        <v>679.50609999999995</v>
      </c>
    </row>
    <row r="245" spans="1:2" x14ac:dyDescent="0.3">
      <c r="A245" s="2">
        <v>46028</v>
      </c>
      <c r="B245" s="3">
        <v>680.04750000000001</v>
      </c>
    </row>
    <row r="246" spans="1:2" x14ac:dyDescent="0.3">
      <c r="A246" s="2">
        <v>46029</v>
      </c>
      <c r="B246" s="3">
        <v>680.58939999999996</v>
      </c>
    </row>
    <row r="247" spans="1:2" x14ac:dyDescent="0.3">
      <c r="A247" s="2">
        <v>46030</v>
      </c>
      <c r="B247" s="3">
        <v>681.1318</v>
      </c>
    </row>
    <row r="248" spans="1:2" x14ac:dyDescent="0.3">
      <c r="A248" s="2">
        <v>46031</v>
      </c>
      <c r="B248" s="3">
        <v>681.67449999999997</v>
      </c>
    </row>
    <row r="249" spans="1:2" x14ac:dyDescent="0.3">
      <c r="A249" s="2">
        <v>46034</v>
      </c>
      <c r="B249" s="3">
        <v>683.30539999999996</v>
      </c>
    </row>
    <row r="250" spans="1:2" x14ac:dyDescent="0.3">
      <c r="A250" s="2">
        <v>46035</v>
      </c>
      <c r="B250" s="3">
        <v>683.84990000000005</v>
      </c>
    </row>
    <row r="251" spans="1:2" x14ac:dyDescent="0.3">
      <c r="A251" s="2">
        <v>46036</v>
      </c>
      <c r="B251" s="3">
        <v>684.39480000000003</v>
      </c>
    </row>
    <row r="252" spans="1:2" x14ac:dyDescent="0.3">
      <c r="A252" s="2">
        <v>46037</v>
      </c>
      <c r="B252" s="3">
        <v>684.9402</v>
      </c>
    </row>
    <row r="253" spans="1:2" x14ac:dyDescent="0.3">
      <c r="A253" s="2">
        <v>46038</v>
      </c>
      <c r="B253" s="3">
        <v>685.55060000000003</v>
      </c>
    </row>
    <row r="254" spans="1:2" x14ac:dyDescent="0.3">
      <c r="A254" s="2">
        <v>46041</v>
      </c>
      <c r="B254" s="3">
        <v>687.38520000000005</v>
      </c>
    </row>
    <row r="255" spans="1:2" x14ac:dyDescent="0.3">
      <c r="A255" s="2">
        <v>46042</v>
      </c>
      <c r="B255" s="3">
        <v>687.99779999999998</v>
      </c>
    </row>
    <row r="256" spans="1:2" x14ac:dyDescent="0.3">
      <c r="A256" s="2">
        <v>46043</v>
      </c>
      <c r="B256" s="3">
        <v>688.61090000000002</v>
      </c>
    </row>
    <row r="257" spans="1:2" x14ac:dyDescent="0.3">
      <c r="A257" s="2">
        <v>46044</v>
      </c>
      <c r="B257" s="3">
        <v>689.22460000000001</v>
      </c>
    </row>
    <row r="258" spans="1:2" x14ac:dyDescent="0.3">
      <c r="A258" s="2">
        <v>46045</v>
      </c>
      <c r="B258" s="3">
        <v>689.83879999999999</v>
      </c>
    </row>
    <row r="259" spans="1:2" x14ac:dyDescent="0.3">
      <c r="A259" s="2">
        <v>46048</v>
      </c>
      <c r="B259" s="3">
        <v>691.68489999999997</v>
      </c>
    </row>
    <row r="260" spans="1:2" x14ac:dyDescent="0.3">
      <c r="A260" s="2">
        <v>46049</v>
      </c>
      <c r="B260" s="3">
        <v>692.30129999999997</v>
      </c>
    </row>
    <row r="261" spans="1:2" x14ac:dyDescent="0.3">
      <c r="A261" s="2">
        <v>46050</v>
      </c>
      <c r="B261" s="3">
        <v>692.91830000000004</v>
      </c>
    </row>
    <row r="262" spans="1:2" x14ac:dyDescent="0.3">
      <c r="A262" s="2">
        <v>46051</v>
      </c>
      <c r="B262" s="3">
        <v>693.53579999999999</v>
      </c>
    </row>
    <row r="263" spans="1:2" x14ac:dyDescent="0.3">
      <c r="A263" s="2">
        <v>46052</v>
      </c>
      <c r="B263" s="3">
        <v>694.15390000000002</v>
      </c>
    </row>
    <row r="264" spans="1:2" x14ac:dyDescent="0.3">
      <c r="A264" s="2">
        <v>46055</v>
      </c>
      <c r="B264" s="3">
        <v>696.01149999999996</v>
      </c>
    </row>
    <row r="265" spans="1:2" x14ac:dyDescent="0.3">
      <c r="A265" s="2">
        <v>46056</v>
      </c>
      <c r="B265" s="3">
        <v>696.6318</v>
      </c>
    </row>
    <row r="266" spans="1:2" x14ac:dyDescent="0.3">
      <c r="A266" s="2">
        <v>46057</v>
      </c>
      <c r="B266" s="3">
        <v>697.25260000000003</v>
      </c>
    </row>
    <row r="267" spans="1:2" x14ac:dyDescent="0.3">
      <c r="A267" s="2">
        <v>46058</v>
      </c>
      <c r="B267" s="3">
        <v>697.87400000000002</v>
      </c>
    </row>
    <row r="268" spans="1:2" x14ac:dyDescent="0.3">
      <c r="A268" s="2">
        <v>46059</v>
      </c>
      <c r="B268" s="3">
        <v>698.49590000000001</v>
      </c>
    </row>
    <row r="269" spans="1:2" x14ac:dyDescent="0.3">
      <c r="A269" s="2">
        <v>46062</v>
      </c>
      <c r="B269" s="3">
        <v>700.36509999999998</v>
      </c>
    </row>
    <row r="270" spans="1:2" x14ac:dyDescent="0.3">
      <c r="A270" s="2">
        <v>46063</v>
      </c>
      <c r="B270" s="3">
        <v>700.98929999999996</v>
      </c>
    </row>
    <row r="271" spans="1:2" x14ac:dyDescent="0.3">
      <c r="A271" s="2">
        <v>46064</v>
      </c>
      <c r="B271" s="3">
        <v>701.61400000000003</v>
      </c>
    </row>
    <row r="272" spans="1:2" x14ac:dyDescent="0.3">
      <c r="A272" s="2">
        <v>46065</v>
      </c>
      <c r="B272" s="3">
        <v>702.23929999999996</v>
      </c>
    </row>
    <row r="273" spans="1:2" x14ac:dyDescent="0.3">
      <c r="A273" s="2">
        <v>46066</v>
      </c>
      <c r="B273" s="3">
        <v>702.86519999999996</v>
      </c>
    </row>
    <row r="274" spans="1:2" x14ac:dyDescent="0.3">
      <c r="A274" s="2">
        <v>46071</v>
      </c>
      <c r="B274" s="3">
        <v>706.27850000000001</v>
      </c>
    </row>
    <row r="275" spans="1:2" x14ac:dyDescent="0.3">
      <c r="A275" s="2">
        <v>46072</v>
      </c>
      <c r="B275" s="3">
        <v>707</v>
      </c>
    </row>
    <row r="276" spans="1:2" x14ac:dyDescent="0.3">
      <c r="A276" s="2">
        <v>46073</v>
      </c>
      <c r="B276" s="3">
        <v>707.72220000000004</v>
      </c>
    </row>
    <row r="277" spans="1:2" x14ac:dyDescent="0.3">
      <c r="A277" s="2">
        <v>46076</v>
      </c>
      <c r="B277" s="3">
        <v>709.89319999999998</v>
      </c>
    </row>
    <row r="278" spans="1:2" x14ac:dyDescent="0.3">
      <c r="A278" s="2">
        <v>46077</v>
      </c>
      <c r="B278" s="3">
        <v>710.61839999999995</v>
      </c>
    </row>
    <row r="279" spans="1:2" x14ac:dyDescent="0.3">
      <c r="A279" s="2">
        <v>46078</v>
      </c>
      <c r="B279" s="3">
        <v>711.3442</v>
      </c>
    </row>
    <row r="280" spans="1:2" x14ac:dyDescent="0.3">
      <c r="A280" s="2">
        <v>46079</v>
      </c>
      <c r="B280" s="3">
        <v>712.07090000000005</v>
      </c>
    </row>
    <row r="281" spans="1:2" x14ac:dyDescent="0.3">
      <c r="A281" s="2">
        <v>46080</v>
      </c>
      <c r="B281" s="3">
        <v>712.79830000000004</v>
      </c>
    </row>
    <row r="282" spans="1:2" x14ac:dyDescent="0.3">
      <c r="A282" s="2">
        <v>46083</v>
      </c>
      <c r="B282" s="3">
        <v>714.98490000000004</v>
      </c>
    </row>
    <row r="283" spans="1:2" x14ac:dyDescent="0.3">
      <c r="A283" s="2">
        <v>46084</v>
      </c>
      <c r="B283" s="3">
        <v>715.71519999999998</v>
      </c>
    </row>
    <row r="284" spans="1:2" x14ac:dyDescent="0.3">
      <c r="A284" s="2">
        <v>46085</v>
      </c>
      <c r="B284" s="3">
        <v>716.44629999999995</v>
      </c>
    </row>
    <row r="285" spans="1:2" x14ac:dyDescent="0.3">
      <c r="A285" s="2">
        <v>46086</v>
      </c>
      <c r="B285" s="3">
        <v>717.17819999999995</v>
      </c>
    </row>
    <row r="286" spans="1:2" x14ac:dyDescent="0.3">
      <c r="A286" s="2">
        <v>46087</v>
      </c>
      <c r="B286" s="3">
        <v>717.91079999999999</v>
      </c>
    </row>
    <row r="287" spans="1:2" x14ac:dyDescent="0.3">
      <c r="A287" s="2">
        <v>46090</v>
      </c>
      <c r="B287" s="3">
        <v>720.11310000000003</v>
      </c>
    </row>
    <row r="288" spans="1:2" x14ac:dyDescent="0.3">
      <c r="A288" s="2">
        <v>46091</v>
      </c>
      <c r="B288" s="3">
        <v>720.84870000000001</v>
      </c>
    </row>
    <row r="289" spans="1:2" x14ac:dyDescent="0.3">
      <c r="A289" s="2">
        <v>46092</v>
      </c>
      <c r="B289" s="3">
        <v>721.58500000000004</v>
      </c>
    </row>
    <row r="290" spans="1:2" x14ac:dyDescent="0.3">
      <c r="A290" s="2">
        <v>46093</v>
      </c>
      <c r="B290" s="3">
        <v>722.32209999999998</v>
      </c>
    </row>
    <row r="291" spans="1:2" x14ac:dyDescent="0.3">
      <c r="A291" s="2">
        <v>46094</v>
      </c>
      <c r="B291" s="3">
        <v>723.06</v>
      </c>
    </row>
    <row r="292" spans="1:2" x14ac:dyDescent="0.3">
      <c r="A292" s="2">
        <v>46097</v>
      </c>
      <c r="B292" s="3">
        <v>725.20640921375002</v>
      </c>
    </row>
    <row r="293" spans="1:2" x14ac:dyDescent="0.3">
      <c r="A293" s="2">
        <v>46098</v>
      </c>
      <c r="B293" s="3">
        <v>725.87548563500002</v>
      </c>
    </row>
    <row r="294" spans="1:2" x14ac:dyDescent="0.3">
      <c r="A294" s="2">
        <v>46099</v>
      </c>
      <c r="B294" s="3">
        <v>726.54517934707997</v>
      </c>
    </row>
    <row r="295" spans="1:2" x14ac:dyDescent="0.3">
      <c r="A295" s="2">
        <v>46100</v>
      </c>
      <c r="B295" s="3">
        <v>727.21549091947998</v>
      </c>
    </row>
    <row r="296" spans="1:2" x14ac:dyDescent="0.3">
      <c r="A296" s="2">
        <v>46101</v>
      </c>
      <c r="B296" s="3">
        <v>727.88642092225996</v>
      </c>
    </row>
    <row r="297" spans="1:2" x14ac:dyDescent="0.3">
      <c r="A297" s="2">
        <v>46106</v>
      </c>
      <c r="B297" s="3">
        <v>731.25036737988</v>
      </c>
    </row>
    <row r="298" spans="1:2" x14ac:dyDescent="0.3">
      <c r="A298" s="2">
        <v>46107</v>
      </c>
      <c r="B298" s="3">
        <v>731.92501996517001</v>
      </c>
    </row>
    <row r="299" spans="1:2" x14ac:dyDescent="0.3">
      <c r="A299" s="2">
        <v>46108</v>
      </c>
      <c r="B299" s="3">
        <v>732.60029498586005</v>
      </c>
    </row>
    <row r="300" spans="1:2" x14ac:dyDescent="0.3">
      <c r="A300" s="2">
        <v>46111</v>
      </c>
      <c r="B300" s="3">
        <v>734.62986040553994</v>
      </c>
    </row>
    <row r="301" spans="1:2" x14ac:dyDescent="0.3">
      <c r="A301" s="2">
        <v>46112</v>
      </c>
      <c r="B301" s="3">
        <v>735.30763091569997</v>
      </c>
    </row>
    <row r="302" spans="1:2" x14ac:dyDescent="0.3">
      <c r="A302" s="2">
        <v>46113</v>
      </c>
      <c r="B302" s="3">
        <v>735.98602673786002</v>
      </c>
    </row>
    <row r="303" spans="1:2" x14ac:dyDescent="0.3">
      <c r="A303" s="2">
        <v>46118</v>
      </c>
      <c r="B303" s="3">
        <v>739.38740573922996</v>
      </c>
    </row>
    <row r="304" spans="1:2" x14ac:dyDescent="0.3">
      <c r="A304" s="2">
        <v>46119</v>
      </c>
      <c r="B304" s="3">
        <v>740.06956556720002</v>
      </c>
    </row>
    <row r="305" spans="1:2" x14ac:dyDescent="0.3">
      <c r="A305" s="2">
        <v>46120</v>
      </c>
      <c r="B305" s="3">
        <v>740.75235475676004</v>
      </c>
    </row>
    <row r="306" spans="1:2" x14ac:dyDescent="0.3">
      <c r="A306" s="2">
        <v>46121</v>
      </c>
      <c r="B306" s="3">
        <v>741.43577388854999</v>
      </c>
    </row>
    <row r="307" spans="1:2" x14ac:dyDescent="0.3">
      <c r="A307" s="2">
        <v>46122</v>
      </c>
      <c r="B307" s="3">
        <v>742.11982354377005</v>
      </c>
    </row>
    <row r="308" spans="1:2" x14ac:dyDescent="0.3">
      <c r="A308" s="2">
        <v>46125</v>
      </c>
      <c r="B308" s="3">
        <v>744.17576146985004</v>
      </c>
    </row>
    <row r="309" spans="1:2" x14ac:dyDescent="0.3">
      <c r="A309" s="2">
        <v>46126</v>
      </c>
      <c r="B309" s="3">
        <v>744.86233904134997</v>
      </c>
    </row>
    <row r="310" spans="1:2" x14ac:dyDescent="0.3">
      <c r="A310" s="2">
        <v>46127</v>
      </c>
      <c r="B310" s="3">
        <v>745.54955005023999</v>
      </c>
    </row>
    <row r="311" spans="1:2" x14ac:dyDescent="0.3">
      <c r="A311" s="2">
        <v>46128</v>
      </c>
      <c r="B311" s="3">
        <v>746.38092265237003</v>
      </c>
    </row>
    <row r="312" spans="1:2" x14ac:dyDescent="0.3">
      <c r="A312" s="2">
        <v>46129</v>
      </c>
      <c r="B312" s="3">
        <v>747.21322232958005</v>
      </c>
    </row>
    <row r="313" spans="1:2" x14ac:dyDescent="0.3">
      <c r="A313" s="2">
        <v>46132</v>
      </c>
      <c r="B313" s="3">
        <v>749.71569415532997</v>
      </c>
    </row>
    <row r="314" spans="1:2" x14ac:dyDescent="0.3">
      <c r="A314" s="2">
        <v>46133</v>
      </c>
      <c r="B314" s="3">
        <v>750.55171248229999</v>
      </c>
    </row>
    <row r="315" spans="1:2" x14ac:dyDescent="0.3">
      <c r="A315" s="2">
        <v>46134</v>
      </c>
      <c r="B315" s="3">
        <v>751.38866306486</v>
      </c>
    </row>
    <row r="316" spans="1:2" x14ac:dyDescent="0.3">
      <c r="A316" s="2">
        <v>46135</v>
      </c>
      <c r="B316" s="3">
        <v>752.22654694257994</v>
      </c>
    </row>
    <row r="317" spans="1:2" x14ac:dyDescent="0.3">
      <c r="A317" s="2">
        <v>46136</v>
      </c>
      <c r="B317" s="3">
        <v>753.06536515617995</v>
      </c>
    </row>
    <row r="318" spans="1:2" x14ac:dyDescent="0.3">
      <c r="A318" s="2">
        <v>46139</v>
      </c>
      <c r="B318" s="3">
        <v>755.58743623701002</v>
      </c>
    </row>
    <row r="319" spans="1:2" x14ac:dyDescent="0.3">
      <c r="A319" s="2">
        <v>46140</v>
      </c>
      <c r="B319" s="3">
        <v>756.43000222469004</v>
      </c>
    </row>
    <row r="320" spans="1:2" x14ac:dyDescent="0.3">
      <c r="A320" s="2">
        <v>46141</v>
      </c>
      <c r="B320" s="3">
        <v>757.27350776933997</v>
      </c>
    </row>
    <row r="321" spans="1:2" x14ac:dyDescent="0.3">
      <c r="A321" s="2">
        <v>46142</v>
      </c>
      <c r="B321" s="3">
        <v>758.11795391867997</v>
      </c>
    </row>
    <row r="322" spans="1:2" x14ac:dyDescent="0.3">
      <c r="A322" s="2">
        <v>46146</v>
      </c>
      <c r="B322" s="3">
        <v>761.50516555803995</v>
      </c>
    </row>
    <row r="323" spans="1:2" x14ac:dyDescent="0.3">
      <c r="A323" s="2">
        <v>46147</v>
      </c>
      <c r="B323" s="3">
        <v>762.35433048744005</v>
      </c>
    </row>
    <row r="324" spans="1:2" x14ac:dyDescent="0.3">
      <c r="A324" s="2">
        <v>46148</v>
      </c>
      <c r="B324" s="3">
        <v>763.20444233237004</v>
      </c>
    </row>
    <row r="325" spans="1:2" x14ac:dyDescent="0.3">
      <c r="A325" s="2">
        <v>46149</v>
      </c>
      <c r="B325" s="3">
        <v>764.05550214875996</v>
      </c>
    </row>
    <row r="326" spans="1:2" x14ac:dyDescent="0.3">
      <c r="A326" s="2">
        <v>46150</v>
      </c>
      <c r="B326" s="3">
        <v>764.90751099372005</v>
      </c>
    </row>
    <row r="327" spans="1:2" x14ac:dyDescent="0.3">
      <c r="A327" s="2">
        <v>46153</v>
      </c>
      <c r="B327" s="3">
        <v>767.46924228856994</v>
      </c>
    </row>
    <row r="328" spans="1:2" x14ac:dyDescent="0.3">
      <c r="A328" s="2">
        <v>46154</v>
      </c>
      <c r="B328" s="3">
        <v>768.32505784231</v>
      </c>
    </row>
    <row r="329" spans="1:2" x14ac:dyDescent="0.3">
      <c r="A329" s="2">
        <v>46155</v>
      </c>
      <c r="B329" s="3">
        <v>769.18182772780006</v>
      </c>
    </row>
    <row r="330" spans="1:2" x14ac:dyDescent="0.3">
      <c r="A330" s="2">
        <v>46156</v>
      </c>
      <c r="B330" s="3">
        <v>770.03955300921996</v>
      </c>
    </row>
    <row r="331" spans="1:2" x14ac:dyDescent="0.3">
      <c r="A331" s="2">
        <v>46157</v>
      </c>
      <c r="B331" s="3">
        <v>770.89823475194999</v>
      </c>
    </row>
    <row r="332" spans="1:2" x14ac:dyDescent="0.3">
      <c r="A332" s="2">
        <v>46160</v>
      </c>
      <c r="B332" s="3">
        <v>772.81550731695995</v>
      </c>
    </row>
    <row r="333" spans="1:2" x14ac:dyDescent="0.3">
      <c r="A333" s="2">
        <v>46161</v>
      </c>
      <c r="B333" s="3">
        <v>773.45565722644994</v>
      </c>
    </row>
    <row r="334" spans="1:2" x14ac:dyDescent="0.3">
      <c r="A334" s="2">
        <v>46162</v>
      </c>
      <c r="B334" s="3">
        <v>774.09633739433002</v>
      </c>
    </row>
    <row r="335" spans="1:2" x14ac:dyDescent="0.3">
      <c r="A335" s="2">
        <v>46163</v>
      </c>
      <c r="B335" s="3">
        <v>774.73754825983997</v>
      </c>
    </row>
    <row r="336" spans="1:2" x14ac:dyDescent="0.3">
      <c r="A336" s="2">
        <v>46164</v>
      </c>
      <c r="B336" s="3">
        <v>775.37929026255995</v>
      </c>
    </row>
    <row r="337" spans="1:2" x14ac:dyDescent="0.3">
      <c r="A337" s="2">
        <v>46168</v>
      </c>
      <c r="B337" s="3">
        <v>777.95157845026995</v>
      </c>
    </row>
    <row r="338" spans="1:2" x14ac:dyDescent="0.3">
      <c r="A338" s="2">
        <v>46169</v>
      </c>
      <c r="B338" s="3">
        <v>778.59598274576001</v>
      </c>
    </row>
    <row r="339" spans="1:2" x14ac:dyDescent="0.3">
      <c r="A339" s="2">
        <v>46170</v>
      </c>
      <c r="B339" s="3">
        <v>779.24092082369998</v>
      </c>
    </row>
    <row r="340" spans="1:2" x14ac:dyDescent="0.3">
      <c r="A340" s="2">
        <v>46171</v>
      </c>
      <c r="B340" s="3">
        <v>779.88639312623002</v>
      </c>
    </row>
    <row r="341" spans="1:2" x14ac:dyDescent="0.3">
      <c r="A341" s="2">
        <v>46174</v>
      </c>
      <c r="B341" s="3">
        <v>781.82601980840002</v>
      </c>
    </row>
    <row r="342" spans="1:2" x14ac:dyDescent="0.3">
      <c r="A342" s="2">
        <v>46175</v>
      </c>
      <c r="B342" s="3">
        <v>782.47363343815005</v>
      </c>
    </row>
    <row r="343" spans="1:2" x14ac:dyDescent="0.3">
      <c r="A343" s="2">
        <v>46176</v>
      </c>
      <c r="B343" s="3">
        <v>783.12178350875001</v>
      </c>
    </row>
    <row r="344" spans="1:2" x14ac:dyDescent="0.3">
      <c r="A344" s="2">
        <v>46177</v>
      </c>
      <c r="B344" s="3">
        <v>783.77047046455004</v>
      </c>
    </row>
    <row r="345" spans="1:2" x14ac:dyDescent="0.3">
      <c r="A345" s="2">
        <v>46178</v>
      </c>
      <c r="B345" s="3">
        <v>784.41969475026997</v>
      </c>
    </row>
    <row r="346" spans="1:2" x14ac:dyDescent="0.3">
      <c r="A346" s="2">
        <v>46181</v>
      </c>
      <c r="B346" s="3">
        <v>786.37059603969999</v>
      </c>
    </row>
    <row r="347" spans="1:2" x14ac:dyDescent="0.3">
      <c r="A347" s="2">
        <v>46182</v>
      </c>
      <c r="B347" s="3">
        <v>787.02197409968005</v>
      </c>
    </row>
    <row r="348" spans="1:2" x14ac:dyDescent="0.3">
      <c r="A348" s="2">
        <v>46183</v>
      </c>
      <c r="B348" s="3">
        <v>787.67389171873003</v>
      </c>
    </row>
    <row r="349" spans="1:2" x14ac:dyDescent="0.3">
      <c r="A349" s="2">
        <v>46184</v>
      </c>
      <c r="B349" s="3">
        <v>788.32634934375994</v>
      </c>
    </row>
    <row r="350" spans="1:2" x14ac:dyDescent="0.3">
      <c r="A350" s="2">
        <v>46185</v>
      </c>
      <c r="B350" s="3">
        <v>788.97934742209998</v>
      </c>
    </row>
    <row r="351" spans="1:2" x14ac:dyDescent="0.3">
      <c r="A351" s="2">
        <v>46189</v>
      </c>
      <c r="B351" s="3">
        <v>791.48970450621005</v>
      </c>
    </row>
    <row r="352" spans="1:2" x14ac:dyDescent="0.3">
      <c r="A352" s="2">
        <v>46190</v>
      </c>
      <c r="B352" s="3">
        <v>792.03819999631003</v>
      </c>
    </row>
    <row r="353" spans="1:2" x14ac:dyDescent="0.3">
      <c r="A353" s="2">
        <v>46191</v>
      </c>
      <c r="B353" s="3">
        <v>792.58707558901995</v>
      </c>
    </row>
    <row r="354" spans="1:2" x14ac:dyDescent="0.3">
      <c r="A354" s="2">
        <v>46192</v>
      </c>
      <c r="B354" s="3">
        <v>793.13633154774004</v>
      </c>
    </row>
    <row r="355" spans="1:2" x14ac:dyDescent="0.3">
      <c r="A355" s="2">
        <v>46195</v>
      </c>
      <c r="B355" s="3">
        <v>794.78638425684005</v>
      </c>
    </row>
    <row r="356" spans="1:2" x14ac:dyDescent="0.3">
      <c r="A356" s="2">
        <v>46196</v>
      </c>
      <c r="B356" s="3">
        <v>795.33716431737002</v>
      </c>
    </row>
    <row r="357" spans="1:2" x14ac:dyDescent="0.3">
      <c r="A357" s="2">
        <v>46197</v>
      </c>
      <c r="B357" s="3">
        <v>795.88832606369999</v>
      </c>
    </row>
    <row r="358" spans="1:2" x14ac:dyDescent="0.3">
      <c r="A358" s="2">
        <v>46198</v>
      </c>
      <c r="B358" s="3">
        <v>796.43986976033</v>
      </c>
    </row>
    <row r="359" spans="1:2" x14ac:dyDescent="0.3">
      <c r="A359" s="2">
        <v>46199</v>
      </c>
      <c r="B359" s="3">
        <v>796.99179567194994</v>
      </c>
    </row>
    <row r="360" spans="1:2" x14ac:dyDescent="0.3">
      <c r="A360" s="2">
        <v>46202</v>
      </c>
      <c r="B360" s="3">
        <v>798.64986934639001</v>
      </c>
    </row>
    <row r="361" spans="1:2" x14ac:dyDescent="0.3">
      <c r="A361" s="2">
        <v>46203</v>
      </c>
      <c r="B361" s="3">
        <v>799.20332676852001</v>
      </c>
    </row>
    <row r="362" spans="1:2" x14ac:dyDescent="0.3">
      <c r="A362" s="2">
        <v>46204</v>
      </c>
      <c r="B362" s="3">
        <v>799.75716773184001</v>
      </c>
    </row>
    <row r="363" spans="1:2" x14ac:dyDescent="0.3">
      <c r="A363" s="2">
        <v>46205</v>
      </c>
      <c r="B363" s="3">
        <v>800.31139250214005</v>
      </c>
    </row>
    <row r="364" spans="1:2" x14ac:dyDescent="0.3">
      <c r="A364" s="2">
        <v>46206</v>
      </c>
      <c r="B364" s="3">
        <v>800.86600134539003</v>
      </c>
    </row>
    <row r="365" spans="1:2" x14ac:dyDescent="0.3">
      <c r="A365" s="2">
        <v>46209</v>
      </c>
      <c r="B365" s="3">
        <v>802.53213497537001</v>
      </c>
    </row>
    <row r="366" spans="1:2" x14ac:dyDescent="0.3">
      <c r="A366" s="2">
        <v>46210</v>
      </c>
      <c r="B366" s="3">
        <v>803.08828277385999</v>
      </c>
    </row>
    <row r="367" spans="1:2" x14ac:dyDescent="0.3">
      <c r="A367" s="2">
        <v>46211</v>
      </c>
      <c r="B367" s="3">
        <v>803.64481597794997</v>
      </c>
    </row>
    <row r="368" spans="1:2" x14ac:dyDescent="0.3">
      <c r="A368" s="2">
        <v>46216</v>
      </c>
      <c r="B368" s="3">
        <v>806.43327243666999</v>
      </c>
    </row>
    <row r="369" spans="1:2" x14ac:dyDescent="0.3">
      <c r="A369" s="2">
        <v>46217</v>
      </c>
      <c r="B369" s="3">
        <v>806.99212368953999</v>
      </c>
    </row>
    <row r="370" spans="1:2" x14ac:dyDescent="0.3">
      <c r="A370" s="2">
        <v>46218</v>
      </c>
      <c r="B370" s="3">
        <v>807.55136222146996</v>
      </c>
    </row>
    <row r="371" spans="1:2" x14ac:dyDescent="0.3">
      <c r="A371" s="2">
        <v>46219</v>
      </c>
      <c r="B371" s="3">
        <v>808.04181862256996</v>
      </c>
    </row>
    <row r="372" spans="1:2" x14ac:dyDescent="0.3">
      <c r="A372" s="2">
        <v>46220</v>
      </c>
      <c r="B372" s="3">
        <v>808.53257289634996</v>
      </c>
    </row>
    <row r="373" spans="1:2" x14ac:dyDescent="0.3">
      <c r="A373" s="2">
        <v>46223</v>
      </c>
      <c r="B373" s="3">
        <v>810.00662476334003</v>
      </c>
    </row>
    <row r="374" spans="1:2" x14ac:dyDescent="0.3">
      <c r="A374" s="2">
        <v>46224</v>
      </c>
      <c r="B374" s="3">
        <v>810.49857233800003</v>
      </c>
    </row>
    <row r="375" spans="1:2" x14ac:dyDescent="0.3">
      <c r="A375" s="2">
        <v>46225</v>
      </c>
      <c r="B375" s="3">
        <v>810.99081869096995</v>
      </c>
    </row>
    <row r="376" spans="1:2" x14ac:dyDescent="0.3">
      <c r="A376" s="2">
        <v>46226</v>
      </c>
      <c r="B376" s="3">
        <v>811.48336400370999</v>
      </c>
    </row>
    <row r="377" spans="1:2" x14ac:dyDescent="0.3">
      <c r="A377" s="2">
        <v>46227</v>
      </c>
      <c r="B377" s="3">
        <v>811.97620845781</v>
      </c>
    </row>
    <row r="378" spans="1:2" x14ac:dyDescent="0.3">
      <c r="A378" s="2">
        <v>46230</v>
      </c>
      <c r="B378" s="3">
        <v>813.45653848551001</v>
      </c>
    </row>
    <row r="379" spans="1:2" x14ac:dyDescent="0.3">
      <c r="A379" s="2">
        <v>46231</v>
      </c>
      <c r="B379" s="3">
        <v>813.95058132289</v>
      </c>
    </row>
    <row r="380" spans="1:2" x14ac:dyDescent="0.3">
      <c r="A380" s="2">
        <v>46232</v>
      </c>
      <c r="B380" s="3">
        <v>814.44492421112</v>
      </c>
    </row>
    <row r="381" spans="1:2" x14ac:dyDescent="0.3">
      <c r="A381" s="2">
        <v>46233</v>
      </c>
      <c r="B381" s="3">
        <v>814.93956733241998</v>
      </c>
    </row>
    <row r="382" spans="1:2" x14ac:dyDescent="0.3">
      <c r="A382" s="2">
        <v>46234</v>
      </c>
      <c r="B382" s="3">
        <v>815.43451086916002</v>
      </c>
    </row>
    <row r="383" spans="1:2" x14ac:dyDescent="0.3">
      <c r="A383" s="2">
        <v>46237</v>
      </c>
      <c r="B383" s="3">
        <v>816.92114579699</v>
      </c>
    </row>
    <row r="384" spans="1:2" x14ac:dyDescent="0.3">
      <c r="A384" s="2">
        <v>46238</v>
      </c>
      <c r="B384" s="3">
        <v>817.41729282106996</v>
      </c>
    </row>
    <row r="385" spans="1:2" x14ac:dyDescent="0.3">
      <c r="A385" s="2">
        <v>46239</v>
      </c>
      <c r="B385" s="3">
        <v>817.91374117394002</v>
      </c>
    </row>
    <row r="386" spans="1:2" x14ac:dyDescent="0.3">
      <c r="A386" s="2">
        <v>46240</v>
      </c>
      <c r="B386" s="3">
        <v>818.41049103862997</v>
      </c>
    </row>
    <row r="387" spans="1:2" x14ac:dyDescent="0.3">
      <c r="A387" s="2">
        <v>46241</v>
      </c>
      <c r="B387" s="3">
        <v>818.90754259823996</v>
      </c>
    </row>
    <row r="388" spans="1:2" x14ac:dyDescent="0.3">
      <c r="A388" s="2">
        <v>46244</v>
      </c>
      <c r="B388" s="3">
        <v>820.40050927951995</v>
      </c>
    </row>
    <row r="389" spans="1:2" x14ac:dyDescent="0.3">
      <c r="A389" s="2">
        <v>46245</v>
      </c>
      <c r="B389" s="3">
        <v>820.89876945228002</v>
      </c>
    </row>
    <row r="390" spans="1:2" x14ac:dyDescent="0.3">
      <c r="A390" s="2">
        <v>46246</v>
      </c>
      <c r="B390" s="3">
        <v>821.39733223721998</v>
      </c>
    </row>
    <row r="391" spans="1:2" x14ac:dyDescent="0.3">
      <c r="A391" s="2">
        <v>46247</v>
      </c>
      <c r="B391" s="3">
        <v>821.89619781814997</v>
      </c>
    </row>
    <row r="392" spans="1:2" x14ac:dyDescent="0.3">
      <c r="A392" s="2">
        <v>46248</v>
      </c>
      <c r="B392" s="3">
        <v>822.39536637897004</v>
      </c>
    </row>
    <row r="393" spans="1:2" x14ac:dyDescent="0.3">
      <c r="A393" s="2">
        <v>46252</v>
      </c>
      <c r="B393" s="3">
        <v>824.55152069860003</v>
      </c>
    </row>
    <row r="394" spans="1:2" x14ac:dyDescent="0.3">
      <c r="A394" s="2">
        <v>46253</v>
      </c>
      <c r="B394" s="3">
        <v>825.10448907565001</v>
      </c>
    </row>
    <row r="395" spans="1:2" x14ac:dyDescent="0.3">
      <c r="A395" s="2">
        <v>46254</v>
      </c>
      <c r="B395" s="3">
        <v>825.65782828946999</v>
      </c>
    </row>
    <row r="396" spans="1:2" x14ac:dyDescent="0.3">
      <c r="A396" s="2">
        <v>46255</v>
      </c>
      <c r="B396" s="3">
        <v>826.21153858876005</v>
      </c>
    </row>
    <row r="397" spans="1:2" x14ac:dyDescent="0.3">
      <c r="A397" s="2">
        <v>46258</v>
      </c>
      <c r="B397" s="3">
        <v>827.87489848887003</v>
      </c>
    </row>
    <row r="398" spans="1:2" x14ac:dyDescent="0.3">
      <c r="A398" s="2">
        <v>46259</v>
      </c>
      <c r="B398" s="3">
        <v>828.43009562029999</v>
      </c>
    </row>
    <row r="399" spans="1:2" x14ac:dyDescent="0.3">
      <c r="A399" s="2">
        <v>46260</v>
      </c>
      <c r="B399" s="3">
        <v>828.98566508318004</v>
      </c>
    </row>
    <row r="400" spans="1:2" x14ac:dyDescent="0.3">
      <c r="A400" s="2">
        <v>46261</v>
      </c>
      <c r="B400" s="3">
        <v>829.5416071272</v>
      </c>
    </row>
    <row r="401" spans="1:2" x14ac:dyDescent="0.3">
      <c r="A401" s="2">
        <v>46262</v>
      </c>
      <c r="B401" s="3">
        <v>830.09792200222</v>
      </c>
    </row>
    <row r="402" spans="1:2" x14ac:dyDescent="0.3">
      <c r="A402" s="2">
        <v>46265</v>
      </c>
      <c r="B402" s="3">
        <v>831.76910611443998</v>
      </c>
    </row>
    <row r="403" spans="1:2" x14ac:dyDescent="0.3">
      <c r="A403" s="2">
        <v>46266</v>
      </c>
      <c r="B403" s="3">
        <v>832.32691481545999</v>
      </c>
    </row>
    <row r="404" spans="1:2" x14ac:dyDescent="0.3">
      <c r="A404" s="2">
        <v>46267</v>
      </c>
      <c r="B404" s="3">
        <v>832.88509759931992</v>
      </c>
    </row>
    <row r="405" spans="1:2" x14ac:dyDescent="0.3">
      <c r="A405" s="2">
        <v>46268</v>
      </c>
      <c r="B405" s="3">
        <v>833.44365471688002</v>
      </c>
    </row>
    <row r="406" spans="1:2" x14ac:dyDescent="0.3">
      <c r="A406" s="2">
        <v>46269</v>
      </c>
      <c r="B406" s="3">
        <v>834.00258641919004</v>
      </c>
    </row>
    <row r="407" spans="1:2" x14ac:dyDescent="0.3">
      <c r="A407" s="2">
        <v>46272</v>
      </c>
      <c r="B407" s="3">
        <v>835.68163154752006</v>
      </c>
    </row>
    <row r="408" spans="1:2" x14ac:dyDescent="0.3">
      <c r="A408" s="2">
        <v>46273</v>
      </c>
      <c r="B408" s="3">
        <v>836.24206410258</v>
      </c>
    </row>
    <row r="409" spans="1:2" x14ac:dyDescent="0.3">
      <c r="A409" s="2">
        <v>46274</v>
      </c>
      <c r="B409" s="3">
        <v>836.80287250010997</v>
      </c>
    </row>
    <row r="410" spans="1:2" x14ac:dyDescent="0.3">
      <c r="A410" s="2">
        <v>46275</v>
      </c>
      <c r="B410" s="3">
        <v>837.36405699215993</v>
      </c>
    </row>
    <row r="411" spans="1:2" x14ac:dyDescent="0.3">
      <c r="A411" s="2">
        <v>46276</v>
      </c>
      <c r="B411" s="3">
        <v>837.92561783095005</v>
      </c>
    </row>
    <row r="412" spans="1:2" x14ac:dyDescent="0.3">
      <c r="A412" s="2">
        <v>46279</v>
      </c>
      <c r="B412" s="3">
        <v>839.61256095250997</v>
      </c>
    </row>
    <row r="413" spans="1:2" x14ac:dyDescent="0.3">
      <c r="A413" s="2">
        <v>46280</v>
      </c>
      <c r="B413" s="3">
        <v>840.17562970384995</v>
      </c>
    </row>
    <row r="414" spans="1:2" x14ac:dyDescent="0.3">
      <c r="A414" s="2">
        <v>46281</v>
      </c>
      <c r="B414" s="3">
        <v>840.64786033042003</v>
      </c>
    </row>
    <row r="415" spans="1:2" x14ac:dyDescent="0.3">
      <c r="A415" s="2">
        <v>46282</v>
      </c>
      <c r="B415" s="3">
        <v>841.12035637977999</v>
      </c>
    </row>
    <row r="416" spans="1:2" x14ac:dyDescent="0.3">
      <c r="A416" s="2">
        <v>46283</v>
      </c>
      <c r="B416" s="3">
        <v>841.59311800112005</v>
      </c>
    </row>
    <row r="417" spans="1:2" x14ac:dyDescent="0.3">
      <c r="A417" s="2">
        <v>46286</v>
      </c>
      <c r="B417" s="3">
        <v>843.01299779013004</v>
      </c>
    </row>
    <row r="418" spans="1:2" x14ac:dyDescent="0.3">
      <c r="A418" s="2">
        <v>46287</v>
      </c>
      <c r="B418" s="3">
        <v>843.48682319291004</v>
      </c>
    </row>
    <row r="419" spans="1:2" x14ac:dyDescent="0.3">
      <c r="A419" s="2">
        <v>46288</v>
      </c>
      <c r="B419" s="3">
        <v>843.96091491485004</v>
      </c>
    </row>
    <row r="420" spans="1:2" x14ac:dyDescent="0.3">
      <c r="A420" s="2">
        <f>+WORKDAY(A419,1,[4]Feriados!$A$2:$A$38)</f>
        <v>46289</v>
      </c>
      <c r="B420" s="3">
        <v>844.43527310563002</v>
      </c>
    </row>
    <row r="421" spans="1:2" x14ac:dyDescent="0.3">
      <c r="A421" s="2">
        <f>+WORKDAY(A420,1,[4]Feriados!$A$2:$A$38)</f>
        <v>46290</v>
      </c>
      <c r="B421" s="3">
        <v>844.90989791504001</v>
      </c>
    </row>
    <row r="422" spans="1:2" x14ac:dyDescent="0.3">
      <c r="A422" s="2">
        <f>+WORKDAY(A421,1,[4]Feriados!$A$2:$A$38)</f>
        <v>46293</v>
      </c>
      <c r="B422" s="3">
        <v>846.33537355394003</v>
      </c>
    </row>
    <row r="423" spans="1:2" x14ac:dyDescent="0.3">
      <c r="A423" s="2">
        <f>+WORKDAY(A422,1,[4]Feriados!$A$2:$A$38)</f>
        <v>46294</v>
      </c>
      <c r="B423" s="3">
        <v>846.81106633722004</v>
      </c>
    </row>
    <row r="424" spans="1:2" x14ac:dyDescent="0.3">
      <c r="A424" s="2">
        <f>+WORKDAY(A423,1,[4]Feriados!$A$2:$A$38)</f>
        <v>46295</v>
      </c>
      <c r="B424" s="3">
        <v>847.28702648924002</v>
      </c>
    </row>
    <row r="425" spans="1:2" x14ac:dyDescent="0.3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3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3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3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3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3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3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3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3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3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3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3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3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3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3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3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3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3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3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3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3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3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3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3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3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3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3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3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3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3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3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3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3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3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3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3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3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3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3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3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3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3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3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3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3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3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3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3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3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3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3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3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3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3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3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3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3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3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3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3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3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3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3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3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3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3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3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3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3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3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3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3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3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3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3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3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3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3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3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3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3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3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3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3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3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3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3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3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3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3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3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3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3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3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3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3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3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3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3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3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3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3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3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3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3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3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3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3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3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3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3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3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3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3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3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3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3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3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3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3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3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3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3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3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3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3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3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3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3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3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3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3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3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3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3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3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3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3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3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3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3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3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3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3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3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3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3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3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3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3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3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3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3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3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3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3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3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3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3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3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3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3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3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3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3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3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3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3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3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3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3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3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G30" sqref="G30"/>
    </sheetView>
  </sheetViews>
  <sheetFormatPr baseColWidth="10" defaultRowHeight="14.4" x14ac:dyDescent="0.3"/>
  <sheetData>
    <row r="1" spans="1:1" x14ac:dyDescent="0.3">
      <c r="A1" t="s">
        <v>0</v>
      </c>
    </row>
    <row r="2" spans="1:1" x14ac:dyDescent="0.3">
      <c r="A2" s="1">
        <f>+[5]Hoja1!$B31</f>
        <v>46167</v>
      </c>
    </row>
    <row r="3" spans="1:1" x14ac:dyDescent="0.3">
      <c r="A3" s="1">
        <f>+[5]Hoja1!$B32</f>
        <v>46188</v>
      </c>
    </row>
    <row r="4" spans="1:1" x14ac:dyDescent="0.3">
      <c r="A4" s="1">
        <f>+[5]Hoja1!$B33</f>
        <v>46212</v>
      </c>
    </row>
    <row r="5" spans="1:1" x14ac:dyDescent="0.3">
      <c r="A5" s="1">
        <f>+[5]Hoja1!$B34</f>
        <v>46213</v>
      </c>
    </row>
    <row r="6" spans="1:1" x14ac:dyDescent="0.3">
      <c r="A6" s="1">
        <f>+[5]Hoja1!$B35</f>
        <v>46251</v>
      </c>
    </row>
    <row r="7" spans="1:1" x14ac:dyDescent="0.3">
      <c r="A7" s="1">
        <f>+[5]Hoja1!$B36</f>
        <v>46307</v>
      </c>
    </row>
    <row r="8" spans="1:1" x14ac:dyDescent="0.3">
      <c r="A8" s="1">
        <f>+[5]Hoja1!$B37</f>
        <v>46332</v>
      </c>
    </row>
    <row r="9" spans="1:1" x14ac:dyDescent="0.3">
      <c r="A9" s="1">
        <f>+[5]Hoja1!$B38</f>
        <v>46335</v>
      </c>
    </row>
    <row r="10" spans="1:1" x14ac:dyDescent="0.3">
      <c r="A10" s="1">
        <f>+[5]Hoja1!$B39</f>
        <v>46336</v>
      </c>
    </row>
    <row r="11" spans="1:1" x14ac:dyDescent="0.3">
      <c r="A11" s="1">
        <f>+[5]Hoja1!$B40</f>
        <v>46349</v>
      </c>
    </row>
    <row r="12" spans="1:1" x14ac:dyDescent="0.3">
      <c r="A12" s="1">
        <f>+[5]Hoja1!$B41</f>
        <v>46363</v>
      </c>
    </row>
    <row r="13" spans="1:1" x14ac:dyDescent="0.3">
      <c r="A13" s="1">
        <f>+[5]Hoja1!$B42</f>
        <v>46364</v>
      </c>
    </row>
    <row r="14" spans="1:1" x14ac:dyDescent="0.3">
      <c r="A14" s="1">
        <f>+[5]Hoja1!$B43</f>
        <v>46381</v>
      </c>
    </row>
    <row r="15" spans="1:1" x14ac:dyDescent="0.3">
      <c r="A15" s="1"/>
    </row>
    <row r="16" spans="1:1" x14ac:dyDescent="0.3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D7" sqref="D7"/>
    </sheetView>
  </sheetViews>
  <sheetFormatPr baseColWidth="10" defaultRowHeight="14.4" x14ac:dyDescent="0.3"/>
  <cols>
    <col min="3" max="3" width="12.88671875" customWidth="1"/>
  </cols>
  <sheetData>
    <row r="1" spans="1:4" x14ac:dyDescent="0.3">
      <c r="A1" t="s">
        <v>6</v>
      </c>
      <c r="B1" t="s">
        <v>8</v>
      </c>
      <c r="C1" t="s">
        <v>9</v>
      </c>
      <c r="D1" t="s">
        <v>10</v>
      </c>
    </row>
    <row r="2" spans="1:4" x14ac:dyDescent="0.3">
      <c r="A2" t="s">
        <v>23</v>
      </c>
      <c r="B2" s="8">
        <v>45961</v>
      </c>
      <c r="C2" s="8">
        <v>46325</v>
      </c>
      <c r="D2" s="7">
        <v>2.5499999999999998E-2</v>
      </c>
    </row>
    <row r="3" spans="1:4" x14ac:dyDescent="0.3">
      <c r="A3" t="s">
        <v>24</v>
      </c>
      <c r="B3" s="8">
        <v>46203</v>
      </c>
      <c r="C3" s="8">
        <v>46339</v>
      </c>
      <c r="D3" s="7">
        <v>2.1000000000000001E-2</v>
      </c>
    </row>
    <row r="4" spans="1:4" x14ac:dyDescent="0.3">
      <c r="A4" t="s">
        <v>15</v>
      </c>
      <c r="B4" s="8">
        <v>46006</v>
      </c>
      <c r="C4" s="8">
        <v>46356</v>
      </c>
      <c r="D4" s="7">
        <v>2.3E-2</v>
      </c>
    </row>
    <row r="5" spans="1:4" x14ac:dyDescent="0.3">
      <c r="A5" t="s">
        <v>7</v>
      </c>
      <c r="B5" s="8">
        <v>45688</v>
      </c>
      <c r="C5" s="8">
        <v>46402</v>
      </c>
      <c r="D5" s="7">
        <v>2.0499999999999997E-2</v>
      </c>
    </row>
    <row r="6" spans="1:4" x14ac:dyDescent="0.3">
      <c r="A6" t="s">
        <v>3</v>
      </c>
      <c r="B6" s="8">
        <v>46265</v>
      </c>
      <c r="C6" s="8">
        <v>46416</v>
      </c>
      <c r="D6" s="7">
        <v>2.2499999999999999E-2</v>
      </c>
    </row>
    <row r="7" spans="1:4" x14ac:dyDescent="0.3">
      <c r="A7" t="s">
        <v>16</v>
      </c>
      <c r="B7" s="8">
        <v>45961</v>
      </c>
      <c r="C7" s="8">
        <v>46507</v>
      </c>
      <c r="D7" s="7">
        <v>2.5499999999999998E-2</v>
      </c>
    </row>
    <row r="8" spans="1:4" x14ac:dyDescent="0.3">
      <c r="A8" t="s">
        <v>11</v>
      </c>
      <c r="B8" s="8">
        <v>46006</v>
      </c>
      <c r="C8" s="8">
        <v>46538</v>
      </c>
      <c r="D8" s="7">
        <v>2.4E-2</v>
      </c>
    </row>
    <row r="9" spans="1:4" x14ac:dyDescent="0.3">
      <c r="A9" t="s">
        <v>17</v>
      </c>
      <c r="B9" s="8">
        <v>46038</v>
      </c>
      <c r="C9" s="8">
        <v>46568</v>
      </c>
      <c r="D9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4.4" x14ac:dyDescent="0.3"/>
  <sheetData>
    <row r="1" spans="1:4" x14ac:dyDescent="0.3">
      <c r="A1" t="s">
        <v>6</v>
      </c>
      <c r="B1" t="s">
        <v>8</v>
      </c>
      <c r="C1" t="s">
        <v>9</v>
      </c>
      <c r="D1" t="s">
        <v>10</v>
      </c>
    </row>
    <row r="2" spans="1:4" x14ac:dyDescent="0.3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3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31" sqref="E31"/>
    </sheetView>
  </sheetViews>
  <sheetFormatPr baseColWidth="10" defaultRowHeight="14.4" x14ac:dyDescent="0.3"/>
  <sheetData>
    <row r="1" spans="1:5" x14ac:dyDescent="0.3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3">
      <c r="A2" t="s">
        <v>20</v>
      </c>
      <c r="B2" s="8">
        <v>46006</v>
      </c>
      <c r="C2" s="8">
        <v>46356</v>
      </c>
      <c r="D2" s="7">
        <v>0</v>
      </c>
      <c r="E2">
        <v>659.6789</v>
      </c>
    </row>
    <row r="3" spans="1:5" x14ac:dyDescent="0.3">
      <c r="A3" t="s">
        <v>25</v>
      </c>
      <c r="B3" s="8">
        <v>45366</v>
      </c>
      <c r="C3" s="8">
        <v>46371</v>
      </c>
      <c r="D3" s="7">
        <v>0</v>
      </c>
      <c r="E3">
        <v>271.04759999999999</v>
      </c>
    </row>
    <row r="4" spans="1:5" x14ac:dyDescent="0.3">
      <c r="A4" t="s">
        <v>13</v>
      </c>
      <c r="B4" s="8">
        <v>46248</v>
      </c>
      <c r="C4" s="8">
        <v>46416</v>
      </c>
      <c r="D4" s="7">
        <v>0</v>
      </c>
      <c r="E4">
        <v>815.43449999999996</v>
      </c>
    </row>
    <row r="5" spans="1:5" x14ac:dyDescent="0.3">
      <c r="A5" t="s">
        <v>26</v>
      </c>
      <c r="B5" s="8">
        <v>45432</v>
      </c>
      <c r="C5" s="8">
        <v>46477</v>
      </c>
      <c r="D5" s="7">
        <v>0</v>
      </c>
      <c r="E5">
        <v>361.31760000000003</v>
      </c>
    </row>
    <row r="6" spans="1:5" x14ac:dyDescent="0.3">
      <c r="A6" t="s">
        <v>19</v>
      </c>
      <c r="B6" s="8">
        <v>45989</v>
      </c>
      <c r="C6" s="8">
        <v>46507</v>
      </c>
      <c r="D6" s="7">
        <v>0</v>
      </c>
      <c r="E6">
        <v>651.8981</v>
      </c>
    </row>
    <row r="7" spans="1:5" x14ac:dyDescent="0.3">
      <c r="A7" t="s">
        <v>14</v>
      </c>
      <c r="B7" s="8">
        <v>46006</v>
      </c>
      <c r="C7" s="8">
        <v>46538</v>
      </c>
      <c r="D7" s="7">
        <v>0</v>
      </c>
      <c r="E7">
        <v>659.6789</v>
      </c>
    </row>
    <row r="8" spans="1:5" x14ac:dyDescent="0.3">
      <c r="A8" t="s">
        <v>18</v>
      </c>
      <c r="B8" s="8">
        <v>45323</v>
      </c>
      <c r="C8" s="8">
        <v>46568</v>
      </c>
      <c r="D8" s="7">
        <v>0</v>
      </c>
      <c r="E8">
        <v>200.38800000000001</v>
      </c>
    </row>
    <row r="9" spans="1:5" x14ac:dyDescent="0.3">
      <c r="A9" t="s">
        <v>27</v>
      </c>
      <c r="B9" s="8">
        <v>46112</v>
      </c>
      <c r="C9" s="8">
        <v>46660</v>
      </c>
      <c r="D9" s="7">
        <v>0</v>
      </c>
      <c r="E9">
        <v>723.06</v>
      </c>
    </row>
    <row r="10" spans="1:5" x14ac:dyDescent="0.3">
      <c r="A10" t="s">
        <v>28</v>
      </c>
      <c r="B10" s="8">
        <v>46203</v>
      </c>
      <c r="C10" s="8">
        <v>46689</v>
      </c>
      <c r="D10" s="7">
        <v>0</v>
      </c>
      <c r="E10">
        <v>791.48969999999997</v>
      </c>
    </row>
    <row r="11" spans="1:5" x14ac:dyDescent="0.3">
      <c r="A11" t="s">
        <v>29</v>
      </c>
      <c r="B11" s="8">
        <v>45366</v>
      </c>
      <c r="C11" s="8">
        <v>46736</v>
      </c>
      <c r="D11" s="7">
        <v>0</v>
      </c>
      <c r="E11">
        <v>271.04759999999999</v>
      </c>
    </row>
    <row r="12" spans="1:5" x14ac:dyDescent="0.3">
      <c r="A12" t="s">
        <v>30</v>
      </c>
      <c r="B12" s="8">
        <v>46113</v>
      </c>
      <c r="C12" s="8">
        <v>46843</v>
      </c>
      <c r="D12" s="7">
        <v>0</v>
      </c>
      <c r="E12">
        <v>725.20640000000003</v>
      </c>
    </row>
    <row r="13" spans="1:5" x14ac:dyDescent="0.3">
      <c r="A13" t="s">
        <v>31</v>
      </c>
      <c r="B13" s="8">
        <v>45323</v>
      </c>
      <c r="C13" s="8">
        <v>46934</v>
      </c>
      <c r="D13" s="7">
        <v>0</v>
      </c>
      <c r="E13">
        <v>200.38800000000001</v>
      </c>
    </row>
    <row r="14" spans="1:5" x14ac:dyDescent="0.3">
      <c r="A14" t="s">
        <v>32</v>
      </c>
      <c r="B14" s="8">
        <v>46112</v>
      </c>
      <c r="C14" s="8">
        <v>47025</v>
      </c>
      <c r="D14" s="7">
        <v>0</v>
      </c>
      <c r="E14">
        <v>723.06</v>
      </c>
    </row>
    <row r="15" spans="1:5" x14ac:dyDescent="0.3">
      <c r="A15" t="s">
        <v>33</v>
      </c>
      <c r="B15" s="8">
        <v>46203</v>
      </c>
      <c r="C15" s="8">
        <v>47102</v>
      </c>
      <c r="D15" s="7">
        <v>0</v>
      </c>
      <c r="E15">
        <v>791.48969999999997</v>
      </c>
    </row>
    <row r="16" spans="1:5" x14ac:dyDescent="0.3">
      <c r="A16" t="s">
        <v>34</v>
      </c>
      <c r="B16" s="8">
        <v>46113</v>
      </c>
      <c r="C16" s="8">
        <v>47205</v>
      </c>
      <c r="D16" s="7">
        <v>0</v>
      </c>
      <c r="E16">
        <v>725.20640000000003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9"/>
  <sheetViews>
    <sheetView topLeftCell="A339" workbookViewId="0">
      <selection activeCell="C367" sqref="C367"/>
    </sheetView>
  </sheetViews>
  <sheetFormatPr baseColWidth="10" defaultRowHeight="14.4" x14ac:dyDescent="0.3"/>
  <sheetData>
    <row r="1" spans="1:6" ht="15.6" x14ac:dyDescent="0.3">
      <c r="A1" t="s">
        <v>6</v>
      </c>
      <c r="B1" t="s">
        <v>35</v>
      </c>
      <c r="C1" t="s">
        <v>36</v>
      </c>
      <c r="D1" s="12" t="s">
        <v>37</v>
      </c>
      <c r="E1" s="12" t="s">
        <v>38</v>
      </c>
      <c r="F1" s="12" t="s">
        <v>39</v>
      </c>
    </row>
    <row r="2" spans="1:6" ht="15.6" x14ac:dyDescent="0.3">
      <c r="A2" t="s">
        <v>41</v>
      </c>
      <c r="B2" s="13">
        <v>46112</v>
      </c>
      <c r="C2" s="14">
        <v>0</v>
      </c>
      <c r="D2" s="14">
        <v>1</v>
      </c>
      <c r="E2" s="14">
        <v>0.06</v>
      </c>
      <c r="F2" s="14">
        <v>5.6666666666666662E-3</v>
      </c>
    </row>
    <row r="3" spans="1:6" ht="15.6" x14ac:dyDescent="0.3">
      <c r="A3" t="s">
        <v>41</v>
      </c>
      <c r="B3" s="13">
        <v>46142</v>
      </c>
      <c r="C3" s="14">
        <v>0</v>
      </c>
      <c r="D3" s="14">
        <v>1</v>
      </c>
      <c r="E3" s="14">
        <v>0.06</v>
      </c>
      <c r="F3" s="14">
        <v>4.9999999999999992E-3</v>
      </c>
    </row>
    <row r="4" spans="1:6" ht="15.6" x14ac:dyDescent="0.3">
      <c r="A4" t="s">
        <v>41</v>
      </c>
      <c r="B4" s="13">
        <v>46171</v>
      </c>
      <c r="C4" s="14">
        <v>0</v>
      </c>
      <c r="D4" s="14">
        <v>1</v>
      </c>
      <c r="E4" s="14">
        <v>0.06</v>
      </c>
      <c r="F4" s="14">
        <v>4.8333333333333336E-3</v>
      </c>
    </row>
    <row r="5" spans="1:6" ht="15.6" x14ac:dyDescent="0.3">
      <c r="A5" t="s">
        <v>41</v>
      </c>
      <c r="B5" s="13">
        <v>46203</v>
      </c>
      <c r="C5" s="14">
        <v>0</v>
      </c>
      <c r="D5" s="14">
        <v>1</v>
      </c>
      <c r="E5" s="14">
        <v>0.06</v>
      </c>
      <c r="F5" s="14">
        <v>5.1666666666666666E-3</v>
      </c>
    </row>
    <row r="6" spans="1:6" ht="15.6" x14ac:dyDescent="0.3">
      <c r="A6" t="s">
        <v>41</v>
      </c>
      <c r="B6" s="13">
        <v>46234</v>
      </c>
      <c r="C6" s="14">
        <v>0</v>
      </c>
      <c r="D6" s="14">
        <v>1</v>
      </c>
      <c r="E6" s="14">
        <v>0.06</v>
      </c>
      <c r="F6" s="14">
        <v>4.9999999999999992E-3</v>
      </c>
    </row>
    <row r="7" spans="1:6" ht="15.6" x14ac:dyDescent="0.3">
      <c r="A7" t="s">
        <v>41</v>
      </c>
      <c r="B7" s="13">
        <v>46265</v>
      </c>
      <c r="C7" s="14">
        <v>0</v>
      </c>
      <c r="D7" s="14">
        <v>1</v>
      </c>
      <c r="E7" s="14">
        <v>0.06</v>
      </c>
      <c r="F7" s="14">
        <v>4.9999999999999992E-3</v>
      </c>
    </row>
    <row r="8" spans="1:6" ht="15.6" x14ac:dyDescent="0.3">
      <c r="A8" t="s">
        <v>41</v>
      </c>
      <c r="B8" s="13">
        <v>46295</v>
      </c>
      <c r="C8" s="14">
        <v>0</v>
      </c>
      <c r="D8" s="14">
        <v>1</v>
      </c>
      <c r="E8" s="14">
        <v>0.06</v>
      </c>
      <c r="F8" s="14">
        <v>4.9999999999999992E-3</v>
      </c>
    </row>
    <row r="9" spans="1:6" ht="15.6" x14ac:dyDescent="0.3">
      <c r="A9" t="s">
        <v>41</v>
      </c>
      <c r="B9" s="13">
        <v>46325</v>
      </c>
      <c r="C9" s="14">
        <v>0</v>
      </c>
      <c r="D9" s="14">
        <v>1</v>
      </c>
      <c r="E9" s="14">
        <v>0.06</v>
      </c>
      <c r="F9" s="14">
        <v>4.9999999999999992E-3</v>
      </c>
    </row>
    <row r="10" spans="1:6" ht="15.6" x14ac:dyDescent="0.3">
      <c r="A10" t="s">
        <v>41</v>
      </c>
      <c r="B10" s="13">
        <v>46356</v>
      </c>
      <c r="C10" s="14">
        <v>0</v>
      </c>
      <c r="D10" s="14">
        <v>1</v>
      </c>
      <c r="E10" s="14">
        <v>0.06</v>
      </c>
      <c r="F10" s="14">
        <v>4.9999999999999992E-3</v>
      </c>
    </row>
    <row r="11" spans="1:6" ht="15.6" x14ac:dyDescent="0.3">
      <c r="A11" t="s">
        <v>41</v>
      </c>
      <c r="B11" s="13">
        <v>46386</v>
      </c>
      <c r="C11" s="14">
        <v>0</v>
      </c>
      <c r="D11" s="14">
        <v>1</v>
      </c>
      <c r="E11" s="14">
        <v>0.06</v>
      </c>
      <c r="F11" s="14">
        <v>4.9999999999999992E-3</v>
      </c>
    </row>
    <row r="12" spans="1:6" ht="15.6" x14ac:dyDescent="0.3">
      <c r="A12" t="s">
        <v>41</v>
      </c>
      <c r="B12" s="13">
        <v>46416</v>
      </c>
      <c r="C12" s="14">
        <v>0</v>
      </c>
      <c r="D12" s="14">
        <v>1</v>
      </c>
      <c r="E12" s="14">
        <v>0.06</v>
      </c>
      <c r="F12" s="14">
        <v>4.8333333333333336E-3</v>
      </c>
    </row>
    <row r="13" spans="1:6" ht="15.6" x14ac:dyDescent="0.3">
      <c r="A13" t="s">
        <v>41</v>
      </c>
      <c r="B13" s="13">
        <v>46444</v>
      </c>
      <c r="C13" s="14">
        <v>0</v>
      </c>
      <c r="D13" s="14">
        <v>1</v>
      </c>
      <c r="E13" s="14">
        <v>0.06</v>
      </c>
      <c r="F13" s="14">
        <v>4.4999999999999997E-3</v>
      </c>
    </row>
    <row r="14" spans="1:6" ht="15.6" x14ac:dyDescent="0.3">
      <c r="A14" t="s">
        <v>41</v>
      </c>
      <c r="B14" s="13">
        <v>46477</v>
      </c>
      <c r="C14" s="14">
        <v>0</v>
      </c>
      <c r="D14" s="14">
        <v>1</v>
      </c>
      <c r="E14" s="14">
        <v>0.06</v>
      </c>
      <c r="F14" s="14">
        <v>5.8333333333333336E-3</v>
      </c>
    </row>
    <row r="15" spans="1:6" ht="15.6" x14ac:dyDescent="0.3">
      <c r="A15" t="s">
        <v>41</v>
      </c>
      <c r="B15" s="13">
        <v>46507</v>
      </c>
      <c r="C15" s="14">
        <v>0</v>
      </c>
      <c r="D15" s="14">
        <v>1</v>
      </c>
      <c r="E15" s="14">
        <v>0.06</v>
      </c>
      <c r="F15" s="14">
        <v>4.9999999999999992E-3</v>
      </c>
    </row>
    <row r="16" spans="1:6" ht="15.6" x14ac:dyDescent="0.3">
      <c r="A16" t="s">
        <v>41</v>
      </c>
      <c r="B16" s="13">
        <v>46538</v>
      </c>
      <c r="C16" s="14">
        <v>0</v>
      </c>
      <c r="D16" s="14">
        <v>1</v>
      </c>
      <c r="E16" s="14">
        <v>0.06</v>
      </c>
      <c r="F16" s="14">
        <v>4.9999999999999992E-3</v>
      </c>
    </row>
    <row r="17" spans="1:6" ht="15.6" x14ac:dyDescent="0.3">
      <c r="A17" t="s">
        <v>41</v>
      </c>
      <c r="B17" s="13">
        <v>46568</v>
      </c>
      <c r="C17" s="14">
        <v>0</v>
      </c>
      <c r="D17" s="14">
        <v>1</v>
      </c>
      <c r="E17" s="14">
        <v>0.06</v>
      </c>
      <c r="F17" s="14">
        <v>4.9999999999999992E-3</v>
      </c>
    </row>
    <row r="18" spans="1:6" ht="15.6" x14ac:dyDescent="0.3">
      <c r="A18" t="s">
        <v>41</v>
      </c>
      <c r="B18" s="13">
        <v>46598</v>
      </c>
      <c r="C18" s="14">
        <v>0</v>
      </c>
      <c r="D18" s="14">
        <v>1</v>
      </c>
      <c r="E18" s="14">
        <v>0.06</v>
      </c>
      <c r="F18" s="14">
        <v>4.9999999999999992E-3</v>
      </c>
    </row>
    <row r="19" spans="1:6" ht="15.6" x14ac:dyDescent="0.3">
      <c r="A19" t="s">
        <v>41</v>
      </c>
      <c r="B19" s="13">
        <v>46630</v>
      </c>
      <c r="C19" s="14">
        <v>0</v>
      </c>
      <c r="D19" s="14">
        <v>1</v>
      </c>
      <c r="E19" s="14">
        <v>0.06</v>
      </c>
      <c r="F19" s="14">
        <v>4.9999999999999992E-3</v>
      </c>
    </row>
    <row r="20" spans="1:6" ht="15.6" x14ac:dyDescent="0.3">
      <c r="A20" t="s">
        <v>41</v>
      </c>
      <c r="B20" s="13">
        <v>46660</v>
      </c>
      <c r="C20" s="14">
        <v>0</v>
      </c>
      <c r="D20" s="14">
        <v>1</v>
      </c>
      <c r="E20" s="14">
        <v>0.06</v>
      </c>
      <c r="F20" s="14">
        <v>4.9999999999999992E-3</v>
      </c>
    </row>
    <row r="21" spans="1:6" ht="15.6" x14ac:dyDescent="0.3">
      <c r="A21" t="s">
        <v>41</v>
      </c>
      <c r="B21" s="13">
        <v>46689</v>
      </c>
      <c r="C21" s="14">
        <v>1</v>
      </c>
      <c r="D21" s="14" t="s">
        <v>40</v>
      </c>
      <c r="E21" s="14">
        <v>0.06</v>
      </c>
      <c r="F21" s="14">
        <v>4.8333333333333336E-3</v>
      </c>
    </row>
    <row r="22" spans="1:6" x14ac:dyDescent="0.3">
      <c r="A22" t="s">
        <v>42</v>
      </c>
      <c r="B22" s="8">
        <v>46142</v>
      </c>
      <c r="C22" s="7" t="s">
        <v>40</v>
      </c>
      <c r="D22" s="7">
        <v>1</v>
      </c>
      <c r="E22" s="7">
        <v>0.06</v>
      </c>
      <c r="F22" s="7">
        <v>4.9999999999999992E-3</v>
      </c>
    </row>
    <row r="23" spans="1:6" x14ac:dyDescent="0.3">
      <c r="A23" t="s">
        <v>42</v>
      </c>
      <c r="B23" s="8">
        <v>46171</v>
      </c>
      <c r="C23" s="7" t="s">
        <v>40</v>
      </c>
      <c r="D23" s="7">
        <v>1</v>
      </c>
      <c r="E23" s="7">
        <v>0.06</v>
      </c>
      <c r="F23" s="7">
        <v>4.8333333333333336E-3</v>
      </c>
    </row>
    <row r="24" spans="1:6" x14ac:dyDescent="0.3">
      <c r="A24" t="s">
        <v>42</v>
      </c>
      <c r="B24" s="8">
        <v>46203</v>
      </c>
      <c r="C24" s="7" t="s">
        <v>40</v>
      </c>
      <c r="D24" s="7">
        <v>1</v>
      </c>
      <c r="E24" s="7">
        <v>0.06</v>
      </c>
      <c r="F24" s="7">
        <v>5.1666666666666666E-3</v>
      </c>
    </row>
    <row r="25" spans="1:6" x14ac:dyDescent="0.3">
      <c r="A25" t="s">
        <v>42</v>
      </c>
      <c r="B25" s="8">
        <v>46234</v>
      </c>
      <c r="C25" s="7" t="s">
        <v>40</v>
      </c>
      <c r="D25" s="7">
        <v>1</v>
      </c>
      <c r="E25" s="7">
        <v>0.06</v>
      </c>
      <c r="F25" s="7">
        <v>4.9999999999999992E-3</v>
      </c>
    </row>
    <row r="26" spans="1:6" x14ac:dyDescent="0.3">
      <c r="A26" t="s">
        <v>42</v>
      </c>
      <c r="B26" s="8">
        <v>46265</v>
      </c>
      <c r="C26" s="7" t="s">
        <v>40</v>
      </c>
      <c r="D26" s="7">
        <v>1</v>
      </c>
      <c r="E26" s="7">
        <v>0.06</v>
      </c>
      <c r="F26" s="7">
        <v>4.9999999999999992E-3</v>
      </c>
    </row>
    <row r="27" spans="1:6" x14ac:dyDescent="0.3">
      <c r="A27" t="s">
        <v>42</v>
      </c>
      <c r="B27" s="8">
        <v>46295</v>
      </c>
      <c r="C27" s="7" t="s">
        <v>40</v>
      </c>
      <c r="D27" s="7">
        <v>1</v>
      </c>
      <c r="E27" s="7">
        <v>0.06</v>
      </c>
      <c r="F27" s="7">
        <v>4.9999999999999992E-3</v>
      </c>
    </row>
    <row r="28" spans="1:6" x14ac:dyDescent="0.3">
      <c r="A28" t="s">
        <v>42</v>
      </c>
      <c r="B28" s="8">
        <v>46325</v>
      </c>
      <c r="C28" s="7" t="s">
        <v>40</v>
      </c>
      <c r="D28" s="7">
        <v>1</v>
      </c>
      <c r="E28" s="7">
        <v>0.06</v>
      </c>
      <c r="F28" s="7">
        <v>4.9999999999999992E-3</v>
      </c>
    </row>
    <row r="29" spans="1:6" x14ac:dyDescent="0.3">
      <c r="A29" t="s">
        <v>42</v>
      </c>
      <c r="B29" s="8">
        <v>46356</v>
      </c>
      <c r="C29" s="7" t="s">
        <v>40</v>
      </c>
      <c r="D29" s="7">
        <v>1</v>
      </c>
      <c r="E29" s="7">
        <v>0.06</v>
      </c>
      <c r="F29" s="7">
        <v>4.9999999999999992E-3</v>
      </c>
    </row>
    <row r="30" spans="1:6" x14ac:dyDescent="0.3">
      <c r="A30" t="s">
        <v>42</v>
      </c>
      <c r="B30" s="8">
        <v>46386</v>
      </c>
      <c r="C30" s="7" t="s">
        <v>40</v>
      </c>
      <c r="D30" s="7">
        <v>1</v>
      </c>
      <c r="E30" s="7">
        <v>0.06</v>
      </c>
      <c r="F30" s="7">
        <v>4.9999999999999992E-3</v>
      </c>
    </row>
    <row r="31" spans="1:6" x14ac:dyDescent="0.3">
      <c r="A31" t="s">
        <v>42</v>
      </c>
      <c r="B31" s="8">
        <v>46416</v>
      </c>
      <c r="C31" s="7" t="s">
        <v>40</v>
      </c>
      <c r="D31" s="7">
        <v>1</v>
      </c>
      <c r="E31" s="7">
        <v>0.06</v>
      </c>
      <c r="F31" s="7">
        <v>4.8333333333333336E-3</v>
      </c>
    </row>
    <row r="32" spans="1:6" x14ac:dyDescent="0.3">
      <c r="A32" t="s">
        <v>42</v>
      </c>
      <c r="B32" s="8">
        <v>46444</v>
      </c>
      <c r="C32" s="7" t="s">
        <v>40</v>
      </c>
      <c r="D32" s="7">
        <v>1</v>
      </c>
      <c r="E32" s="7">
        <v>0.06</v>
      </c>
      <c r="F32" s="7">
        <v>4.4999999999999997E-3</v>
      </c>
    </row>
    <row r="33" spans="1:6" x14ac:dyDescent="0.3">
      <c r="A33" t="s">
        <v>42</v>
      </c>
      <c r="B33" s="8">
        <v>46477</v>
      </c>
      <c r="C33" s="7" t="s">
        <v>40</v>
      </c>
      <c r="D33" s="7">
        <v>1</v>
      </c>
      <c r="E33" s="7">
        <v>0.06</v>
      </c>
      <c r="F33" s="7">
        <v>5.8333333333333336E-3</v>
      </c>
    </row>
    <row r="34" spans="1:6" x14ac:dyDescent="0.3">
      <c r="A34" t="s">
        <v>42</v>
      </c>
      <c r="B34" s="8">
        <v>46507</v>
      </c>
      <c r="C34" s="7" t="s">
        <v>40</v>
      </c>
      <c r="D34" s="7">
        <v>1</v>
      </c>
      <c r="E34" s="7">
        <v>0.06</v>
      </c>
      <c r="F34" s="7">
        <v>4.9999999999999992E-3</v>
      </c>
    </row>
    <row r="35" spans="1:6" x14ac:dyDescent="0.3">
      <c r="A35" t="s">
        <v>42</v>
      </c>
      <c r="B35" s="8">
        <v>46538</v>
      </c>
      <c r="C35" s="7" t="s">
        <v>40</v>
      </c>
      <c r="D35" s="7">
        <v>1</v>
      </c>
      <c r="E35" s="7">
        <v>0.06</v>
      </c>
      <c r="F35" s="7">
        <v>4.9999999999999992E-3</v>
      </c>
    </row>
    <row r="36" spans="1:6" x14ac:dyDescent="0.3">
      <c r="A36" t="s">
        <v>42</v>
      </c>
      <c r="B36" s="8">
        <v>46568</v>
      </c>
      <c r="C36" s="7" t="s">
        <v>40</v>
      </c>
      <c r="D36" s="7">
        <v>1</v>
      </c>
      <c r="E36" s="7">
        <v>0.06</v>
      </c>
      <c r="F36" s="7">
        <v>4.9999999999999992E-3</v>
      </c>
    </row>
    <row r="37" spans="1:6" x14ac:dyDescent="0.3">
      <c r="A37" t="s">
        <v>42</v>
      </c>
      <c r="B37" s="8">
        <v>46598</v>
      </c>
      <c r="C37" s="7" t="s">
        <v>40</v>
      </c>
      <c r="D37" s="7">
        <v>1</v>
      </c>
      <c r="E37" s="7">
        <v>0.06</v>
      </c>
      <c r="F37" s="7">
        <v>4.9999999999999992E-3</v>
      </c>
    </row>
    <row r="38" spans="1:6" x14ac:dyDescent="0.3">
      <c r="A38" t="s">
        <v>42</v>
      </c>
      <c r="B38" s="8">
        <v>46630</v>
      </c>
      <c r="C38" s="7" t="s">
        <v>40</v>
      </c>
      <c r="D38" s="7">
        <v>1</v>
      </c>
      <c r="E38" s="7">
        <v>0.06</v>
      </c>
      <c r="F38" s="7">
        <v>4.9999999999999992E-3</v>
      </c>
    </row>
    <row r="39" spans="1:6" x14ac:dyDescent="0.3">
      <c r="A39" t="s">
        <v>42</v>
      </c>
      <c r="B39" s="8">
        <v>46660</v>
      </c>
      <c r="C39" s="7" t="s">
        <v>40</v>
      </c>
      <c r="D39" s="7">
        <v>1</v>
      </c>
      <c r="E39" s="7">
        <v>0.06</v>
      </c>
      <c r="F39" s="7">
        <v>4.9999999999999992E-3</v>
      </c>
    </row>
    <row r="40" spans="1:6" x14ac:dyDescent="0.3">
      <c r="A40" t="s">
        <v>42</v>
      </c>
      <c r="B40" s="8">
        <v>46689</v>
      </c>
      <c r="C40" s="7" t="s">
        <v>40</v>
      </c>
      <c r="D40" s="7">
        <v>1</v>
      </c>
      <c r="E40" s="7">
        <v>0.06</v>
      </c>
      <c r="F40" s="7">
        <v>4.8333333333333336E-3</v>
      </c>
    </row>
    <row r="41" spans="1:6" x14ac:dyDescent="0.3">
      <c r="A41" t="s">
        <v>42</v>
      </c>
      <c r="B41" s="8">
        <v>46721</v>
      </c>
      <c r="C41" s="7" t="s">
        <v>40</v>
      </c>
      <c r="D41" s="7">
        <v>1</v>
      </c>
      <c r="E41" s="7">
        <v>0.06</v>
      </c>
      <c r="F41" s="7">
        <v>5.1666666666666666E-3</v>
      </c>
    </row>
    <row r="42" spans="1:6" x14ac:dyDescent="0.3">
      <c r="A42" t="s">
        <v>42</v>
      </c>
      <c r="B42" s="8">
        <v>46751</v>
      </c>
      <c r="C42" s="7" t="s">
        <v>40</v>
      </c>
      <c r="D42" s="7">
        <v>1</v>
      </c>
      <c r="E42" s="7">
        <v>0.06</v>
      </c>
      <c r="F42" s="7">
        <v>4.9999999999999992E-3</v>
      </c>
    </row>
    <row r="43" spans="1:6" x14ac:dyDescent="0.3">
      <c r="A43" t="s">
        <v>42</v>
      </c>
      <c r="B43" s="8">
        <v>46783</v>
      </c>
      <c r="C43" s="7" t="s">
        <v>40</v>
      </c>
      <c r="D43" s="7">
        <v>1</v>
      </c>
      <c r="E43" s="7">
        <v>0.06</v>
      </c>
      <c r="F43" s="7">
        <v>4.9999999999999992E-3</v>
      </c>
    </row>
    <row r="44" spans="1:6" x14ac:dyDescent="0.3">
      <c r="A44" t="s">
        <v>42</v>
      </c>
      <c r="B44" s="8">
        <v>46813</v>
      </c>
      <c r="C44" s="7" t="s">
        <v>40</v>
      </c>
      <c r="D44" s="7">
        <v>1</v>
      </c>
      <c r="E44" s="7">
        <v>0.06</v>
      </c>
      <c r="F44" s="7">
        <v>4.8333333333333336E-3</v>
      </c>
    </row>
    <row r="45" spans="1:6" x14ac:dyDescent="0.3">
      <c r="A45" t="s">
        <v>42</v>
      </c>
      <c r="B45" s="8">
        <v>46843</v>
      </c>
      <c r="C45" s="7" t="s">
        <v>40</v>
      </c>
      <c r="D45" s="7">
        <v>1</v>
      </c>
      <c r="E45" s="7">
        <v>0.06</v>
      </c>
      <c r="F45" s="7">
        <v>4.9999999999999992E-3</v>
      </c>
    </row>
    <row r="46" spans="1:6" x14ac:dyDescent="0.3">
      <c r="A46" t="s">
        <v>42</v>
      </c>
      <c r="B46" s="8">
        <v>46871</v>
      </c>
      <c r="C46" s="7" t="s">
        <v>40</v>
      </c>
      <c r="D46" s="7">
        <v>1</v>
      </c>
      <c r="E46" s="7">
        <v>0.06</v>
      </c>
      <c r="F46" s="7">
        <v>4.6666666666666662E-3</v>
      </c>
    </row>
    <row r="47" spans="1:6" x14ac:dyDescent="0.3">
      <c r="A47" t="s">
        <v>42</v>
      </c>
      <c r="B47" s="8">
        <v>46904</v>
      </c>
      <c r="C47" s="7" t="s">
        <v>40</v>
      </c>
      <c r="D47" s="7">
        <v>1</v>
      </c>
      <c r="E47" s="7">
        <v>0.06</v>
      </c>
      <c r="F47" s="7">
        <v>5.4999999999999997E-3</v>
      </c>
    </row>
    <row r="48" spans="1:6" x14ac:dyDescent="0.3">
      <c r="A48" t="s">
        <v>42</v>
      </c>
      <c r="B48" s="8">
        <v>46934</v>
      </c>
      <c r="C48" s="7" t="s">
        <v>40</v>
      </c>
      <c r="D48" s="7">
        <v>1</v>
      </c>
      <c r="E48" s="7">
        <v>0.06</v>
      </c>
      <c r="F48" s="7">
        <v>4.9999999999999992E-3</v>
      </c>
    </row>
    <row r="49" spans="1:6" x14ac:dyDescent="0.3">
      <c r="A49" t="s">
        <v>42</v>
      </c>
      <c r="B49" s="8">
        <v>46965</v>
      </c>
      <c r="C49" s="7" t="s">
        <v>40</v>
      </c>
      <c r="D49" s="7">
        <v>1</v>
      </c>
      <c r="E49" s="7">
        <v>0.06</v>
      </c>
      <c r="F49" s="7">
        <v>4.9999999999999992E-3</v>
      </c>
    </row>
    <row r="50" spans="1:6" x14ac:dyDescent="0.3">
      <c r="A50" t="s">
        <v>42</v>
      </c>
      <c r="B50" s="8">
        <v>46996</v>
      </c>
      <c r="C50" s="7" t="s">
        <v>40</v>
      </c>
      <c r="D50" s="7">
        <v>1</v>
      </c>
      <c r="E50" s="7">
        <v>0.06</v>
      </c>
      <c r="F50" s="7">
        <v>4.9999999999999992E-3</v>
      </c>
    </row>
    <row r="51" spans="1:6" x14ac:dyDescent="0.3">
      <c r="A51" t="s">
        <v>42</v>
      </c>
      <c r="B51" s="8">
        <v>47025</v>
      </c>
      <c r="C51" s="7" t="s">
        <v>40</v>
      </c>
      <c r="D51" s="7">
        <v>1</v>
      </c>
      <c r="E51" s="7">
        <v>0.06</v>
      </c>
      <c r="F51" s="7">
        <v>4.8333333333333336E-3</v>
      </c>
    </row>
    <row r="52" spans="1:6" x14ac:dyDescent="0.3">
      <c r="A52" t="s">
        <v>42</v>
      </c>
      <c r="B52" s="8">
        <v>47057</v>
      </c>
      <c r="C52" s="7">
        <v>1</v>
      </c>
      <c r="D52" s="7" t="s">
        <v>40</v>
      </c>
      <c r="E52" s="7">
        <v>0.06</v>
      </c>
      <c r="F52" s="7">
        <v>5.3333333333333332E-3</v>
      </c>
    </row>
    <row r="53" spans="1:6" x14ac:dyDescent="0.3">
      <c r="A53" t="s">
        <v>43</v>
      </c>
      <c r="B53" s="8">
        <v>46265</v>
      </c>
      <c r="C53" s="7" t="s">
        <v>40</v>
      </c>
      <c r="D53" s="7">
        <v>1</v>
      </c>
      <c r="E53" s="7">
        <v>0.06</v>
      </c>
      <c r="F53" s="7">
        <v>7.3333333333333332E-3</v>
      </c>
    </row>
    <row r="54" spans="1:6" x14ac:dyDescent="0.3">
      <c r="A54" t="s">
        <v>43</v>
      </c>
      <c r="B54" s="8">
        <v>46295</v>
      </c>
      <c r="C54" s="7" t="s">
        <v>40</v>
      </c>
      <c r="D54" s="7">
        <v>1</v>
      </c>
      <c r="E54" s="7">
        <v>0.06</v>
      </c>
      <c r="F54" s="7">
        <v>4.9999999999999992E-3</v>
      </c>
    </row>
    <row r="55" spans="1:6" x14ac:dyDescent="0.3">
      <c r="A55" t="s">
        <v>43</v>
      </c>
      <c r="B55" s="8">
        <v>46325</v>
      </c>
      <c r="C55" s="7" t="s">
        <v>40</v>
      </c>
      <c r="D55" s="7">
        <v>1</v>
      </c>
      <c r="E55" s="7">
        <v>0.06</v>
      </c>
      <c r="F55" s="7">
        <v>4.9999999999999992E-3</v>
      </c>
    </row>
    <row r="56" spans="1:6" x14ac:dyDescent="0.3">
      <c r="A56" t="s">
        <v>43</v>
      </c>
      <c r="B56" s="8">
        <v>46356</v>
      </c>
      <c r="C56" s="7" t="s">
        <v>40</v>
      </c>
      <c r="D56" s="7">
        <v>1</v>
      </c>
      <c r="E56" s="7">
        <v>0.06</v>
      </c>
      <c r="F56" s="7">
        <v>4.9999999999999992E-3</v>
      </c>
    </row>
    <row r="57" spans="1:6" x14ac:dyDescent="0.3">
      <c r="A57" t="s">
        <v>43</v>
      </c>
      <c r="B57" s="8">
        <v>46386</v>
      </c>
      <c r="C57" s="7" t="s">
        <v>40</v>
      </c>
      <c r="D57" s="7">
        <v>1</v>
      </c>
      <c r="E57" s="7">
        <v>0.06</v>
      </c>
      <c r="F57" s="7">
        <v>4.9999999999999992E-3</v>
      </c>
    </row>
    <row r="58" spans="1:6" x14ac:dyDescent="0.3">
      <c r="A58" t="s">
        <v>43</v>
      </c>
      <c r="B58" s="8">
        <v>46416</v>
      </c>
      <c r="C58" s="7" t="s">
        <v>40</v>
      </c>
      <c r="D58" s="7">
        <v>1</v>
      </c>
      <c r="E58" s="7">
        <v>0.06</v>
      </c>
      <c r="F58" s="7">
        <v>4.8333333333333336E-3</v>
      </c>
    </row>
    <row r="59" spans="1:6" x14ac:dyDescent="0.3">
      <c r="A59" t="s">
        <v>43</v>
      </c>
      <c r="B59" s="8">
        <v>46444</v>
      </c>
      <c r="C59" s="7" t="s">
        <v>40</v>
      </c>
      <c r="D59" s="7">
        <v>1</v>
      </c>
      <c r="E59" s="7">
        <v>0.06</v>
      </c>
      <c r="F59" s="7">
        <v>4.4999999999999997E-3</v>
      </c>
    </row>
    <row r="60" spans="1:6" x14ac:dyDescent="0.3">
      <c r="A60" t="s">
        <v>43</v>
      </c>
      <c r="B60" s="8">
        <v>46477</v>
      </c>
      <c r="C60" s="7" t="s">
        <v>40</v>
      </c>
      <c r="D60" s="7">
        <v>1</v>
      </c>
      <c r="E60" s="7">
        <v>0.06</v>
      </c>
      <c r="F60" s="7">
        <v>5.8333333333333336E-3</v>
      </c>
    </row>
    <row r="61" spans="1:6" x14ac:dyDescent="0.3">
      <c r="A61" t="s">
        <v>43</v>
      </c>
      <c r="B61" s="8">
        <v>46507</v>
      </c>
      <c r="C61" s="7" t="s">
        <v>40</v>
      </c>
      <c r="D61" s="7">
        <v>1</v>
      </c>
      <c r="E61" s="7">
        <v>0.06</v>
      </c>
      <c r="F61" s="7">
        <v>4.9999999999999992E-3</v>
      </c>
    </row>
    <row r="62" spans="1:6" x14ac:dyDescent="0.3">
      <c r="A62" t="s">
        <v>43</v>
      </c>
      <c r="B62" s="8">
        <v>46538</v>
      </c>
      <c r="C62" s="7" t="s">
        <v>40</v>
      </c>
      <c r="D62" s="7">
        <v>1</v>
      </c>
      <c r="E62" s="7">
        <v>0.06</v>
      </c>
      <c r="F62" s="7">
        <v>4.9999999999999992E-3</v>
      </c>
    </row>
    <row r="63" spans="1:6" x14ac:dyDescent="0.3">
      <c r="A63" t="s">
        <v>43</v>
      </c>
      <c r="B63" s="8">
        <v>46568</v>
      </c>
      <c r="C63" s="7" t="s">
        <v>40</v>
      </c>
      <c r="D63" s="7">
        <v>1</v>
      </c>
      <c r="E63" s="7">
        <v>0.06</v>
      </c>
      <c r="F63" s="7">
        <v>4.9999999999999992E-3</v>
      </c>
    </row>
    <row r="64" spans="1:6" x14ac:dyDescent="0.3">
      <c r="A64" t="s">
        <v>43</v>
      </c>
      <c r="B64" s="8">
        <v>46598</v>
      </c>
      <c r="C64" s="7" t="s">
        <v>40</v>
      </c>
      <c r="D64" s="7">
        <v>1</v>
      </c>
      <c r="E64" s="7">
        <v>0.06</v>
      </c>
      <c r="F64" s="7">
        <v>4.9999999999999992E-3</v>
      </c>
    </row>
    <row r="65" spans="1:6" x14ac:dyDescent="0.3">
      <c r="A65" t="s">
        <v>43</v>
      </c>
      <c r="B65" s="8">
        <v>46630</v>
      </c>
      <c r="C65" s="7" t="s">
        <v>40</v>
      </c>
      <c r="D65" s="7">
        <v>1</v>
      </c>
      <c r="E65" s="7">
        <v>0.06</v>
      </c>
      <c r="F65" s="7">
        <v>4.9999999999999992E-3</v>
      </c>
    </row>
    <row r="66" spans="1:6" x14ac:dyDescent="0.3">
      <c r="A66" t="s">
        <v>43</v>
      </c>
      <c r="B66" s="8">
        <v>46660</v>
      </c>
      <c r="C66" s="7" t="s">
        <v>40</v>
      </c>
      <c r="D66" s="7">
        <v>1</v>
      </c>
      <c r="E66" s="7">
        <v>0.06</v>
      </c>
      <c r="F66" s="7">
        <v>4.9999999999999992E-3</v>
      </c>
    </row>
    <row r="67" spans="1:6" x14ac:dyDescent="0.3">
      <c r="A67" t="s">
        <v>43</v>
      </c>
      <c r="B67" s="8">
        <v>46689</v>
      </c>
      <c r="C67" s="7" t="s">
        <v>40</v>
      </c>
      <c r="D67" s="7">
        <v>1</v>
      </c>
      <c r="E67" s="7">
        <v>0.06</v>
      </c>
      <c r="F67" s="7">
        <v>4.8333333333333336E-3</v>
      </c>
    </row>
    <row r="68" spans="1:6" x14ac:dyDescent="0.3">
      <c r="A68" t="s">
        <v>43</v>
      </c>
      <c r="B68" s="8">
        <v>46721</v>
      </c>
      <c r="C68" s="7" t="s">
        <v>40</v>
      </c>
      <c r="D68" s="7">
        <v>1</v>
      </c>
      <c r="E68" s="7">
        <v>0.06</v>
      </c>
      <c r="F68" s="7">
        <v>5.1666666666666666E-3</v>
      </c>
    </row>
    <row r="69" spans="1:6" x14ac:dyDescent="0.3">
      <c r="A69" t="s">
        <v>43</v>
      </c>
      <c r="B69" s="8">
        <v>46751</v>
      </c>
      <c r="C69" s="7" t="s">
        <v>40</v>
      </c>
      <c r="D69" s="7">
        <v>1</v>
      </c>
      <c r="E69" s="7">
        <v>0.06</v>
      </c>
      <c r="F69" s="7">
        <v>4.9999999999999992E-3</v>
      </c>
    </row>
    <row r="70" spans="1:6" x14ac:dyDescent="0.3">
      <c r="A70" t="s">
        <v>43</v>
      </c>
      <c r="B70" s="8">
        <v>46783</v>
      </c>
      <c r="C70" s="7" t="s">
        <v>40</v>
      </c>
      <c r="D70" s="7">
        <v>1</v>
      </c>
      <c r="E70" s="7">
        <v>0.06</v>
      </c>
      <c r="F70" s="7">
        <v>4.9999999999999992E-3</v>
      </c>
    </row>
    <row r="71" spans="1:6" x14ac:dyDescent="0.3">
      <c r="A71" t="s">
        <v>43</v>
      </c>
      <c r="B71" s="8">
        <v>46813</v>
      </c>
      <c r="C71" s="7" t="s">
        <v>40</v>
      </c>
      <c r="D71" s="7">
        <v>1</v>
      </c>
      <c r="E71" s="7">
        <v>0.06</v>
      </c>
      <c r="F71" s="7">
        <v>4.8333333333333336E-3</v>
      </c>
    </row>
    <row r="72" spans="1:6" x14ac:dyDescent="0.3">
      <c r="A72" t="s">
        <v>43</v>
      </c>
      <c r="B72" s="8">
        <v>46843</v>
      </c>
      <c r="C72" s="7" t="s">
        <v>40</v>
      </c>
      <c r="D72" s="7">
        <v>1</v>
      </c>
      <c r="E72" s="7">
        <v>0.06</v>
      </c>
      <c r="F72" s="7">
        <v>4.9999999999999992E-3</v>
      </c>
    </row>
    <row r="73" spans="1:6" x14ac:dyDescent="0.3">
      <c r="A73" t="s">
        <v>43</v>
      </c>
      <c r="B73" s="8">
        <v>46871</v>
      </c>
      <c r="C73" s="7" t="s">
        <v>40</v>
      </c>
      <c r="D73" s="7">
        <v>1</v>
      </c>
      <c r="E73" s="7">
        <v>0.06</v>
      </c>
      <c r="F73" s="7">
        <v>4.6666666666666662E-3</v>
      </c>
    </row>
    <row r="74" spans="1:6" x14ac:dyDescent="0.3">
      <c r="A74" t="s">
        <v>43</v>
      </c>
      <c r="B74" s="8">
        <v>46904</v>
      </c>
      <c r="C74" s="7" t="s">
        <v>40</v>
      </c>
      <c r="D74" s="7">
        <v>1</v>
      </c>
      <c r="E74" s="7">
        <v>0.06</v>
      </c>
      <c r="F74" s="7">
        <v>5.4999999999999997E-3</v>
      </c>
    </row>
    <row r="75" spans="1:6" x14ac:dyDescent="0.3">
      <c r="A75" t="s">
        <v>43</v>
      </c>
      <c r="B75" s="8">
        <v>46934</v>
      </c>
      <c r="C75" s="7" t="s">
        <v>40</v>
      </c>
      <c r="D75" s="7">
        <v>1</v>
      </c>
      <c r="E75" s="7">
        <v>0.06</v>
      </c>
      <c r="F75" s="7">
        <v>4.9999999999999992E-3</v>
      </c>
    </row>
    <row r="76" spans="1:6" x14ac:dyDescent="0.3">
      <c r="A76" t="s">
        <v>43</v>
      </c>
      <c r="B76" s="8">
        <v>46965</v>
      </c>
      <c r="C76" s="7" t="s">
        <v>40</v>
      </c>
      <c r="D76" s="7">
        <v>1</v>
      </c>
      <c r="E76" s="7">
        <v>0.06</v>
      </c>
      <c r="F76" s="7">
        <v>4.9999999999999992E-3</v>
      </c>
    </row>
    <row r="77" spans="1:6" x14ac:dyDescent="0.3">
      <c r="A77" t="s">
        <v>43</v>
      </c>
      <c r="B77" s="8">
        <v>46996</v>
      </c>
      <c r="C77" s="7" t="s">
        <v>40</v>
      </c>
      <c r="D77" s="7">
        <v>1</v>
      </c>
      <c r="E77" s="7">
        <v>0.06</v>
      </c>
      <c r="F77" s="7">
        <v>4.9999999999999992E-3</v>
      </c>
    </row>
    <row r="78" spans="1:6" x14ac:dyDescent="0.3">
      <c r="A78" t="s">
        <v>43</v>
      </c>
      <c r="B78" s="8">
        <v>47025</v>
      </c>
      <c r="C78" s="7" t="s">
        <v>40</v>
      </c>
      <c r="D78" s="7">
        <v>1</v>
      </c>
      <c r="E78" s="7">
        <v>0.06</v>
      </c>
      <c r="F78" s="7">
        <v>4.8333333333333336E-3</v>
      </c>
    </row>
    <row r="79" spans="1:6" x14ac:dyDescent="0.3">
      <c r="A79" t="s">
        <v>43</v>
      </c>
      <c r="B79" s="8">
        <v>47057</v>
      </c>
      <c r="C79" s="7" t="s">
        <v>40</v>
      </c>
      <c r="D79" s="7">
        <v>1</v>
      </c>
      <c r="E79" s="7">
        <v>0.06</v>
      </c>
      <c r="F79" s="7">
        <v>5.3333333333333332E-3</v>
      </c>
    </row>
    <row r="80" spans="1:6" x14ac:dyDescent="0.3">
      <c r="A80" t="s">
        <v>43</v>
      </c>
      <c r="B80" s="8">
        <v>47087</v>
      </c>
      <c r="C80" s="7" t="s">
        <v>40</v>
      </c>
      <c r="D80" s="7">
        <v>1</v>
      </c>
      <c r="E80" s="7">
        <v>0.06</v>
      </c>
      <c r="F80" s="7">
        <v>4.9999999999999992E-3</v>
      </c>
    </row>
    <row r="81" spans="1:6" x14ac:dyDescent="0.3">
      <c r="A81" t="s">
        <v>43</v>
      </c>
      <c r="B81" s="8">
        <v>47116</v>
      </c>
      <c r="C81" s="7" t="s">
        <v>40</v>
      </c>
      <c r="D81" s="7">
        <v>1</v>
      </c>
      <c r="E81" s="7">
        <v>0.06</v>
      </c>
      <c r="F81" s="7">
        <v>4.8333333333333336E-3</v>
      </c>
    </row>
    <row r="82" spans="1:6" x14ac:dyDescent="0.3">
      <c r="A82" t="s">
        <v>43</v>
      </c>
      <c r="B82" s="8">
        <v>47149</v>
      </c>
      <c r="C82" s="7" t="s">
        <v>40</v>
      </c>
      <c r="D82" s="7">
        <v>1</v>
      </c>
      <c r="E82" s="7">
        <v>0.06</v>
      </c>
      <c r="F82" s="7">
        <v>5.3333333333333332E-3</v>
      </c>
    </row>
    <row r="83" spans="1:6" x14ac:dyDescent="0.3">
      <c r="A83" t="s">
        <v>43</v>
      </c>
      <c r="B83" s="8">
        <v>47177</v>
      </c>
      <c r="C83" s="7" t="s">
        <v>40</v>
      </c>
      <c r="D83" s="7">
        <v>1</v>
      </c>
      <c r="E83" s="7">
        <v>0.06</v>
      </c>
      <c r="F83" s="7">
        <v>4.6666666666666662E-3</v>
      </c>
    </row>
    <row r="84" spans="1:6" x14ac:dyDescent="0.3">
      <c r="A84" t="s">
        <v>43</v>
      </c>
      <c r="B84" s="8">
        <v>47205</v>
      </c>
      <c r="C84" s="7" t="s">
        <v>40</v>
      </c>
      <c r="D84" s="7">
        <v>1</v>
      </c>
      <c r="E84" s="7">
        <v>0.06</v>
      </c>
      <c r="F84" s="7">
        <v>4.6666666666666662E-3</v>
      </c>
    </row>
    <row r="85" spans="1:6" x14ac:dyDescent="0.3">
      <c r="A85" t="s">
        <v>43</v>
      </c>
      <c r="B85" s="8">
        <v>47238</v>
      </c>
      <c r="C85" s="7" t="s">
        <v>40</v>
      </c>
      <c r="D85" s="7">
        <v>1</v>
      </c>
      <c r="E85" s="7">
        <v>0.06</v>
      </c>
      <c r="F85" s="7">
        <v>5.3333333333333332E-3</v>
      </c>
    </row>
    <row r="86" spans="1:6" x14ac:dyDescent="0.3">
      <c r="A86" t="s">
        <v>43</v>
      </c>
      <c r="B86" s="8">
        <v>47269</v>
      </c>
      <c r="C86" s="7" t="s">
        <v>40</v>
      </c>
      <c r="D86" s="7">
        <v>1</v>
      </c>
      <c r="E86" s="7">
        <v>0.06</v>
      </c>
      <c r="F86" s="7">
        <v>4.9999999999999992E-3</v>
      </c>
    </row>
    <row r="87" spans="1:6" x14ac:dyDescent="0.3">
      <c r="A87" t="s">
        <v>43</v>
      </c>
      <c r="B87" s="8">
        <v>47298</v>
      </c>
      <c r="C87" s="7" t="s">
        <v>40</v>
      </c>
      <c r="D87" s="7">
        <v>1</v>
      </c>
      <c r="E87" s="7">
        <v>0.06</v>
      </c>
      <c r="F87" s="7">
        <v>4.8333333333333336E-3</v>
      </c>
    </row>
    <row r="88" spans="1:6" x14ac:dyDescent="0.3">
      <c r="A88" t="s">
        <v>43</v>
      </c>
      <c r="B88" s="8">
        <v>47330</v>
      </c>
      <c r="C88" s="7" t="s">
        <v>40</v>
      </c>
      <c r="D88" s="7">
        <v>1</v>
      </c>
      <c r="E88" s="7">
        <v>0.06</v>
      </c>
      <c r="F88" s="7">
        <v>5.3333333333333332E-3</v>
      </c>
    </row>
    <row r="89" spans="1:6" x14ac:dyDescent="0.3">
      <c r="A89" t="s">
        <v>43</v>
      </c>
      <c r="B89" s="8">
        <v>47361</v>
      </c>
      <c r="C89" s="7" t="s">
        <v>40</v>
      </c>
      <c r="D89" s="7">
        <v>1</v>
      </c>
      <c r="E89" s="7">
        <v>0.06</v>
      </c>
      <c r="F89" s="7">
        <v>4.9999999999999992E-3</v>
      </c>
    </row>
    <row r="90" spans="1:6" x14ac:dyDescent="0.3">
      <c r="A90" t="s">
        <v>43</v>
      </c>
      <c r="B90" s="8">
        <v>47389</v>
      </c>
      <c r="C90" s="7" t="s">
        <v>40</v>
      </c>
      <c r="D90" s="7">
        <v>1</v>
      </c>
      <c r="E90" s="7">
        <v>0.06</v>
      </c>
      <c r="F90" s="7">
        <v>4.6666666666666662E-3</v>
      </c>
    </row>
    <row r="91" spans="1:6" x14ac:dyDescent="0.3">
      <c r="A91" t="s">
        <v>43</v>
      </c>
      <c r="B91" s="8">
        <v>47422</v>
      </c>
      <c r="C91" s="7">
        <v>1</v>
      </c>
      <c r="D91" s="7" t="s">
        <v>40</v>
      </c>
      <c r="E91" s="7">
        <v>0.06</v>
      </c>
      <c r="F91" s="7">
        <v>5.4999999999999997E-3</v>
      </c>
    </row>
    <row r="92" spans="1:6" x14ac:dyDescent="0.3">
      <c r="A92" t="s">
        <v>44</v>
      </c>
      <c r="B92" s="8">
        <v>46174</v>
      </c>
      <c r="C92" s="7" t="s">
        <v>40</v>
      </c>
      <c r="D92" s="7">
        <v>1</v>
      </c>
      <c r="E92" s="7">
        <v>6.5000000000000002E-2</v>
      </c>
      <c r="F92" s="7">
        <v>3.0333333333333334E-2</v>
      </c>
    </row>
    <row r="93" spans="1:6" x14ac:dyDescent="0.3">
      <c r="A93" t="s">
        <v>44</v>
      </c>
      <c r="B93" s="8">
        <v>46356</v>
      </c>
      <c r="C93" s="7" t="s">
        <v>40</v>
      </c>
      <c r="D93" s="7">
        <v>1</v>
      </c>
      <c r="E93" s="7">
        <v>6.5000000000000002E-2</v>
      </c>
      <c r="F93" s="7">
        <v>3.2500000000000001E-2</v>
      </c>
    </row>
    <row r="94" spans="1:6" x14ac:dyDescent="0.3">
      <c r="A94" t="s">
        <v>44</v>
      </c>
      <c r="B94" s="8">
        <v>46538</v>
      </c>
      <c r="C94" s="7" t="s">
        <v>40</v>
      </c>
      <c r="D94" s="7">
        <v>1</v>
      </c>
      <c r="E94" s="7">
        <v>6.5000000000000002E-2</v>
      </c>
      <c r="F94" s="7">
        <v>3.2500000000000001E-2</v>
      </c>
    </row>
    <row r="95" spans="1:6" x14ac:dyDescent="0.3">
      <c r="A95" t="s">
        <v>44</v>
      </c>
      <c r="B95" s="8">
        <v>46721</v>
      </c>
      <c r="C95" s="7" t="s">
        <v>40</v>
      </c>
      <c r="D95" s="7">
        <v>1</v>
      </c>
      <c r="E95" s="7">
        <v>6.5000000000000002E-2</v>
      </c>
      <c r="F95" s="7">
        <v>3.2500000000000001E-2</v>
      </c>
    </row>
    <row r="96" spans="1:6" x14ac:dyDescent="0.3">
      <c r="A96" t="s">
        <v>44</v>
      </c>
      <c r="B96" s="8">
        <v>46903</v>
      </c>
      <c r="C96" s="7" t="s">
        <v>40</v>
      </c>
      <c r="D96" s="7">
        <v>1</v>
      </c>
      <c r="E96" s="7">
        <v>6.5000000000000002E-2</v>
      </c>
      <c r="F96" s="7">
        <v>3.2500000000000001E-2</v>
      </c>
    </row>
    <row r="97" spans="1:6" x14ac:dyDescent="0.3">
      <c r="A97" t="s">
        <v>44</v>
      </c>
      <c r="B97" s="8">
        <v>47087</v>
      </c>
      <c r="C97" s="7" t="s">
        <v>40</v>
      </c>
      <c r="D97" s="7">
        <v>1</v>
      </c>
      <c r="E97" s="7">
        <v>6.5000000000000002E-2</v>
      </c>
      <c r="F97" s="7">
        <v>3.2500000000000001E-2</v>
      </c>
    </row>
    <row r="98" spans="1:6" x14ac:dyDescent="0.3">
      <c r="A98" t="s">
        <v>44</v>
      </c>
      <c r="B98" s="8">
        <v>47268</v>
      </c>
      <c r="C98" s="7" t="s">
        <v>40</v>
      </c>
      <c r="D98" s="7">
        <v>1</v>
      </c>
      <c r="E98" s="7">
        <v>6.5000000000000002E-2</v>
      </c>
      <c r="F98" s="7">
        <v>3.2500000000000001E-2</v>
      </c>
    </row>
    <row r="99" spans="1:6" x14ac:dyDescent="0.3">
      <c r="A99" t="s">
        <v>44</v>
      </c>
      <c r="B99" s="8">
        <v>47452</v>
      </c>
      <c r="C99" s="7">
        <v>1</v>
      </c>
      <c r="D99" s="7" t="s">
        <v>40</v>
      </c>
      <c r="E99" s="7">
        <v>6.5000000000000002E-2</v>
      </c>
      <c r="F99" s="7">
        <v>3.2500000000000001E-2</v>
      </c>
    </row>
    <row r="100" spans="1:6" x14ac:dyDescent="0.3">
      <c r="A100" t="s">
        <v>45</v>
      </c>
      <c r="B100" s="8">
        <v>44389</v>
      </c>
      <c r="C100" s="7" t="s">
        <v>40</v>
      </c>
      <c r="D100" s="7">
        <v>1</v>
      </c>
      <c r="E100" s="7">
        <v>0.01</v>
      </c>
      <c r="F100" s="7">
        <v>8.472222222222223E-3</v>
      </c>
    </row>
    <row r="101" spans="1:6" x14ac:dyDescent="0.3">
      <c r="A101" t="s">
        <v>45</v>
      </c>
      <c r="B101" s="8">
        <v>44571</v>
      </c>
      <c r="C101" s="7" t="s">
        <v>40</v>
      </c>
      <c r="D101" s="7">
        <v>1</v>
      </c>
      <c r="E101" s="7">
        <v>0.01</v>
      </c>
      <c r="F101" s="7">
        <v>5.0000000000000001E-3</v>
      </c>
    </row>
    <row r="102" spans="1:6" x14ac:dyDescent="0.3">
      <c r="A102" t="s">
        <v>45</v>
      </c>
      <c r="B102" s="8">
        <v>44753</v>
      </c>
      <c r="C102" s="7" t="s">
        <v>40</v>
      </c>
      <c r="D102" s="7">
        <v>1</v>
      </c>
      <c r="E102" s="7">
        <v>0.01</v>
      </c>
      <c r="F102" s="7">
        <v>5.0000000000000001E-3</v>
      </c>
    </row>
    <row r="103" spans="1:6" x14ac:dyDescent="0.3">
      <c r="A103" t="s">
        <v>45</v>
      </c>
      <c r="B103" s="8">
        <v>44935</v>
      </c>
      <c r="C103" s="7" t="s">
        <v>40</v>
      </c>
      <c r="D103" s="7">
        <v>1</v>
      </c>
      <c r="E103" s="7">
        <v>0.01</v>
      </c>
      <c r="F103" s="7">
        <v>5.0000000000000001E-3</v>
      </c>
    </row>
    <row r="104" spans="1:6" x14ac:dyDescent="0.3">
      <c r="A104" t="s">
        <v>45</v>
      </c>
      <c r="B104" s="8">
        <v>45117</v>
      </c>
      <c r="C104" s="7" t="s">
        <v>40</v>
      </c>
      <c r="D104" s="7">
        <v>1</v>
      </c>
      <c r="E104" s="7">
        <v>0.01</v>
      </c>
      <c r="F104" s="7">
        <v>5.0000000000000001E-3</v>
      </c>
    </row>
    <row r="105" spans="1:6" x14ac:dyDescent="0.3">
      <c r="A105" t="s">
        <v>45</v>
      </c>
      <c r="B105" s="8">
        <v>45300</v>
      </c>
      <c r="C105" s="7" t="s">
        <v>40</v>
      </c>
      <c r="D105" s="7">
        <v>1</v>
      </c>
      <c r="E105" s="7">
        <v>0.01</v>
      </c>
      <c r="F105" s="7">
        <v>5.0000000000000001E-3</v>
      </c>
    </row>
    <row r="106" spans="1:6" x14ac:dyDescent="0.3">
      <c r="A106" t="s">
        <v>45</v>
      </c>
      <c r="B106" s="8">
        <v>45483</v>
      </c>
      <c r="C106" s="7" t="s">
        <v>40</v>
      </c>
      <c r="D106" s="7">
        <v>1</v>
      </c>
      <c r="E106" s="7">
        <v>0.01</v>
      </c>
      <c r="F106" s="7">
        <v>5.0000000000000001E-3</v>
      </c>
    </row>
    <row r="107" spans="1:6" x14ac:dyDescent="0.3">
      <c r="A107" t="s">
        <v>45</v>
      </c>
      <c r="B107" s="8">
        <v>45666</v>
      </c>
      <c r="C107" s="7">
        <v>0.1</v>
      </c>
      <c r="D107" s="7">
        <v>0.9</v>
      </c>
      <c r="E107" s="7">
        <v>0.01</v>
      </c>
      <c r="F107" s="7">
        <v>5.0000000000000001E-3</v>
      </c>
    </row>
    <row r="108" spans="1:6" x14ac:dyDescent="0.3">
      <c r="A108" t="s">
        <v>45</v>
      </c>
      <c r="B108" s="8">
        <v>45848</v>
      </c>
      <c r="C108" s="7">
        <v>0.1</v>
      </c>
      <c r="D108" s="7">
        <v>0.8</v>
      </c>
      <c r="E108" s="7">
        <v>0.01</v>
      </c>
      <c r="F108" s="7">
        <v>4.5000000000000005E-3</v>
      </c>
    </row>
    <row r="109" spans="1:6" x14ac:dyDescent="0.3">
      <c r="A109" t="s">
        <v>45</v>
      </c>
      <c r="B109" s="8">
        <v>46031</v>
      </c>
      <c r="C109" s="7">
        <v>0.1</v>
      </c>
      <c r="D109" s="7">
        <v>0.7</v>
      </c>
      <c r="E109" s="7">
        <v>0.01</v>
      </c>
      <c r="F109" s="7">
        <v>4.0000000000000001E-3</v>
      </c>
    </row>
    <row r="110" spans="1:6" x14ac:dyDescent="0.3">
      <c r="A110" t="s">
        <v>45</v>
      </c>
      <c r="B110" s="8">
        <v>46216</v>
      </c>
      <c r="C110" s="7">
        <v>0.1</v>
      </c>
      <c r="D110" s="7">
        <v>0.6</v>
      </c>
      <c r="E110" s="7">
        <v>0.01</v>
      </c>
      <c r="F110" s="7">
        <v>3.4999999999999996E-3</v>
      </c>
    </row>
    <row r="111" spans="1:6" x14ac:dyDescent="0.3">
      <c r="A111" t="s">
        <v>45</v>
      </c>
      <c r="B111" s="8">
        <v>46398</v>
      </c>
      <c r="C111" s="7">
        <v>0.1</v>
      </c>
      <c r="D111" s="7">
        <v>0.5</v>
      </c>
      <c r="E111" s="7">
        <v>0.01</v>
      </c>
      <c r="F111" s="7">
        <v>3.0000000000000001E-3</v>
      </c>
    </row>
    <row r="112" spans="1:6" x14ac:dyDescent="0.3">
      <c r="A112" t="s">
        <v>45</v>
      </c>
      <c r="B112" s="8">
        <v>46580</v>
      </c>
      <c r="C112" s="7">
        <v>0.1</v>
      </c>
      <c r="D112" s="7">
        <v>0.4</v>
      </c>
      <c r="E112" s="7">
        <v>0.01</v>
      </c>
      <c r="F112" s="7">
        <v>2.5000000000000001E-3</v>
      </c>
    </row>
    <row r="113" spans="1:6" x14ac:dyDescent="0.3">
      <c r="A113" t="s">
        <v>45</v>
      </c>
      <c r="B113" s="8">
        <v>46762</v>
      </c>
      <c r="C113" s="7">
        <v>0.1</v>
      </c>
      <c r="D113" s="7">
        <v>0.3</v>
      </c>
      <c r="E113" s="7">
        <v>0.01</v>
      </c>
      <c r="F113" s="7">
        <v>2E-3</v>
      </c>
    </row>
    <row r="114" spans="1:6" x14ac:dyDescent="0.3">
      <c r="A114" t="s">
        <v>45</v>
      </c>
      <c r="B114" s="8">
        <v>46944</v>
      </c>
      <c r="C114" s="7">
        <v>0.1</v>
      </c>
      <c r="D114" s="7">
        <v>0.2</v>
      </c>
      <c r="E114" s="7">
        <v>0.01</v>
      </c>
      <c r="F114" s="7">
        <v>1.5E-3</v>
      </c>
    </row>
    <row r="115" spans="1:6" x14ac:dyDescent="0.3">
      <c r="A115" t="s">
        <v>45</v>
      </c>
      <c r="B115" s="8">
        <v>47127</v>
      </c>
      <c r="C115" s="7">
        <v>0.1</v>
      </c>
      <c r="D115" s="7">
        <v>0.1</v>
      </c>
      <c r="E115" s="7">
        <v>0.01</v>
      </c>
      <c r="F115" s="7">
        <v>1E-3</v>
      </c>
    </row>
    <row r="116" spans="1:6" x14ac:dyDescent="0.3">
      <c r="A116" t="s">
        <v>45</v>
      </c>
      <c r="B116" s="8">
        <v>47309</v>
      </c>
      <c r="C116" s="7">
        <v>0.1</v>
      </c>
      <c r="D116" s="7" t="s">
        <v>40</v>
      </c>
      <c r="E116" s="7">
        <v>0.01</v>
      </c>
      <c r="F116" s="7">
        <v>5.0000000000000001E-4</v>
      </c>
    </row>
    <row r="117" spans="1:6" x14ac:dyDescent="0.3">
      <c r="A117" t="s">
        <v>46</v>
      </c>
      <c r="B117" s="8">
        <v>44389</v>
      </c>
      <c r="C117" s="7" t="s">
        <v>40</v>
      </c>
      <c r="D117" s="7">
        <v>1</v>
      </c>
      <c r="E117" s="7">
        <v>0.01</v>
      </c>
      <c r="F117" s="7">
        <v>8.472222222222223E-3</v>
      </c>
    </row>
    <row r="118" spans="1:6" x14ac:dyDescent="0.3">
      <c r="A118" t="s">
        <v>46</v>
      </c>
      <c r="B118" s="8">
        <v>44571</v>
      </c>
      <c r="C118" s="7" t="s">
        <v>40</v>
      </c>
      <c r="D118" s="7">
        <v>1</v>
      </c>
      <c r="E118" s="7">
        <v>0.01</v>
      </c>
      <c r="F118" s="7">
        <v>5.0000000000000001E-3</v>
      </c>
    </row>
    <row r="119" spans="1:6" x14ac:dyDescent="0.3">
      <c r="A119" t="s">
        <v>46</v>
      </c>
      <c r="B119" s="8">
        <v>44753</v>
      </c>
      <c r="C119" s="7" t="s">
        <v>40</v>
      </c>
      <c r="D119" s="7">
        <v>1</v>
      </c>
      <c r="E119" s="7">
        <v>0.01</v>
      </c>
      <c r="F119" s="7">
        <v>5.0000000000000001E-3</v>
      </c>
    </row>
    <row r="120" spans="1:6" x14ac:dyDescent="0.3">
      <c r="A120" t="s">
        <v>46</v>
      </c>
      <c r="B120" s="8">
        <v>44935</v>
      </c>
      <c r="C120" s="7" t="s">
        <v>40</v>
      </c>
      <c r="D120" s="7">
        <v>1</v>
      </c>
      <c r="E120" s="7">
        <v>0.01</v>
      </c>
      <c r="F120" s="7">
        <v>5.0000000000000001E-3</v>
      </c>
    </row>
    <row r="121" spans="1:6" x14ac:dyDescent="0.3">
      <c r="A121" t="s">
        <v>46</v>
      </c>
      <c r="B121" s="8">
        <v>45117</v>
      </c>
      <c r="C121" s="7" t="s">
        <v>40</v>
      </c>
      <c r="D121" s="7">
        <v>1</v>
      </c>
      <c r="E121" s="7">
        <v>0.01</v>
      </c>
      <c r="F121" s="7">
        <v>5.0000000000000001E-3</v>
      </c>
    </row>
    <row r="122" spans="1:6" x14ac:dyDescent="0.3">
      <c r="A122" t="s">
        <v>46</v>
      </c>
      <c r="B122" s="8">
        <v>45300</v>
      </c>
      <c r="C122" s="7" t="s">
        <v>40</v>
      </c>
      <c r="D122" s="7">
        <v>1</v>
      </c>
      <c r="E122" s="7">
        <v>0.01</v>
      </c>
      <c r="F122" s="7">
        <v>5.0000000000000001E-3</v>
      </c>
    </row>
    <row r="123" spans="1:6" x14ac:dyDescent="0.3">
      <c r="A123" t="s">
        <v>46</v>
      </c>
      <c r="B123" s="8">
        <v>45483</v>
      </c>
      <c r="C123" s="7" t="s">
        <v>40</v>
      </c>
      <c r="D123" s="7">
        <v>1</v>
      </c>
      <c r="E123" s="7">
        <v>0.01</v>
      </c>
      <c r="F123" s="7">
        <v>5.0000000000000001E-3</v>
      </c>
    </row>
    <row r="124" spans="1:6" x14ac:dyDescent="0.3">
      <c r="A124" t="s">
        <v>46</v>
      </c>
      <c r="B124" s="8">
        <v>45666</v>
      </c>
      <c r="C124" s="7">
        <v>0.1</v>
      </c>
      <c r="D124" s="7">
        <v>0.9</v>
      </c>
      <c r="E124" s="7">
        <v>0.01</v>
      </c>
      <c r="F124" s="7">
        <v>5.0000000000000001E-3</v>
      </c>
    </row>
    <row r="125" spans="1:6" x14ac:dyDescent="0.3">
      <c r="A125" t="s">
        <v>46</v>
      </c>
      <c r="B125" s="8">
        <v>45848</v>
      </c>
      <c r="C125" s="7">
        <v>0.1</v>
      </c>
      <c r="D125" s="7">
        <v>0.8</v>
      </c>
      <c r="E125" s="7">
        <v>0.01</v>
      </c>
      <c r="F125" s="7">
        <v>4.5000000000000005E-3</v>
      </c>
    </row>
    <row r="126" spans="1:6" x14ac:dyDescent="0.3">
      <c r="A126" t="s">
        <v>46</v>
      </c>
      <c r="B126" s="8">
        <v>46031</v>
      </c>
      <c r="C126" s="7">
        <v>0.1</v>
      </c>
      <c r="D126" s="7">
        <v>0.7</v>
      </c>
      <c r="E126" s="7">
        <v>0.01</v>
      </c>
      <c r="F126" s="7">
        <v>4.0000000000000001E-3</v>
      </c>
    </row>
    <row r="127" spans="1:6" x14ac:dyDescent="0.3">
      <c r="A127" t="s">
        <v>46</v>
      </c>
      <c r="B127" s="8">
        <v>46216</v>
      </c>
      <c r="C127" s="7">
        <v>0.1</v>
      </c>
      <c r="D127" s="7">
        <v>0.6</v>
      </c>
      <c r="E127" s="7">
        <v>0.01</v>
      </c>
      <c r="F127" s="7">
        <v>3.4999999999999996E-3</v>
      </c>
    </row>
    <row r="128" spans="1:6" x14ac:dyDescent="0.3">
      <c r="A128" t="s">
        <v>46</v>
      </c>
      <c r="B128" s="8">
        <v>46398</v>
      </c>
      <c r="C128" s="7">
        <v>0.1</v>
      </c>
      <c r="D128" s="7">
        <v>0.5</v>
      </c>
      <c r="E128" s="7">
        <v>0.01</v>
      </c>
      <c r="F128" s="7">
        <v>3.0000000000000001E-3</v>
      </c>
    </row>
    <row r="129" spans="1:6" x14ac:dyDescent="0.3">
      <c r="A129" t="s">
        <v>46</v>
      </c>
      <c r="B129" s="8">
        <v>46580</v>
      </c>
      <c r="C129" s="7">
        <v>0.1</v>
      </c>
      <c r="D129" s="7">
        <v>0.4</v>
      </c>
      <c r="E129" s="7">
        <v>0.01</v>
      </c>
      <c r="F129" s="7">
        <v>2.5000000000000001E-3</v>
      </c>
    </row>
    <row r="130" spans="1:6" x14ac:dyDescent="0.3">
      <c r="A130" t="s">
        <v>46</v>
      </c>
      <c r="B130" s="8">
        <v>46762</v>
      </c>
      <c r="C130" s="7">
        <v>0.1</v>
      </c>
      <c r="D130" s="7">
        <v>0.3</v>
      </c>
      <c r="E130" s="7">
        <v>0.01</v>
      </c>
      <c r="F130" s="7">
        <v>2E-3</v>
      </c>
    </row>
    <row r="131" spans="1:6" x14ac:dyDescent="0.3">
      <c r="A131" t="s">
        <v>46</v>
      </c>
      <c r="B131" s="8">
        <v>46944</v>
      </c>
      <c r="C131" s="7">
        <v>0.1</v>
      </c>
      <c r="D131" s="7">
        <v>0.2</v>
      </c>
      <c r="E131" s="7">
        <v>0.01</v>
      </c>
      <c r="F131" s="7">
        <v>1.5E-3</v>
      </c>
    </row>
    <row r="132" spans="1:6" x14ac:dyDescent="0.3">
      <c r="A132" t="s">
        <v>46</v>
      </c>
      <c r="B132" s="8">
        <v>47127</v>
      </c>
      <c r="C132" s="7">
        <v>0.1</v>
      </c>
      <c r="D132" s="7">
        <v>0.1</v>
      </c>
      <c r="E132" s="7">
        <v>0.01</v>
      </c>
      <c r="F132" s="7">
        <v>1E-3</v>
      </c>
    </row>
    <row r="133" spans="1:6" x14ac:dyDescent="0.3">
      <c r="A133" t="s">
        <v>46</v>
      </c>
      <c r="B133" s="8">
        <v>47309</v>
      </c>
      <c r="C133" s="7">
        <v>0.1</v>
      </c>
      <c r="D133" s="7" t="s">
        <v>40</v>
      </c>
      <c r="E133" s="7">
        <v>0.01</v>
      </c>
      <c r="F133" s="7">
        <v>5.0000000000000001E-4</v>
      </c>
    </row>
    <row r="134" spans="1:6" x14ac:dyDescent="0.3">
      <c r="A134" t="s">
        <v>47</v>
      </c>
      <c r="B134" s="8">
        <v>44389</v>
      </c>
      <c r="C134" s="7" t="s">
        <v>40</v>
      </c>
      <c r="D134" s="7">
        <v>1</v>
      </c>
      <c r="E134" s="7">
        <v>1.25E-3</v>
      </c>
      <c r="F134" s="7">
        <v>1.0590277777777779E-3</v>
      </c>
    </row>
    <row r="135" spans="1:6" x14ac:dyDescent="0.3">
      <c r="A135" t="s">
        <v>47</v>
      </c>
      <c r="B135" s="8">
        <v>44571</v>
      </c>
      <c r="C135" s="7" t="s">
        <v>40</v>
      </c>
      <c r="D135" s="7">
        <v>1</v>
      </c>
      <c r="E135" s="7">
        <v>5.0000000000000001E-3</v>
      </c>
      <c r="F135" s="7">
        <v>2.5000000000000001E-3</v>
      </c>
    </row>
    <row r="136" spans="1:6" x14ac:dyDescent="0.3">
      <c r="A136" t="s">
        <v>47</v>
      </c>
      <c r="B136" s="8">
        <v>44753</v>
      </c>
      <c r="C136" s="7" t="s">
        <v>40</v>
      </c>
      <c r="D136" s="7">
        <v>1</v>
      </c>
      <c r="E136" s="7">
        <v>5.0000000000000001E-3</v>
      </c>
      <c r="F136" s="7">
        <v>2.5000000000000001E-3</v>
      </c>
    </row>
    <row r="137" spans="1:6" x14ac:dyDescent="0.3">
      <c r="A137" t="s">
        <v>47</v>
      </c>
      <c r="B137" s="8">
        <v>44935</v>
      </c>
      <c r="C137" s="7" t="s">
        <v>40</v>
      </c>
      <c r="D137" s="7">
        <v>1</v>
      </c>
      <c r="E137" s="7">
        <v>5.0000000000000001E-3</v>
      </c>
      <c r="F137" s="7">
        <v>2.5000000000000001E-3</v>
      </c>
    </row>
    <row r="138" spans="1:6" x14ac:dyDescent="0.3">
      <c r="A138" t="s">
        <v>47</v>
      </c>
      <c r="B138" s="8">
        <v>45117</v>
      </c>
      <c r="C138" s="7" t="s">
        <v>40</v>
      </c>
      <c r="D138" s="7">
        <v>1</v>
      </c>
      <c r="E138" s="7">
        <v>5.0000000000000001E-3</v>
      </c>
      <c r="F138" s="7">
        <v>2.5000000000000001E-3</v>
      </c>
    </row>
    <row r="139" spans="1:6" x14ac:dyDescent="0.3">
      <c r="A139" t="s">
        <v>47</v>
      </c>
      <c r="B139" s="8">
        <v>45300</v>
      </c>
      <c r="C139" s="7" t="s">
        <v>40</v>
      </c>
      <c r="D139" s="7">
        <v>1</v>
      </c>
      <c r="E139" s="7">
        <v>7.4999999999999997E-3</v>
      </c>
      <c r="F139" s="7">
        <v>3.7499999999999999E-3</v>
      </c>
    </row>
    <row r="140" spans="1:6" x14ac:dyDescent="0.3">
      <c r="A140" t="s">
        <v>47</v>
      </c>
      <c r="B140" s="8">
        <v>45483</v>
      </c>
      <c r="C140" s="7">
        <v>0.04</v>
      </c>
      <c r="D140" s="7">
        <v>0.96</v>
      </c>
      <c r="E140" s="7">
        <v>7.4999999999999997E-3</v>
      </c>
      <c r="F140" s="7">
        <v>3.7499999999999999E-3</v>
      </c>
    </row>
    <row r="141" spans="1:6" x14ac:dyDescent="0.3">
      <c r="A141" t="s">
        <v>47</v>
      </c>
      <c r="B141" s="8">
        <v>45666</v>
      </c>
      <c r="C141" s="7">
        <v>0.08</v>
      </c>
      <c r="D141" s="7">
        <v>0.88</v>
      </c>
      <c r="E141" s="7">
        <v>7.4999999999999997E-3</v>
      </c>
      <c r="F141" s="7">
        <v>3.5999999999999999E-3</v>
      </c>
    </row>
    <row r="142" spans="1:6" x14ac:dyDescent="0.3">
      <c r="A142" t="s">
        <v>47</v>
      </c>
      <c r="B142" s="8">
        <v>45848</v>
      </c>
      <c r="C142" s="7">
        <v>0.08</v>
      </c>
      <c r="D142" s="7">
        <v>0.8</v>
      </c>
      <c r="E142" s="7">
        <v>7.4999999999999997E-3</v>
      </c>
      <c r="F142" s="7">
        <v>3.3E-3</v>
      </c>
    </row>
    <row r="143" spans="1:6" x14ac:dyDescent="0.3">
      <c r="A143" t="s">
        <v>47</v>
      </c>
      <c r="B143" s="8">
        <v>46031</v>
      </c>
      <c r="C143" s="7">
        <v>0.08</v>
      </c>
      <c r="D143" s="7">
        <v>0.72</v>
      </c>
      <c r="E143" s="7">
        <v>7.4999999999999997E-3</v>
      </c>
      <c r="F143" s="7">
        <v>3.0000000000000001E-3</v>
      </c>
    </row>
    <row r="144" spans="1:6" x14ac:dyDescent="0.3">
      <c r="A144" t="s">
        <v>47</v>
      </c>
      <c r="B144" s="8">
        <v>46216</v>
      </c>
      <c r="C144" s="7">
        <v>0.08</v>
      </c>
      <c r="D144" s="7">
        <v>0.64</v>
      </c>
      <c r="E144" s="7">
        <v>7.4999999999999997E-3</v>
      </c>
      <c r="F144" s="7">
        <v>2.6999999999999997E-3</v>
      </c>
    </row>
    <row r="145" spans="1:6" x14ac:dyDescent="0.3">
      <c r="A145" t="s">
        <v>47</v>
      </c>
      <c r="B145" s="8">
        <v>46398</v>
      </c>
      <c r="C145" s="7">
        <v>0.08</v>
      </c>
      <c r="D145" s="7">
        <v>0.56000000000000005</v>
      </c>
      <c r="E145" s="7">
        <v>7.4999999999999997E-3</v>
      </c>
      <c r="F145" s="7">
        <v>2.3999999999999998E-3</v>
      </c>
    </row>
    <row r="146" spans="1:6" x14ac:dyDescent="0.3">
      <c r="A146" t="s">
        <v>47</v>
      </c>
      <c r="B146" s="8">
        <v>46580</v>
      </c>
      <c r="C146" s="7">
        <v>0.08</v>
      </c>
      <c r="D146" s="7">
        <v>0.48</v>
      </c>
      <c r="E146" s="7">
        <v>7.4999999999999997E-3</v>
      </c>
      <c r="F146" s="7">
        <v>2.1000000000000003E-3</v>
      </c>
    </row>
    <row r="147" spans="1:6" x14ac:dyDescent="0.3">
      <c r="A147" t="s">
        <v>47</v>
      </c>
      <c r="B147" s="8">
        <v>46762</v>
      </c>
      <c r="C147" s="7">
        <v>0.08</v>
      </c>
      <c r="D147" s="7">
        <v>0.4</v>
      </c>
      <c r="E147" s="7">
        <v>1.7500000000000002E-2</v>
      </c>
      <c r="F147" s="7">
        <v>4.2000000000000006E-3</v>
      </c>
    </row>
    <row r="148" spans="1:6" x14ac:dyDescent="0.3">
      <c r="A148" t="s">
        <v>47</v>
      </c>
      <c r="B148" s="8">
        <v>46944</v>
      </c>
      <c r="C148" s="7">
        <v>0.08</v>
      </c>
      <c r="D148" s="7">
        <v>0.32</v>
      </c>
      <c r="E148" s="7">
        <v>1.7500000000000002E-2</v>
      </c>
      <c r="F148" s="7">
        <v>3.5000000000000005E-3</v>
      </c>
    </row>
    <row r="149" spans="1:6" x14ac:dyDescent="0.3">
      <c r="A149" t="s">
        <v>47</v>
      </c>
      <c r="B149" s="8">
        <v>47127</v>
      </c>
      <c r="C149" s="7">
        <v>0.08</v>
      </c>
      <c r="D149" s="7">
        <v>0.24</v>
      </c>
      <c r="E149" s="7">
        <v>1.7500000000000002E-2</v>
      </c>
      <c r="F149" s="7">
        <v>2.8000000000000004E-3</v>
      </c>
    </row>
    <row r="150" spans="1:6" x14ac:dyDescent="0.3">
      <c r="A150" t="s">
        <v>47</v>
      </c>
      <c r="B150" s="8">
        <v>47309</v>
      </c>
      <c r="C150" s="7">
        <v>0.08</v>
      </c>
      <c r="D150" s="7">
        <v>0.16</v>
      </c>
      <c r="E150" s="7">
        <v>1.7500000000000002E-2</v>
      </c>
      <c r="F150" s="7">
        <v>2.1000000000000003E-3</v>
      </c>
    </row>
    <row r="151" spans="1:6" x14ac:dyDescent="0.3">
      <c r="A151" t="s">
        <v>47</v>
      </c>
      <c r="B151" s="8">
        <v>47492</v>
      </c>
      <c r="C151" s="7">
        <v>0.08</v>
      </c>
      <c r="D151" s="7">
        <v>0.08</v>
      </c>
      <c r="E151" s="7">
        <v>1.7500000000000002E-2</v>
      </c>
      <c r="F151" s="7">
        <v>1.4000000000000002E-3</v>
      </c>
    </row>
    <row r="152" spans="1:6" x14ac:dyDescent="0.3">
      <c r="A152" t="s">
        <v>47</v>
      </c>
      <c r="B152" s="8">
        <v>47674</v>
      </c>
      <c r="C152" s="7">
        <v>0.08</v>
      </c>
      <c r="D152" s="7" t="s">
        <v>40</v>
      </c>
      <c r="E152" s="7">
        <v>1.7500000000000002E-2</v>
      </c>
      <c r="F152" s="7">
        <v>7.000000000000001E-4</v>
      </c>
    </row>
    <row r="153" spans="1:6" x14ac:dyDescent="0.3">
      <c r="A153" t="s">
        <v>48</v>
      </c>
      <c r="B153" s="8">
        <v>44389</v>
      </c>
      <c r="C153" s="7" t="s">
        <v>40</v>
      </c>
      <c r="D153" s="7">
        <v>1</v>
      </c>
      <c r="E153" s="7">
        <v>1.25E-3</v>
      </c>
      <c r="F153" s="7">
        <v>1.0590277777777779E-3</v>
      </c>
    </row>
    <row r="154" spans="1:6" x14ac:dyDescent="0.3">
      <c r="A154" t="s">
        <v>48</v>
      </c>
      <c r="B154" s="8">
        <v>44571</v>
      </c>
      <c r="C154" s="7" t="s">
        <v>40</v>
      </c>
      <c r="D154" s="7">
        <v>1</v>
      </c>
      <c r="E154" s="7">
        <v>5.0000000000000001E-3</v>
      </c>
      <c r="F154" s="7">
        <v>2.5000000000000001E-3</v>
      </c>
    </row>
    <row r="155" spans="1:6" x14ac:dyDescent="0.3">
      <c r="A155" t="s">
        <v>48</v>
      </c>
      <c r="B155" s="8">
        <v>44753</v>
      </c>
      <c r="C155" s="7" t="s">
        <v>40</v>
      </c>
      <c r="D155" s="7">
        <v>1</v>
      </c>
      <c r="E155" s="7">
        <v>5.0000000000000001E-3</v>
      </c>
      <c r="F155" s="7">
        <v>2.5000000000000001E-3</v>
      </c>
    </row>
    <row r="156" spans="1:6" x14ac:dyDescent="0.3">
      <c r="A156" t="s">
        <v>48</v>
      </c>
      <c r="B156" s="8">
        <v>44935</v>
      </c>
      <c r="C156" s="7" t="s">
        <v>40</v>
      </c>
      <c r="D156" s="7">
        <v>1</v>
      </c>
      <c r="E156" s="7">
        <v>5.0000000000000001E-3</v>
      </c>
      <c r="F156" s="7">
        <v>2.5000000000000001E-3</v>
      </c>
    </row>
    <row r="157" spans="1:6" x14ac:dyDescent="0.3">
      <c r="A157" t="s">
        <v>48</v>
      </c>
      <c r="B157" s="8">
        <v>45117</v>
      </c>
      <c r="C157" s="7" t="s">
        <v>40</v>
      </c>
      <c r="D157" s="7">
        <v>1</v>
      </c>
      <c r="E157" s="7">
        <v>5.0000000000000001E-3</v>
      </c>
      <c r="F157" s="7">
        <v>2.5000000000000001E-3</v>
      </c>
    </row>
    <row r="158" spans="1:6" x14ac:dyDescent="0.3">
      <c r="A158" t="s">
        <v>48</v>
      </c>
      <c r="B158" s="8">
        <v>45300</v>
      </c>
      <c r="C158" s="7" t="s">
        <v>40</v>
      </c>
      <c r="D158" s="7">
        <v>1</v>
      </c>
      <c r="E158" s="7">
        <v>7.4999999999999997E-3</v>
      </c>
      <c r="F158" s="7">
        <v>3.7499999999999999E-3</v>
      </c>
    </row>
    <row r="159" spans="1:6" x14ac:dyDescent="0.3">
      <c r="A159" t="s">
        <v>48</v>
      </c>
      <c r="B159" s="8">
        <v>45483</v>
      </c>
      <c r="C159" s="7">
        <v>0.04</v>
      </c>
      <c r="D159" s="7">
        <v>0.96</v>
      </c>
      <c r="E159" s="7">
        <v>7.4999999999999997E-3</v>
      </c>
      <c r="F159" s="7">
        <v>3.7499999999999999E-3</v>
      </c>
    </row>
    <row r="160" spans="1:6" x14ac:dyDescent="0.3">
      <c r="A160" t="s">
        <v>48</v>
      </c>
      <c r="B160" s="8">
        <v>45666</v>
      </c>
      <c r="C160" s="7">
        <v>0.08</v>
      </c>
      <c r="D160" s="7">
        <v>0.88</v>
      </c>
      <c r="E160" s="7">
        <v>7.4999999999999997E-3</v>
      </c>
      <c r="F160" s="7">
        <v>3.5999999999999999E-3</v>
      </c>
    </row>
    <row r="161" spans="1:6" x14ac:dyDescent="0.3">
      <c r="A161" t="s">
        <v>48</v>
      </c>
      <c r="B161" s="8">
        <v>45848</v>
      </c>
      <c r="C161" s="7">
        <v>0.08</v>
      </c>
      <c r="D161" s="7">
        <v>0.8</v>
      </c>
      <c r="E161" s="7">
        <v>7.4999999999999997E-3</v>
      </c>
      <c r="F161" s="7">
        <v>3.3E-3</v>
      </c>
    </row>
    <row r="162" spans="1:6" x14ac:dyDescent="0.3">
      <c r="A162" t="s">
        <v>48</v>
      </c>
      <c r="B162" s="8">
        <v>46031</v>
      </c>
      <c r="C162" s="7">
        <v>0.08</v>
      </c>
      <c r="D162" s="7">
        <v>0.72</v>
      </c>
      <c r="E162" s="7">
        <v>7.4999999999999997E-3</v>
      </c>
      <c r="F162" s="7">
        <v>3.0000000000000001E-3</v>
      </c>
    </row>
    <row r="163" spans="1:6" x14ac:dyDescent="0.3">
      <c r="A163" t="s">
        <v>48</v>
      </c>
      <c r="B163" s="8">
        <v>46216</v>
      </c>
      <c r="C163" s="7">
        <v>0.08</v>
      </c>
      <c r="D163" s="7">
        <v>0.64</v>
      </c>
      <c r="E163" s="7">
        <v>7.4999999999999997E-3</v>
      </c>
      <c r="F163" s="7">
        <v>2.6999999999999997E-3</v>
      </c>
    </row>
    <row r="164" spans="1:6" x14ac:dyDescent="0.3">
      <c r="A164" t="s">
        <v>48</v>
      </c>
      <c r="B164" s="8">
        <v>46398</v>
      </c>
      <c r="C164" s="7">
        <v>0.08</v>
      </c>
      <c r="D164" s="7">
        <v>0.56000000000000005</v>
      </c>
      <c r="E164" s="7">
        <v>7.4999999999999997E-3</v>
      </c>
      <c r="F164" s="7">
        <v>2.3999999999999998E-3</v>
      </c>
    </row>
    <row r="165" spans="1:6" x14ac:dyDescent="0.3">
      <c r="A165" t="s">
        <v>48</v>
      </c>
      <c r="B165" s="8">
        <v>46580</v>
      </c>
      <c r="C165" s="7">
        <v>0.08</v>
      </c>
      <c r="D165" s="7">
        <v>0.48</v>
      </c>
      <c r="E165" s="7">
        <v>7.4999999999999997E-3</v>
      </c>
      <c r="F165" s="7">
        <v>2.1000000000000003E-3</v>
      </c>
    </row>
    <row r="166" spans="1:6" x14ac:dyDescent="0.3">
      <c r="A166" t="s">
        <v>48</v>
      </c>
      <c r="B166" s="8">
        <v>46762</v>
      </c>
      <c r="C166" s="7">
        <v>0.08</v>
      </c>
      <c r="D166" s="7">
        <v>0.4</v>
      </c>
      <c r="E166" s="7">
        <v>1.7500000000000002E-2</v>
      </c>
      <c r="F166" s="7">
        <v>4.2000000000000006E-3</v>
      </c>
    </row>
    <row r="167" spans="1:6" x14ac:dyDescent="0.3">
      <c r="A167" t="s">
        <v>48</v>
      </c>
      <c r="B167" s="8">
        <v>46944</v>
      </c>
      <c r="C167" s="7">
        <v>0.08</v>
      </c>
      <c r="D167" s="7">
        <v>0.32</v>
      </c>
      <c r="E167" s="7">
        <v>1.7500000000000002E-2</v>
      </c>
      <c r="F167" s="7">
        <v>3.5000000000000005E-3</v>
      </c>
    </row>
    <row r="168" spans="1:6" x14ac:dyDescent="0.3">
      <c r="A168" t="s">
        <v>48</v>
      </c>
      <c r="B168" s="8">
        <v>47127</v>
      </c>
      <c r="C168" s="7">
        <v>0.08</v>
      </c>
      <c r="D168" s="7">
        <v>0.24</v>
      </c>
      <c r="E168" s="7">
        <v>1.7500000000000002E-2</v>
      </c>
      <c r="F168" s="7">
        <v>2.8000000000000004E-3</v>
      </c>
    </row>
    <row r="169" spans="1:6" x14ac:dyDescent="0.3">
      <c r="A169" t="s">
        <v>48</v>
      </c>
      <c r="B169" s="8">
        <v>47309</v>
      </c>
      <c r="C169" s="7">
        <v>0.08</v>
      </c>
      <c r="D169" s="7">
        <v>0.16</v>
      </c>
      <c r="E169" s="7">
        <v>1.7500000000000002E-2</v>
      </c>
      <c r="F169" s="7">
        <v>2.1000000000000003E-3</v>
      </c>
    </row>
    <row r="170" spans="1:6" x14ac:dyDescent="0.3">
      <c r="A170" t="s">
        <v>48</v>
      </c>
      <c r="B170" s="8">
        <v>47492</v>
      </c>
      <c r="C170" s="7">
        <v>0.08</v>
      </c>
      <c r="D170" s="7">
        <v>0.08</v>
      </c>
      <c r="E170" s="7">
        <v>1.7500000000000002E-2</v>
      </c>
      <c r="F170" s="7">
        <v>1.4000000000000002E-3</v>
      </c>
    </row>
    <row r="171" spans="1:6" x14ac:dyDescent="0.3">
      <c r="A171" t="s">
        <v>48</v>
      </c>
      <c r="B171" s="8">
        <v>47674</v>
      </c>
      <c r="C171" s="7">
        <v>0.08</v>
      </c>
      <c r="D171" s="7" t="s">
        <v>40</v>
      </c>
      <c r="E171" s="7">
        <v>1.7500000000000002E-2</v>
      </c>
      <c r="F171" s="7">
        <v>7.000000000000001E-4</v>
      </c>
    </row>
    <row r="172" spans="1:6" x14ac:dyDescent="0.3">
      <c r="A172" t="s">
        <v>49</v>
      </c>
      <c r="B172" s="8">
        <v>44389</v>
      </c>
      <c r="C172" s="7" t="s">
        <v>40</v>
      </c>
      <c r="D172" s="7">
        <v>1</v>
      </c>
      <c r="E172" s="7">
        <v>1.25E-3</v>
      </c>
      <c r="F172" s="7">
        <v>1.0590277777777779E-3</v>
      </c>
    </row>
    <row r="173" spans="1:6" x14ac:dyDescent="0.3">
      <c r="A173" t="s">
        <v>49</v>
      </c>
      <c r="B173" s="8">
        <v>44571</v>
      </c>
      <c r="C173" s="7" t="s">
        <v>40</v>
      </c>
      <c r="D173" s="7">
        <v>1</v>
      </c>
      <c r="E173" s="7">
        <v>1.125E-2</v>
      </c>
      <c r="F173" s="7">
        <v>5.6249999999999998E-3</v>
      </c>
    </row>
    <row r="174" spans="1:6" x14ac:dyDescent="0.3">
      <c r="A174" t="s">
        <v>49</v>
      </c>
      <c r="B174" s="8">
        <v>44753</v>
      </c>
      <c r="C174" s="7" t="s">
        <v>40</v>
      </c>
      <c r="D174" s="7">
        <v>1</v>
      </c>
      <c r="E174" s="7">
        <v>1.125E-2</v>
      </c>
      <c r="F174" s="7">
        <v>5.6249999999999998E-3</v>
      </c>
    </row>
    <row r="175" spans="1:6" x14ac:dyDescent="0.3">
      <c r="A175" t="s">
        <v>49</v>
      </c>
      <c r="B175" s="8">
        <v>44935</v>
      </c>
      <c r="C175" s="7" t="s">
        <v>40</v>
      </c>
      <c r="D175" s="7">
        <v>1</v>
      </c>
      <c r="E175" s="7">
        <v>1.4999999999999999E-2</v>
      </c>
      <c r="F175" s="7">
        <v>7.4999999999999997E-3</v>
      </c>
    </row>
    <row r="176" spans="1:6" x14ac:dyDescent="0.3">
      <c r="A176" t="s">
        <v>49</v>
      </c>
      <c r="B176" s="8">
        <v>45117</v>
      </c>
      <c r="C176" s="7" t="s">
        <v>40</v>
      </c>
      <c r="D176" s="7">
        <v>1</v>
      </c>
      <c r="E176" s="7">
        <v>1.4999999999999999E-2</v>
      </c>
      <c r="F176" s="7">
        <v>7.4999999999999997E-3</v>
      </c>
    </row>
    <row r="177" spans="1:6" x14ac:dyDescent="0.3">
      <c r="A177" t="s">
        <v>49</v>
      </c>
      <c r="B177" s="8">
        <v>45300</v>
      </c>
      <c r="C177" s="7" t="s">
        <v>40</v>
      </c>
      <c r="D177" s="7">
        <v>1</v>
      </c>
      <c r="E177" s="7">
        <v>3.6249999999999998E-2</v>
      </c>
      <c r="F177" s="7">
        <v>1.8124999999999999E-2</v>
      </c>
    </row>
    <row r="178" spans="1:6" x14ac:dyDescent="0.3">
      <c r="A178" t="s">
        <v>49</v>
      </c>
      <c r="B178" s="8">
        <v>45483</v>
      </c>
      <c r="C178" s="7" t="s">
        <v>40</v>
      </c>
      <c r="D178" s="7">
        <v>1</v>
      </c>
      <c r="E178" s="7">
        <v>3.6249999999999998E-2</v>
      </c>
      <c r="F178" s="7">
        <v>1.8124999999999999E-2</v>
      </c>
    </row>
    <row r="179" spans="1:6" x14ac:dyDescent="0.3">
      <c r="A179" t="s">
        <v>49</v>
      </c>
      <c r="B179" s="8">
        <v>45666</v>
      </c>
      <c r="C179" s="7" t="s">
        <v>40</v>
      </c>
      <c r="D179" s="7">
        <v>1</v>
      </c>
      <c r="E179" s="7">
        <v>4.1250000000000002E-2</v>
      </c>
      <c r="F179" s="7">
        <v>2.0625000000000001E-2</v>
      </c>
    </row>
    <row r="180" spans="1:6" x14ac:dyDescent="0.3">
      <c r="A180" t="s">
        <v>49</v>
      </c>
      <c r="B180" s="8">
        <v>45848</v>
      </c>
      <c r="C180" s="7" t="s">
        <v>40</v>
      </c>
      <c r="D180" s="7">
        <v>1</v>
      </c>
      <c r="E180" s="7">
        <v>4.1250000000000002E-2</v>
      </c>
      <c r="F180" s="7">
        <v>2.0625000000000001E-2</v>
      </c>
    </row>
    <row r="181" spans="1:6" x14ac:dyDescent="0.3">
      <c r="A181" t="s">
        <v>49</v>
      </c>
      <c r="B181" s="8">
        <v>46031</v>
      </c>
      <c r="C181" s="7" t="s">
        <v>40</v>
      </c>
      <c r="D181" s="7">
        <v>1</v>
      </c>
      <c r="E181" s="7">
        <v>4.1250000000000002E-2</v>
      </c>
      <c r="F181" s="7">
        <v>2.0625000000000001E-2</v>
      </c>
    </row>
    <row r="182" spans="1:6" x14ac:dyDescent="0.3">
      <c r="A182" t="s">
        <v>49</v>
      </c>
      <c r="B182" s="8">
        <v>46216</v>
      </c>
      <c r="C182" s="7" t="s">
        <v>40</v>
      </c>
      <c r="D182" s="7">
        <v>1</v>
      </c>
      <c r="E182" s="7">
        <v>4.1250000000000002E-2</v>
      </c>
      <c r="F182" s="7">
        <v>2.0625000000000001E-2</v>
      </c>
    </row>
    <row r="183" spans="1:6" x14ac:dyDescent="0.3">
      <c r="A183" t="s">
        <v>49</v>
      </c>
      <c r="B183" s="8">
        <v>46398</v>
      </c>
      <c r="C183" s="7" t="s">
        <v>40</v>
      </c>
      <c r="D183" s="7">
        <v>1</v>
      </c>
      <c r="E183" s="7">
        <v>4.1250000000000002E-2</v>
      </c>
      <c r="F183" s="7">
        <v>2.0625000000000001E-2</v>
      </c>
    </row>
    <row r="184" spans="1:6" x14ac:dyDescent="0.3">
      <c r="A184" t="s">
        <v>49</v>
      </c>
      <c r="B184" s="8">
        <v>46580</v>
      </c>
      <c r="C184" s="7" t="s">
        <v>40</v>
      </c>
      <c r="D184" s="7">
        <v>1</v>
      </c>
      <c r="E184" s="7">
        <v>4.1250000000000002E-2</v>
      </c>
      <c r="F184" s="7">
        <v>2.0625000000000001E-2</v>
      </c>
    </row>
    <row r="185" spans="1:6" x14ac:dyDescent="0.3">
      <c r="A185" t="s">
        <v>49</v>
      </c>
      <c r="B185" s="8">
        <v>46762</v>
      </c>
      <c r="C185" s="7" t="s">
        <v>40</v>
      </c>
      <c r="D185" s="7">
        <v>1</v>
      </c>
      <c r="E185" s="7">
        <v>4.7500000000000001E-2</v>
      </c>
      <c r="F185" s="7">
        <v>2.375E-2</v>
      </c>
    </row>
    <row r="186" spans="1:6" x14ac:dyDescent="0.3">
      <c r="A186" t="s">
        <v>49</v>
      </c>
      <c r="B186" s="8">
        <v>46944</v>
      </c>
      <c r="C186" s="7" t="s">
        <v>40</v>
      </c>
      <c r="D186" s="7">
        <v>1</v>
      </c>
      <c r="E186" s="7">
        <v>4.7500000000000001E-2</v>
      </c>
      <c r="F186" s="7">
        <v>2.375E-2</v>
      </c>
    </row>
    <row r="187" spans="1:6" x14ac:dyDescent="0.3">
      <c r="A187" t="s">
        <v>49</v>
      </c>
      <c r="B187" s="8">
        <v>47127</v>
      </c>
      <c r="C187" s="7" t="s">
        <v>40</v>
      </c>
      <c r="D187" s="7">
        <v>1</v>
      </c>
      <c r="E187" s="7">
        <v>0.05</v>
      </c>
      <c r="F187" s="7">
        <v>2.5000000000000001E-2</v>
      </c>
    </row>
    <row r="188" spans="1:6" x14ac:dyDescent="0.3">
      <c r="A188" t="s">
        <v>49</v>
      </c>
      <c r="B188" s="8">
        <v>47309</v>
      </c>
      <c r="C188" s="7" t="s">
        <v>40</v>
      </c>
      <c r="D188" s="7">
        <v>1</v>
      </c>
      <c r="E188" s="7">
        <v>0.05</v>
      </c>
      <c r="F188" s="7">
        <v>2.5000000000000001E-2</v>
      </c>
    </row>
    <row r="189" spans="1:6" x14ac:dyDescent="0.3">
      <c r="A189" t="s">
        <v>49</v>
      </c>
      <c r="B189" s="8">
        <v>47492</v>
      </c>
      <c r="C189" s="7" t="s">
        <v>40</v>
      </c>
      <c r="D189" s="7">
        <v>1</v>
      </c>
      <c r="E189" s="7">
        <v>0.05</v>
      </c>
      <c r="F189" s="7">
        <v>2.5000000000000001E-2</v>
      </c>
    </row>
    <row r="190" spans="1:6" x14ac:dyDescent="0.3">
      <c r="A190" t="s">
        <v>49</v>
      </c>
      <c r="B190" s="8">
        <v>47674</v>
      </c>
      <c r="C190" s="7" t="s">
        <v>40</v>
      </c>
      <c r="D190" s="7">
        <v>1</v>
      </c>
      <c r="E190" s="7">
        <v>0.05</v>
      </c>
      <c r="F190" s="7">
        <v>2.5000000000000001E-2</v>
      </c>
    </row>
    <row r="191" spans="1:6" x14ac:dyDescent="0.3">
      <c r="A191" t="s">
        <v>49</v>
      </c>
      <c r="B191" s="8">
        <v>47857</v>
      </c>
      <c r="C191" s="7">
        <v>0.1</v>
      </c>
      <c r="D191" s="7">
        <v>0.9</v>
      </c>
      <c r="E191" s="7">
        <v>0.05</v>
      </c>
      <c r="F191" s="7">
        <v>2.5000000000000001E-2</v>
      </c>
    </row>
    <row r="192" spans="1:6" x14ac:dyDescent="0.3">
      <c r="A192" t="s">
        <v>49</v>
      </c>
      <c r="B192" s="8">
        <v>48039</v>
      </c>
      <c r="C192" s="7">
        <v>0.1</v>
      </c>
      <c r="D192" s="7">
        <v>0.8</v>
      </c>
      <c r="E192" s="7">
        <v>0.05</v>
      </c>
      <c r="F192" s="7">
        <v>2.2500000000000003E-2</v>
      </c>
    </row>
    <row r="193" spans="1:6" x14ac:dyDescent="0.3">
      <c r="A193" t="s">
        <v>49</v>
      </c>
      <c r="B193" s="8">
        <v>48222</v>
      </c>
      <c r="C193" s="7">
        <v>0.1</v>
      </c>
      <c r="D193" s="7">
        <v>0.7</v>
      </c>
      <c r="E193" s="7">
        <v>0.05</v>
      </c>
      <c r="F193" s="7">
        <v>2.0000000000000004E-2</v>
      </c>
    </row>
    <row r="194" spans="1:6" x14ac:dyDescent="0.3">
      <c r="A194" t="s">
        <v>49</v>
      </c>
      <c r="B194" s="8">
        <v>48407</v>
      </c>
      <c r="C194" s="7">
        <v>0.1</v>
      </c>
      <c r="D194" s="7">
        <v>0.6</v>
      </c>
      <c r="E194" s="7">
        <v>0.05</v>
      </c>
      <c r="F194" s="7">
        <v>1.7499999999999998E-2</v>
      </c>
    </row>
    <row r="195" spans="1:6" x14ac:dyDescent="0.3">
      <c r="A195" t="s">
        <v>49</v>
      </c>
      <c r="B195" s="8">
        <v>48589</v>
      </c>
      <c r="C195" s="7">
        <v>0.1</v>
      </c>
      <c r="D195" s="7">
        <v>0.5</v>
      </c>
      <c r="E195" s="7">
        <v>0.05</v>
      </c>
      <c r="F195" s="7">
        <v>1.4999999999999999E-2</v>
      </c>
    </row>
    <row r="196" spans="1:6" x14ac:dyDescent="0.3">
      <c r="A196" t="s">
        <v>49</v>
      </c>
      <c r="B196" s="8">
        <v>48771</v>
      </c>
      <c r="C196" s="7">
        <v>0.1</v>
      </c>
      <c r="D196" s="7">
        <v>0.4</v>
      </c>
      <c r="E196" s="7">
        <v>0.05</v>
      </c>
      <c r="F196" s="7">
        <v>1.2500000000000001E-2</v>
      </c>
    </row>
    <row r="197" spans="1:6" x14ac:dyDescent="0.3">
      <c r="A197" t="s">
        <v>49</v>
      </c>
      <c r="B197" s="8">
        <v>48953</v>
      </c>
      <c r="C197" s="7">
        <v>0.1</v>
      </c>
      <c r="D197" s="7">
        <v>0.3</v>
      </c>
      <c r="E197" s="7">
        <v>0.05</v>
      </c>
      <c r="F197" s="7">
        <v>1.0000000000000002E-2</v>
      </c>
    </row>
    <row r="198" spans="1:6" x14ac:dyDescent="0.3">
      <c r="A198" t="s">
        <v>49</v>
      </c>
      <c r="B198" s="8">
        <v>49135</v>
      </c>
      <c r="C198" s="7">
        <v>0.1</v>
      </c>
      <c r="D198" s="7">
        <v>0.2</v>
      </c>
      <c r="E198" s="7">
        <v>0.05</v>
      </c>
      <c r="F198" s="7">
        <v>7.4999999999999997E-3</v>
      </c>
    </row>
    <row r="199" spans="1:6" x14ac:dyDescent="0.3">
      <c r="A199" t="s">
        <v>49</v>
      </c>
      <c r="B199" s="8">
        <v>49318</v>
      </c>
      <c r="C199" s="7">
        <v>0.1</v>
      </c>
      <c r="D199" s="7">
        <v>0.1</v>
      </c>
      <c r="E199" s="7">
        <v>0.05</v>
      </c>
      <c r="F199" s="7">
        <v>5.000000000000001E-3</v>
      </c>
    </row>
    <row r="200" spans="1:6" x14ac:dyDescent="0.3">
      <c r="A200" t="s">
        <v>49</v>
      </c>
      <c r="B200" s="8">
        <v>49500</v>
      </c>
      <c r="C200" s="7">
        <v>0.1</v>
      </c>
      <c r="D200" s="7" t="s">
        <v>40</v>
      </c>
      <c r="E200" s="7">
        <v>0.05</v>
      </c>
      <c r="F200" s="7">
        <v>2.5000000000000005E-3</v>
      </c>
    </row>
    <row r="201" spans="1:6" x14ac:dyDescent="0.3">
      <c r="A201" t="s">
        <v>50</v>
      </c>
      <c r="B201" s="8">
        <v>44389</v>
      </c>
      <c r="C201" s="7" t="s">
        <v>40</v>
      </c>
      <c r="D201" s="7">
        <v>1</v>
      </c>
      <c r="E201" s="7">
        <v>1.25E-3</v>
      </c>
      <c r="F201" s="7">
        <v>1.0590277777777779E-3</v>
      </c>
    </row>
    <row r="202" spans="1:6" x14ac:dyDescent="0.3">
      <c r="A202" t="s">
        <v>50</v>
      </c>
      <c r="B202" s="8">
        <v>44571</v>
      </c>
      <c r="C202" s="7" t="s">
        <v>40</v>
      </c>
      <c r="D202" s="7">
        <v>1</v>
      </c>
      <c r="E202" s="7">
        <v>1.125E-2</v>
      </c>
      <c r="F202" s="7">
        <v>5.6249999999999998E-3</v>
      </c>
    </row>
    <row r="203" spans="1:6" x14ac:dyDescent="0.3">
      <c r="A203" t="s">
        <v>50</v>
      </c>
      <c r="B203" s="8">
        <v>44753</v>
      </c>
      <c r="C203" s="7" t="s">
        <v>40</v>
      </c>
      <c r="D203" s="7">
        <v>1</v>
      </c>
      <c r="E203" s="7">
        <v>1.125E-2</v>
      </c>
      <c r="F203" s="7">
        <v>5.6249999999999998E-3</v>
      </c>
    </row>
    <row r="204" spans="1:6" x14ac:dyDescent="0.3">
      <c r="A204" t="s">
        <v>50</v>
      </c>
      <c r="B204" s="8">
        <v>44935</v>
      </c>
      <c r="C204" s="7" t="s">
        <v>40</v>
      </c>
      <c r="D204" s="7">
        <v>1</v>
      </c>
      <c r="E204" s="7">
        <v>1.4999999999999999E-2</v>
      </c>
      <c r="F204" s="7">
        <v>7.4999999999999997E-3</v>
      </c>
    </row>
    <row r="205" spans="1:6" x14ac:dyDescent="0.3">
      <c r="A205" t="s">
        <v>50</v>
      </c>
      <c r="B205" s="8">
        <v>45117</v>
      </c>
      <c r="C205" s="7" t="s">
        <v>40</v>
      </c>
      <c r="D205" s="7">
        <v>1</v>
      </c>
      <c r="E205" s="7">
        <v>1.4999999999999999E-2</v>
      </c>
      <c r="F205" s="7">
        <v>7.4999999999999997E-3</v>
      </c>
    </row>
    <row r="206" spans="1:6" x14ac:dyDescent="0.3">
      <c r="A206" t="s">
        <v>50</v>
      </c>
      <c r="B206" s="8">
        <v>45300</v>
      </c>
      <c r="C206" s="7" t="s">
        <v>40</v>
      </c>
      <c r="D206" s="7">
        <v>1</v>
      </c>
      <c r="E206" s="7">
        <v>3.6249999999999998E-2</v>
      </c>
      <c r="F206" s="7">
        <v>1.8124999999999999E-2</v>
      </c>
    </row>
    <row r="207" spans="1:6" x14ac:dyDescent="0.3">
      <c r="A207" t="s">
        <v>50</v>
      </c>
      <c r="B207" s="8">
        <v>45483</v>
      </c>
      <c r="C207" s="7" t="s">
        <v>40</v>
      </c>
      <c r="D207" s="7">
        <v>1</v>
      </c>
      <c r="E207" s="7">
        <v>3.6249999999999998E-2</v>
      </c>
      <c r="F207" s="7">
        <v>1.8124999999999999E-2</v>
      </c>
    </row>
    <row r="208" spans="1:6" x14ac:dyDescent="0.3">
      <c r="A208" t="s">
        <v>50</v>
      </c>
      <c r="B208" s="8">
        <v>45666</v>
      </c>
      <c r="C208" s="7" t="s">
        <v>40</v>
      </c>
      <c r="D208" s="7">
        <v>1</v>
      </c>
      <c r="E208" s="7">
        <v>4.1250000000000002E-2</v>
      </c>
      <c r="F208" s="7">
        <v>2.0625000000000001E-2</v>
      </c>
    </row>
    <row r="209" spans="1:6" x14ac:dyDescent="0.3">
      <c r="A209" t="s">
        <v>50</v>
      </c>
      <c r="B209" s="8">
        <v>45848</v>
      </c>
      <c r="C209" s="7" t="s">
        <v>40</v>
      </c>
      <c r="D209" s="7">
        <v>1</v>
      </c>
      <c r="E209" s="7">
        <v>4.1250000000000002E-2</v>
      </c>
      <c r="F209" s="7">
        <v>2.0625000000000001E-2</v>
      </c>
    </row>
    <row r="210" spans="1:6" x14ac:dyDescent="0.3">
      <c r="A210" t="s">
        <v>50</v>
      </c>
      <c r="B210" s="8">
        <v>46031</v>
      </c>
      <c r="C210" s="7" t="s">
        <v>40</v>
      </c>
      <c r="D210" s="7">
        <v>1</v>
      </c>
      <c r="E210" s="7">
        <v>4.1250000000000002E-2</v>
      </c>
      <c r="F210" s="7">
        <v>2.0625000000000001E-2</v>
      </c>
    </row>
    <row r="211" spans="1:6" x14ac:dyDescent="0.3">
      <c r="A211" t="s">
        <v>50</v>
      </c>
      <c r="B211" s="8">
        <v>46216</v>
      </c>
      <c r="C211" s="7" t="s">
        <v>40</v>
      </c>
      <c r="D211" s="7">
        <v>1</v>
      </c>
      <c r="E211" s="7">
        <v>4.1250000000000002E-2</v>
      </c>
      <c r="F211" s="7">
        <v>2.0625000000000001E-2</v>
      </c>
    </row>
    <row r="212" spans="1:6" x14ac:dyDescent="0.3">
      <c r="A212" t="s">
        <v>50</v>
      </c>
      <c r="B212" s="8">
        <v>46398</v>
      </c>
      <c r="C212" s="7" t="s">
        <v>40</v>
      </c>
      <c r="D212" s="7">
        <v>1</v>
      </c>
      <c r="E212" s="7">
        <v>4.1250000000000002E-2</v>
      </c>
      <c r="F212" s="7">
        <v>2.0625000000000001E-2</v>
      </c>
    </row>
    <row r="213" spans="1:6" x14ac:dyDescent="0.3">
      <c r="A213" t="s">
        <v>50</v>
      </c>
      <c r="B213" s="8">
        <v>46580</v>
      </c>
      <c r="C213" s="7" t="s">
        <v>40</v>
      </c>
      <c r="D213" s="7">
        <v>1</v>
      </c>
      <c r="E213" s="7">
        <v>4.1250000000000002E-2</v>
      </c>
      <c r="F213" s="7">
        <v>2.0625000000000001E-2</v>
      </c>
    </row>
    <row r="214" spans="1:6" x14ac:dyDescent="0.3">
      <c r="A214" t="s">
        <v>50</v>
      </c>
      <c r="B214" s="8">
        <v>46762</v>
      </c>
      <c r="C214" s="7" t="s">
        <v>40</v>
      </c>
      <c r="D214" s="7">
        <v>1</v>
      </c>
      <c r="E214" s="7">
        <v>4.7500000000000001E-2</v>
      </c>
      <c r="F214" s="7">
        <v>2.375E-2</v>
      </c>
    </row>
    <row r="215" spans="1:6" x14ac:dyDescent="0.3">
      <c r="A215" t="s">
        <v>50</v>
      </c>
      <c r="B215" s="8">
        <v>46944</v>
      </c>
      <c r="C215" s="7" t="s">
        <v>40</v>
      </c>
      <c r="D215" s="7">
        <v>1</v>
      </c>
      <c r="E215" s="7">
        <v>4.7500000000000001E-2</v>
      </c>
      <c r="F215" s="7">
        <v>2.375E-2</v>
      </c>
    </row>
    <row r="216" spans="1:6" x14ac:dyDescent="0.3">
      <c r="A216" t="s">
        <v>50</v>
      </c>
      <c r="B216" s="8">
        <v>47127</v>
      </c>
      <c r="C216" s="7" t="s">
        <v>40</v>
      </c>
      <c r="D216" s="7">
        <v>1</v>
      </c>
      <c r="E216" s="7">
        <v>0.05</v>
      </c>
      <c r="F216" s="7">
        <v>2.5000000000000001E-2</v>
      </c>
    </row>
    <row r="217" spans="1:6" x14ac:dyDescent="0.3">
      <c r="A217" t="s">
        <v>50</v>
      </c>
      <c r="B217" s="8">
        <v>47309</v>
      </c>
      <c r="C217" s="7" t="s">
        <v>40</v>
      </c>
      <c r="D217" s="7">
        <v>1</v>
      </c>
      <c r="E217" s="7">
        <v>0.05</v>
      </c>
      <c r="F217" s="7">
        <v>2.5000000000000001E-2</v>
      </c>
    </row>
    <row r="218" spans="1:6" x14ac:dyDescent="0.3">
      <c r="A218" t="s">
        <v>50</v>
      </c>
      <c r="B218" s="8">
        <v>47492</v>
      </c>
      <c r="C218" s="7" t="s">
        <v>40</v>
      </c>
      <c r="D218" s="7">
        <v>1</v>
      </c>
      <c r="E218" s="7">
        <v>0.05</v>
      </c>
      <c r="F218" s="7">
        <v>2.5000000000000001E-2</v>
      </c>
    </row>
    <row r="219" spans="1:6" x14ac:dyDescent="0.3">
      <c r="A219" t="s">
        <v>50</v>
      </c>
      <c r="B219" s="8">
        <v>47674</v>
      </c>
      <c r="C219" s="7" t="s">
        <v>40</v>
      </c>
      <c r="D219" s="7">
        <v>1</v>
      </c>
      <c r="E219" s="7">
        <v>0.05</v>
      </c>
      <c r="F219" s="7">
        <v>2.5000000000000001E-2</v>
      </c>
    </row>
    <row r="220" spans="1:6" x14ac:dyDescent="0.3">
      <c r="A220" t="s">
        <v>50</v>
      </c>
      <c r="B220" s="8">
        <v>47857</v>
      </c>
      <c r="C220" s="7">
        <v>0.1</v>
      </c>
      <c r="D220" s="7">
        <v>0.9</v>
      </c>
      <c r="E220" s="7">
        <v>0.05</v>
      </c>
      <c r="F220" s="7">
        <v>2.5000000000000001E-2</v>
      </c>
    </row>
    <row r="221" spans="1:6" x14ac:dyDescent="0.3">
      <c r="A221" t="s">
        <v>50</v>
      </c>
      <c r="B221" s="8">
        <v>48039</v>
      </c>
      <c r="C221" s="7">
        <v>0.1</v>
      </c>
      <c r="D221" s="7">
        <v>0.8</v>
      </c>
      <c r="E221" s="7">
        <v>0.05</v>
      </c>
      <c r="F221" s="7">
        <v>2.2500000000000003E-2</v>
      </c>
    </row>
    <row r="222" spans="1:6" x14ac:dyDescent="0.3">
      <c r="A222" t="s">
        <v>50</v>
      </c>
      <c r="B222" s="8">
        <v>48222</v>
      </c>
      <c r="C222" s="7">
        <v>0.1</v>
      </c>
      <c r="D222" s="7">
        <v>0.7</v>
      </c>
      <c r="E222" s="7">
        <v>0.05</v>
      </c>
      <c r="F222" s="7">
        <v>2.0000000000000004E-2</v>
      </c>
    </row>
    <row r="223" spans="1:6" x14ac:dyDescent="0.3">
      <c r="A223" t="s">
        <v>50</v>
      </c>
      <c r="B223" s="8">
        <v>48407</v>
      </c>
      <c r="C223" s="7">
        <v>0.1</v>
      </c>
      <c r="D223" s="7">
        <v>0.6</v>
      </c>
      <c r="E223" s="7">
        <v>0.05</v>
      </c>
      <c r="F223" s="7">
        <v>1.7499999999999998E-2</v>
      </c>
    </row>
    <row r="224" spans="1:6" x14ac:dyDescent="0.3">
      <c r="A224" t="s">
        <v>50</v>
      </c>
      <c r="B224" s="8">
        <v>48589</v>
      </c>
      <c r="C224" s="7">
        <v>0.1</v>
      </c>
      <c r="D224" s="7">
        <v>0.5</v>
      </c>
      <c r="E224" s="7">
        <v>0.05</v>
      </c>
      <c r="F224" s="7">
        <v>1.4999999999999999E-2</v>
      </c>
    </row>
    <row r="225" spans="1:6" x14ac:dyDescent="0.3">
      <c r="A225" t="s">
        <v>50</v>
      </c>
      <c r="B225" s="8">
        <v>48771</v>
      </c>
      <c r="C225" s="7">
        <v>0.1</v>
      </c>
      <c r="D225" s="7">
        <v>0.4</v>
      </c>
      <c r="E225" s="7">
        <v>0.05</v>
      </c>
      <c r="F225" s="7">
        <v>1.2500000000000001E-2</v>
      </c>
    </row>
    <row r="226" spans="1:6" x14ac:dyDescent="0.3">
      <c r="A226" t="s">
        <v>50</v>
      </c>
      <c r="B226" s="8">
        <v>48953</v>
      </c>
      <c r="C226" s="7">
        <v>0.1</v>
      </c>
      <c r="D226" s="7">
        <v>0.3</v>
      </c>
      <c r="E226" s="7">
        <v>0.05</v>
      </c>
      <c r="F226" s="7">
        <v>1.0000000000000002E-2</v>
      </c>
    </row>
    <row r="227" spans="1:6" x14ac:dyDescent="0.3">
      <c r="A227" t="s">
        <v>50</v>
      </c>
      <c r="B227" s="8">
        <v>49135</v>
      </c>
      <c r="C227" s="7">
        <v>0.1</v>
      </c>
      <c r="D227" s="7">
        <v>0.2</v>
      </c>
      <c r="E227" s="7">
        <v>0.05</v>
      </c>
      <c r="F227" s="7">
        <v>7.4999999999999997E-3</v>
      </c>
    </row>
    <row r="228" spans="1:6" x14ac:dyDescent="0.3">
      <c r="A228" t="s">
        <v>50</v>
      </c>
      <c r="B228" s="8">
        <v>49318</v>
      </c>
      <c r="C228" s="7">
        <v>0.1</v>
      </c>
      <c r="D228" s="7">
        <v>0.1</v>
      </c>
      <c r="E228" s="7">
        <v>0.05</v>
      </c>
      <c r="F228" s="7">
        <v>5.000000000000001E-3</v>
      </c>
    </row>
    <row r="229" spans="1:6" x14ac:dyDescent="0.3">
      <c r="A229" t="s">
        <v>50</v>
      </c>
      <c r="B229" s="8">
        <v>49500</v>
      </c>
      <c r="C229" s="7">
        <v>0.1</v>
      </c>
      <c r="D229" s="7" t="s">
        <v>40</v>
      </c>
      <c r="E229" s="7">
        <v>0.05</v>
      </c>
      <c r="F229" s="7">
        <v>2.5000000000000005E-3</v>
      </c>
    </row>
    <row r="230" spans="1:6" x14ac:dyDescent="0.3">
      <c r="A230" t="s">
        <v>51</v>
      </c>
      <c r="B230" s="8">
        <v>44389</v>
      </c>
      <c r="C230" s="7" t="s">
        <v>40</v>
      </c>
      <c r="D230" s="7">
        <v>1</v>
      </c>
      <c r="E230" s="7">
        <v>1.25E-3</v>
      </c>
      <c r="F230" s="7">
        <v>1.0590277777777779E-3</v>
      </c>
    </row>
    <row r="231" spans="1:6" x14ac:dyDescent="0.3">
      <c r="A231" t="s">
        <v>51</v>
      </c>
      <c r="B231" s="8">
        <v>44571</v>
      </c>
      <c r="C231" s="7" t="s">
        <v>40</v>
      </c>
      <c r="D231" s="7">
        <v>1</v>
      </c>
      <c r="E231" s="7">
        <v>0.02</v>
      </c>
      <c r="F231" s="7">
        <v>0.01</v>
      </c>
    </row>
    <row r="232" spans="1:6" x14ac:dyDescent="0.3">
      <c r="A232" t="s">
        <v>51</v>
      </c>
      <c r="B232" s="8">
        <v>44753</v>
      </c>
      <c r="C232" s="7" t="s">
        <v>40</v>
      </c>
      <c r="D232" s="7">
        <v>1</v>
      </c>
      <c r="E232" s="7">
        <v>0.02</v>
      </c>
      <c r="F232" s="7">
        <v>0.01</v>
      </c>
    </row>
    <row r="233" spans="1:6" x14ac:dyDescent="0.3">
      <c r="A233" t="s">
        <v>51</v>
      </c>
      <c r="B233" s="8">
        <v>44935</v>
      </c>
      <c r="C233" s="7" t="s">
        <v>40</v>
      </c>
      <c r="D233" s="7">
        <v>1</v>
      </c>
      <c r="E233" s="7">
        <v>3.875E-2</v>
      </c>
      <c r="F233" s="7">
        <v>1.9375E-2</v>
      </c>
    </row>
    <row r="234" spans="1:6" x14ac:dyDescent="0.3">
      <c r="A234" t="s">
        <v>51</v>
      </c>
      <c r="B234" s="8">
        <v>45117</v>
      </c>
      <c r="C234" s="7" t="s">
        <v>40</v>
      </c>
      <c r="D234" s="7">
        <v>1</v>
      </c>
      <c r="E234" s="7">
        <v>3.875E-2</v>
      </c>
      <c r="F234" s="7">
        <v>1.9375E-2</v>
      </c>
    </row>
    <row r="235" spans="1:6" x14ac:dyDescent="0.3">
      <c r="A235" t="s">
        <v>51</v>
      </c>
      <c r="B235" s="8">
        <v>45300</v>
      </c>
      <c r="C235" s="7" t="s">
        <v>40</v>
      </c>
      <c r="D235" s="7">
        <v>1</v>
      </c>
      <c r="E235" s="7">
        <v>4.2500000000000003E-2</v>
      </c>
      <c r="F235" s="7">
        <v>2.1250000000000002E-2</v>
      </c>
    </row>
    <row r="236" spans="1:6" x14ac:dyDescent="0.3">
      <c r="A236" t="s">
        <v>51</v>
      </c>
      <c r="B236" s="8">
        <v>45483</v>
      </c>
      <c r="C236" s="7" t="s">
        <v>40</v>
      </c>
      <c r="D236" s="7">
        <v>1</v>
      </c>
      <c r="E236" s="7">
        <v>4.2500000000000003E-2</v>
      </c>
      <c r="F236" s="7">
        <v>2.1250000000000002E-2</v>
      </c>
    </row>
    <row r="237" spans="1:6" x14ac:dyDescent="0.3">
      <c r="A237" t="s">
        <v>51</v>
      </c>
      <c r="B237" s="8">
        <v>45666</v>
      </c>
      <c r="C237" s="7" t="s">
        <v>40</v>
      </c>
      <c r="D237" s="7">
        <v>1</v>
      </c>
      <c r="E237" s="7">
        <v>0.05</v>
      </c>
      <c r="F237" s="7">
        <v>2.5000000000000001E-2</v>
      </c>
    </row>
    <row r="238" spans="1:6" x14ac:dyDescent="0.3">
      <c r="A238" t="s">
        <v>51</v>
      </c>
      <c r="B238" s="8">
        <v>45848</v>
      </c>
      <c r="C238" s="7" t="s">
        <v>40</v>
      </c>
      <c r="D238" s="7">
        <v>1</v>
      </c>
      <c r="E238" s="7">
        <v>0.05</v>
      </c>
      <c r="F238" s="7">
        <v>2.5000000000000001E-2</v>
      </c>
    </row>
    <row r="239" spans="1:6" x14ac:dyDescent="0.3">
      <c r="A239" t="s">
        <v>51</v>
      </c>
      <c r="B239" s="8">
        <v>46031</v>
      </c>
      <c r="C239" s="7" t="s">
        <v>40</v>
      </c>
      <c r="D239" s="7">
        <v>1</v>
      </c>
      <c r="E239" s="7">
        <v>0.05</v>
      </c>
      <c r="F239" s="7">
        <v>2.5000000000000001E-2</v>
      </c>
    </row>
    <row r="240" spans="1:6" x14ac:dyDescent="0.3">
      <c r="A240" t="s">
        <v>51</v>
      </c>
      <c r="B240" s="8">
        <v>46216</v>
      </c>
      <c r="C240" s="7" t="s">
        <v>40</v>
      </c>
      <c r="D240" s="7">
        <v>1</v>
      </c>
      <c r="E240" s="7">
        <v>0.05</v>
      </c>
      <c r="F240" s="7">
        <v>2.5000000000000001E-2</v>
      </c>
    </row>
    <row r="241" spans="1:6" x14ac:dyDescent="0.3">
      <c r="A241" t="s">
        <v>51</v>
      </c>
      <c r="B241" s="8">
        <v>46398</v>
      </c>
      <c r="C241" s="7" t="s">
        <v>40</v>
      </c>
      <c r="D241" s="7">
        <v>1</v>
      </c>
      <c r="E241" s="7">
        <v>0.05</v>
      </c>
      <c r="F241" s="7">
        <v>2.5000000000000001E-2</v>
      </c>
    </row>
    <row r="242" spans="1:6" x14ac:dyDescent="0.3">
      <c r="A242" t="s">
        <v>51</v>
      </c>
      <c r="B242" s="8">
        <v>46580</v>
      </c>
      <c r="C242" s="7">
        <v>4.5454550000000003E-2</v>
      </c>
      <c r="D242" s="7">
        <v>0.95454545000000002</v>
      </c>
      <c r="E242" s="7">
        <v>0.05</v>
      </c>
      <c r="F242" s="7">
        <v>2.5000000000000001E-2</v>
      </c>
    </row>
    <row r="243" spans="1:6" x14ac:dyDescent="0.3">
      <c r="A243" t="s">
        <v>51</v>
      </c>
      <c r="B243" s="8">
        <v>46762</v>
      </c>
      <c r="C243" s="7">
        <v>4.5454550000000003E-2</v>
      </c>
      <c r="D243" s="7">
        <v>0.90909090000000004</v>
      </c>
      <c r="E243" s="7">
        <v>0.05</v>
      </c>
      <c r="F243" s="7">
        <v>2.386363625E-2</v>
      </c>
    </row>
    <row r="244" spans="1:6" x14ac:dyDescent="0.3">
      <c r="A244" t="s">
        <v>51</v>
      </c>
      <c r="B244" s="8">
        <v>46944</v>
      </c>
      <c r="C244" s="7">
        <v>4.5454550000000003E-2</v>
      </c>
      <c r="D244" s="7">
        <v>0.86363635000000005</v>
      </c>
      <c r="E244" s="7">
        <v>0.05</v>
      </c>
      <c r="F244" s="7">
        <v>2.2727272500000003E-2</v>
      </c>
    </row>
    <row r="245" spans="1:6" x14ac:dyDescent="0.3">
      <c r="A245" t="s">
        <v>51</v>
      </c>
      <c r="B245" s="8">
        <v>47127</v>
      </c>
      <c r="C245" s="7">
        <v>4.5454550000000003E-2</v>
      </c>
      <c r="D245" s="7">
        <v>0.81818179999999996</v>
      </c>
      <c r="E245" s="7">
        <v>0.05</v>
      </c>
      <c r="F245" s="7">
        <v>2.1590908750000002E-2</v>
      </c>
    </row>
    <row r="246" spans="1:6" x14ac:dyDescent="0.3">
      <c r="A246" t="s">
        <v>51</v>
      </c>
      <c r="B246" s="8">
        <v>47309</v>
      </c>
      <c r="C246" s="7">
        <v>4.5454550000000003E-2</v>
      </c>
      <c r="D246" s="7">
        <v>0.77272724999999998</v>
      </c>
      <c r="E246" s="7">
        <v>0.05</v>
      </c>
      <c r="F246" s="7">
        <v>2.0454545000000001E-2</v>
      </c>
    </row>
    <row r="247" spans="1:6" x14ac:dyDescent="0.3">
      <c r="A247" t="s">
        <v>51</v>
      </c>
      <c r="B247" s="8">
        <v>47492</v>
      </c>
      <c r="C247" s="7">
        <v>4.5454550000000003E-2</v>
      </c>
      <c r="D247" s="7">
        <v>0.72727269999999999</v>
      </c>
      <c r="E247" s="7">
        <v>0.05</v>
      </c>
      <c r="F247" s="7">
        <v>1.931818125E-2</v>
      </c>
    </row>
    <row r="248" spans="1:6" x14ac:dyDescent="0.3">
      <c r="A248" t="s">
        <v>51</v>
      </c>
      <c r="B248" s="8">
        <v>47674</v>
      </c>
      <c r="C248" s="7">
        <v>4.5454550000000003E-2</v>
      </c>
      <c r="D248" s="7">
        <v>0.68181815000000001</v>
      </c>
      <c r="E248" s="7">
        <v>0.05</v>
      </c>
      <c r="F248" s="7">
        <v>1.8181817499999999E-2</v>
      </c>
    </row>
    <row r="249" spans="1:6" x14ac:dyDescent="0.3">
      <c r="A249" t="s">
        <v>51</v>
      </c>
      <c r="B249" s="8">
        <v>47857</v>
      </c>
      <c r="C249" s="7">
        <v>4.5454550000000003E-2</v>
      </c>
      <c r="D249" s="7">
        <v>0.63636360000000003</v>
      </c>
      <c r="E249" s="7">
        <v>0.05</v>
      </c>
      <c r="F249" s="7">
        <v>1.7045453750000002E-2</v>
      </c>
    </row>
    <row r="250" spans="1:6" x14ac:dyDescent="0.3">
      <c r="A250" t="s">
        <v>51</v>
      </c>
      <c r="B250" s="8">
        <v>48039</v>
      </c>
      <c r="C250" s="7">
        <v>4.5454550000000003E-2</v>
      </c>
      <c r="D250" s="7">
        <v>0.59090905000000005</v>
      </c>
      <c r="E250" s="7">
        <v>0.05</v>
      </c>
      <c r="F250" s="7">
        <v>1.5909090000000001E-2</v>
      </c>
    </row>
    <row r="251" spans="1:6" x14ac:dyDescent="0.3">
      <c r="A251" t="s">
        <v>51</v>
      </c>
      <c r="B251" s="8">
        <v>48222</v>
      </c>
      <c r="C251" s="7">
        <v>4.5454550000000003E-2</v>
      </c>
      <c r="D251" s="7">
        <v>0.54545449999999995</v>
      </c>
      <c r="E251" s="7">
        <v>0.05</v>
      </c>
      <c r="F251" s="7">
        <v>1.4772726250000002E-2</v>
      </c>
    </row>
    <row r="252" spans="1:6" x14ac:dyDescent="0.3">
      <c r="A252" t="s">
        <v>51</v>
      </c>
      <c r="B252" s="8">
        <v>48407</v>
      </c>
      <c r="C252" s="7">
        <v>4.5454550000000003E-2</v>
      </c>
      <c r="D252" s="7">
        <v>0.49999995000000003</v>
      </c>
      <c r="E252" s="7">
        <v>0.05</v>
      </c>
      <c r="F252" s="7">
        <v>1.3636362499999999E-2</v>
      </c>
    </row>
    <row r="253" spans="1:6" x14ac:dyDescent="0.3">
      <c r="A253" t="s">
        <v>51</v>
      </c>
      <c r="B253" s="8">
        <v>48589</v>
      </c>
      <c r="C253" s="7">
        <v>4.5454550000000003E-2</v>
      </c>
      <c r="D253" s="7">
        <v>0.45454539999999999</v>
      </c>
      <c r="E253" s="7">
        <v>0.05</v>
      </c>
      <c r="F253" s="7">
        <v>1.2499998750000001E-2</v>
      </c>
    </row>
    <row r="254" spans="1:6" x14ac:dyDescent="0.3">
      <c r="A254" t="s">
        <v>51</v>
      </c>
      <c r="B254" s="8">
        <v>48771</v>
      </c>
      <c r="C254" s="7">
        <v>4.5454550000000003E-2</v>
      </c>
      <c r="D254" s="7">
        <v>0.40909085000000001</v>
      </c>
      <c r="E254" s="7">
        <v>0.05</v>
      </c>
      <c r="F254" s="7">
        <v>1.1363635E-2</v>
      </c>
    </row>
    <row r="255" spans="1:6" x14ac:dyDescent="0.3">
      <c r="A255" t="s">
        <v>51</v>
      </c>
      <c r="B255" s="8">
        <v>48953</v>
      </c>
      <c r="C255" s="7">
        <v>4.5454550000000003E-2</v>
      </c>
      <c r="D255" s="7">
        <v>0.36363630000000002</v>
      </c>
      <c r="E255" s="7">
        <v>0.05</v>
      </c>
      <c r="F255" s="7">
        <v>1.0227271250000001E-2</v>
      </c>
    </row>
    <row r="256" spans="1:6" x14ac:dyDescent="0.3">
      <c r="A256" t="s">
        <v>51</v>
      </c>
      <c r="B256" s="8">
        <v>49135</v>
      </c>
      <c r="C256" s="7">
        <v>4.5454550000000003E-2</v>
      </c>
      <c r="D256" s="7">
        <v>0.31818174999999999</v>
      </c>
      <c r="E256" s="7">
        <v>0.05</v>
      </c>
      <c r="F256" s="7">
        <v>9.0909075000000002E-3</v>
      </c>
    </row>
    <row r="257" spans="1:6" x14ac:dyDescent="0.3">
      <c r="A257" t="s">
        <v>51</v>
      </c>
      <c r="B257" s="8">
        <v>49318</v>
      </c>
      <c r="C257" s="7">
        <v>4.5454550000000003E-2</v>
      </c>
      <c r="D257" s="7">
        <v>0.2727272</v>
      </c>
      <c r="E257" s="7">
        <v>0.05</v>
      </c>
      <c r="F257" s="7">
        <v>7.9545437499999993E-3</v>
      </c>
    </row>
    <row r="258" spans="1:6" x14ac:dyDescent="0.3">
      <c r="A258" t="s">
        <v>51</v>
      </c>
      <c r="B258" s="8">
        <v>49500</v>
      </c>
      <c r="C258" s="7">
        <v>4.5454550000000003E-2</v>
      </c>
      <c r="D258" s="7">
        <v>0.22727264999999999</v>
      </c>
      <c r="E258" s="7">
        <v>0.05</v>
      </c>
      <c r="F258" s="7">
        <v>6.8181800000000001E-3</v>
      </c>
    </row>
    <row r="259" spans="1:6" x14ac:dyDescent="0.3">
      <c r="A259" t="s">
        <v>51</v>
      </c>
      <c r="B259" s="8">
        <v>49683</v>
      </c>
      <c r="C259" s="7">
        <v>4.5454550000000003E-2</v>
      </c>
      <c r="D259" s="7">
        <v>0.18181810000000001</v>
      </c>
      <c r="E259" s="7">
        <v>0.05</v>
      </c>
      <c r="F259" s="7">
        <v>5.68181625E-3</v>
      </c>
    </row>
    <row r="260" spans="1:6" x14ac:dyDescent="0.3">
      <c r="A260" t="s">
        <v>51</v>
      </c>
      <c r="B260" s="8">
        <v>49866</v>
      </c>
      <c r="C260" s="7">
        <v>4.5454550000000003E-2</v>
      </c>
      <c r="D260" s="7">
        <v>0.13636355</v>
      </c>
      <c r="E260" s="7">
        <v>0.05</v>
      </c>
      <c r="F260" s="7">
        <v>4.5454525000000008E-3</v>
      </c>
    </row>
    <row r="261" spans="1:6" x14ac:dyDescent="0.3">
      <c r="A261" t="s">
        <v>51</v>
      </c>
      <c r="B261" s="8">
        <v>50049</v>
      </c>
      <c r="C261" s="7">
        <v>4.5454550000000003E-2</v>
      </c>
      <c r="D261" s="7">
        <v>9.0909000000000004E-2</v>
      </c>
      <c r="E261" s="7">
        <v>0.05</v>
      </c>
      <c r="F261" s="7">
        <v>3.4090887500000003E-3</v>
      </c>
    </row>
    <row r="262" spans="1:6" x14ac:dyDescent="0.3">
      <c r="A262" t="s">
        <v>51</v>
      </c>
      <c r="B262" s="8">
        <v>50231</v>
      </c>
      <c r="C262" s="7">
        <v>4.5454550000000003E-2</v>
      </c>
      <c r="D262" s="7">
        <v>4.545445E-2</v>
      </c>
      <c r="E262" s="7">
        <v>0.05</v>
      </c>
      <c r="F262" s="7">
        <v>2.2727250000000002E-3</v>
      </c>
    </row>
    <row r="263" spans="1:6" x14ac:dyDescent="0.3">
      <c r="A263" t="s">
        <v>51</v>
      </c>
      <c r="B263" s="8">
        <v>50416</v>
      </c>
      <c r="C263" s="7">
        <v>4.545445E-2</v>
      </c>
      <c r="D263" s="7" t="s">
        <v>40</v>
      </c>
      <c r="E263" s="7">
        <v>0.05</v>
      </c>
      <c r="F263" s="7">
        <v>1.1363612500000001E-3</v>
      </c>
    </row>
    <row r="264" spans="1:6" x14ac:dyDescent="0.3">
      <c r="A264" t="s">
        <v>52</v>
      </c>
      <c r="B264" s="8">
        <v>44389</v>
      </c>
      <c r="C264" s="7" t="s">
        <v>40</v>
      </c>
      <c r="D264" s="7">
        <v>1</v>
      </c>
      <c r="E264" s="7">
        <v>1.25E-3</v>
      </c>
      <c r="F264" s="7">
        <v>1.0590277777777779E-3</v>
      </c>
    </row>
    <row r="265" spans="1:6" x14ac:dyDescent="0.3">
      <c r="A265" t="s">
        <v>52</v>
      </c>
      <c r="B265" s="8">
        <v>44571</v>
      </c>
      <c r="C265" s="7" t="s">
        <v>40</v>
      </c>
      <c r="D265" s="7">
        <v>1</v>
      </c>
      <c r="E265" s="7">
        <v>0.02</v>
      </c>
      <c r="F265" s="7">
        <v>0.01</v>
      </c>
    </row>
    <row r="266" spans="1:6" x14ac:dyDescent="0.3">
      <c r="A266" t="s">
        <v>52</v>
      </c>
      <c r="B266" s="8">
        <v>44753</v>
      </c>
      <c r="C266" s="7" t="s">
        <v>40</v>
      </c>
      <c r="D266" s="7">
        <v>1</v>
      </c>
      <c r="E266" s="7">
        <v>0.02</v>
      </c>
      <c r="F266" s="7">
        <v>0.01</v>
      </c>
    </row>
    <row r="267" spans="1:6" x14ac:dyDescent="0.3">
      <c r="A267" t="s">
        <v>52</v>
      </c>
      <c r="B267" s="8">
        <v>44935</v>
      </c>
      <c r="C267" s="7" t="s">
        <v>40</v>
      </c>
      <c r="D267" s="7">
        <v>1</v>
      </c>
      <c r="E267" s="7">
        <v>3.875E-2</v>
      </c>
      <c r="F267" s="7">
        <v>1.9375E-2</v>
      </c>
    </row>
    <row r="268" spans="1:6" x14ac:dyDescent="0.3">
      <c r="A268" t="s">
        <v>52</v>
      </c>
      <c r="B268" s="8">
        <v>45117</v>
      </c>
      <c r="C268" s="7" t="s">
        <v>40</v>
      </c>
      <c r="D268" s="7">
        <v>1</v>
      </c>
      <c r="E268" s="7">
        <v>3.875E-2</v>
      </c>
      <c r="F268" s="7">
        <v>1.9375E-2</v>
      </c>
    </row>
    <row r="269" spans="1:6" x14ac:dyDescent="0.3">
      <c r="A269" t="s">
        <v>52</v>
      </c>
      <c r="B269" s="8">
        <v>45300</v>
      </c>
      <c r="C269" s="7" t="s">
        <v>40</v>
      </c>
      <c r="D269" s="7">
        <v>1</v>
      </c>
      <c r="E269" s="7">
        <v>4.2500000000000003E-2</v>
      </c>
      <c r="F269" s="7">
        <v>2.1250000000000002E-2</v>
      </c>
    </row>
    <row r="270" spans="1:6" x14ac:dyDescent="0.3">
      <c r="A270" t="s">
        <v>52</v>
      </c>
      <c r="B270" s="8">
        <v>45483</v>
      </c>
      <c r="C270" s="7" t="s">
        <v>40</v>
      </c>
      <c r="D270" s="7">
        <v>1</v>
      </c>
      <c r="E270" s="7">
        <v>4.2500000000000003E-2</v>
      </c>
      <c r="F270" s="7">
        <v>2.1250000000000002E-2</v>
      </c>
    </row>
    <row r="271" spans="1:6" x14ac:dyDescent="0.3">
      <c r="A271" t="s">
        <v>52</v>
      </c>
      <c r="B271" s="8">
        <v>45666</v>
      </c>
      <c r="C271" s="7" t="s">
        <v>40</v>
      </c>
      <c r="D271" s="7">
        <v>1</v>
      </c>
      <c r="E271" s="7">
        <v>0.05</v>
      </c>
      <c r="F271" s="7">
        <v>2.5000000000000001E-2</v>
      </c>
    </row>
    <row r="272" spans="1:6" x14ac:dyDescent="0.3">
      <c r="A272" t="s">
        <v>52</v>
      </c>
      <c r="B272" s="8">
        <v>45848</v>
      </c>
      <c r="C272" s="7" t="s">
        <v>40</v>
      </c>
      <c r="D272" s="7">
        <v>1</v>
      </c>
      <c r="E272" s="7">
        <v>0.05</v>
      </c>
      <c r="F272" s="7">
        <v>2.5000000000000001E-2</v>
      </c>
    </row>
    <row r="273" spans="1:6" x14ac:dyDescent="0.3">
      <c r="A273" t="s">
        <v>52</v>
      </c>
      <c r="B273" s="8">
        <v>46031</v>
      </c>
      <c r="C273" s="7" t="s">
        <v>40</v>
      </c>
      <c r="D273" s="7">
        <v>1</v>
      </c>
      <c r="E273" s="7">
        <v>0.05</v>
      </c>
      <c r="F273" s="7">
        <v>2.5000000000000001E-2</v>
      </c>
    </row>
    <row r="274" spans="1:6" x14ac:dyDescent="0.3">
      <c r="A274" t="s">
        <v>52</v>
      </c>
      <c r="B274" s="8">
        <v>46216</v>
      </c>
      <c r="C274" s="7" t="s">
        <v>40</v>
      </c>
      <c r="D274" s="7">
        <v>1</v>
      </c>
      <c r="E274" s="7">
        <v>0.05</v>
      </c>
      <c r="F274" s="7">
        <v>2.5000000000000001E-2</v>
      </c>
    </row>
    <row r="275" spans="1:6" x14ac:dyDescent="0.3">
      <c r="A275" t="s">
        <v>52</v>
      </c>
      <c r="B275" s="8">
        <v>46398</v>
      </c>
      <c r="C275" s="7" t="s">
        <v>40</v>
      </c>
      <c r="D275" s="7">
        <v>1</v>
      </c>
      <c r="E275" s="7">
        <v>0.05</v>
      </c>
      <c r="F275" s="7">
        <v>2.5000000000000001E-2</v>
      </c>
    </row>
    <row r="276" spans="1:6" x14ac:dyDescent="0.3">
      <c r="A276" t="s">
        <v>52</v>
      </c>
      <c r="B276" s="8">
        <v>46580</v>
      </c>
      <c r="C276" s="7">
        <v>4.5454550000000003E-2</v>
      </c>
      <c r="D276" s="7">
        <v>0.95454545000000002</v>
      </c>
      <c r="E276" s="7">
        <v>0.05</v>
      </c>
      <c r="F276" s="7">
        <v>2.5000000000000001E-2</v>
      </c>
    </row>
    <row r="277" spans="1:6" x14ac:dyDescent="0.3">
      <c r="A277" t="s">
        <v>52</v>
      </c>
      <c r="B277" s="8">
        <v>46762</v>
      </c>
      <c r="C277" s="7">
        <v>4.5454550000000003E-2</v>
      </c>
      <c r="D277" s="7">
        <v>0.90909090000000004</v>
      </c>
      <c r="E277" s="7">
        <v>0.05</v>
      </c>
      <c r="F277" s="7">
        <v>2.386363625E-2</v>
      </c>
    </row>
    <row r="278" spans="1:6" x14ac:dyDescent="0.3">
      <c r="A278" t="s">
        <v>52</v>
      </c>
      <c r="B278" s="8">
        <v>46944</v>
      </c>
      <c r="C278" s="7">
        <v>4.5454550000000003E-2</v>
      </c>
      <c r="D278" s="7">
        <v>0.86363635000000005</v>
      </c>
      <c r="E278" s="7">
        <v>0.05</v>
      </c>
      <c r="F278" s="7">
        <v>2.2727272500000003E-2</v>
      </c>
    </row>
    <row r="279" spans="1:6" x14ac:dyDescent="0.3">
      <c r="A279" t="s">
        <v>52</v>
      </c>
      <c r="B279" s="8">
        <v>47127</v>
      </c>
      <c r="C279" s="7">
        <v>4.5454550000000003E-2</v>
      </c>
      <c r="D279" s="7">
        <v>0.81818179999999996</v>
      </c>
      <c r="E279" s="7">
        <v>0.05</v>
      </c>
      <c r="F279" s="7">
        <v>2.1590908750000002E-2</v>
      </c>
    </row>
    <row r="280" spans="1:6" x14ac:dyDescent="0.3">
      <c r="A280" t="s">
        <v>52</v>
      </c>
      <c r="B280" s="8">
        <v>47309</v>
      </c>
      <c r="C280" s="7">
        <v>4.5454550000000003E-2</v>
      </c>
      <c r="D280" s="7">
        <v>0.77272724999999998</v>
      </c>
      <c r="E280" s="7">
        <v>0.05</v>
      </c>
      <c r="F280" s="7">
        <v>2.0454545000000001E-2</v>
      </c>
    </row>
    <row r="281" spans="1:6" x14ac:dyDescent="0.3">
      <c r="A281" t="s">
        <v>52</v>
      </c>
      <c r="B281" s="8">
        <v>47492</v>
      </c>
      <c r="C281" s="7">
        <v>4.5454550000000003E-2</v>
      </c>
      <c r="D281" s="7">
        <v>0.72727269999999999</v>
      </c>
      <c r="E281" s="7">
        <v>0.05</v>
      </c>
      <c r="F281" s="7">
        <v>1.931818125E-2</v>
      </c>
    </row>
    <row r="282" spans="1:6" x14ac:dyDescent="0.3">
      <c r="A282" t="s">
        <v>52</v>
      </c>
      <c r="B282" s="8">
        <v>47674</v>
      </c>
      <c r="C282" s="7">
        <v>4.5454550000000003E-2</v>
      </c>
      <c r="D282" s="7">
        <v>0.68181815000000001</v>
      </c>
      <c r="E282" s="7">
        <v>0.05</v>
      </c>
      <c r="F282" s="7">
        <v>1.8181817499999999E-2</v>
      </c>
    </row>
    <row r="283" spans="1:6" x14ac:dyDescent="0.3">
      <c r="A283" t="s">
        <v>52</v>
      </c>
      <c r="B283" s="8">
        <v>47857</v>
      </c>
      <c r="C283" s="7">
        <v>4.5454550000000003E-2</v>
      </c>
      <c r="D283" s="7">
        <v>0.63636360000000003</v>
      </c>
      <c r="E283" s="7">
        <v>0.05</v>
      </c>
      <c r="F283" s="7">
        <v>1.7045453750000002E-2</v>
      </c>
    </row>
    <row r="284" spans="1:6" x14ac:dyDescent="0.3">
      <c r="A284" t="s">
        <v>52</v>
      </c>
      <c r="B284" s="8">
        <v>48039</v>
      </c>
      <c r="C284" s="7">
        <v>4.5454550000000003E-2</v>
      </c>
      <c r="D284" s="7">
        <v>0.59090905000000005</v>
      </c>
      <c r="E284" s="7">
        <v>0.05</v>
      </c>
      <c r="F284" s="7">
        <v>1.5909090000000001E-2</v>
      </c>
    </row>
    <row r="285" spans="1:6" x14ac:dyDescent="0.3">
      <c r="A285" t="s">
        <v>52</v>
      </c>
      <c r="B285" s="8">
        <v>48222</v>
      </c>
      <c r="C285" s="7">
        <v>4.5454550000000003E-2</v>
      </c>
      <c r="D285" s="7">
        <v>0.54545449999999995</v>
      </c>
      <c r="E285" s="7">
        <v>0.05</v>
      </c>
      <c r="F285" s="7">
        <v>1.4772726250000002E-2</v>
      </c>
    </row>
    <row r="286" spans="1:6" x14ac:dyDescent="0.3">
      <c r="A286" t="s">
        <v>52</v>
      </c>
      <c r="B286" s="8">
        <v>48407</v>
      </c>
      <c r="C286" s="7">
        <v>4.5454550000000003E-2</v>
      </c>
      <c r="D286" s="7">
        <v>0.49999995000000003</v>
      </c>
      <c r="E286" s="7">
        <v>0.05</v>
      </c>
      <c r="F286" s="7">
        <v>1.3636362499999999E-2</v>
      </c>
    </row>
    <row r="287" spans="1:6" x14ac:dyDescent="0.3">
      <c r="A287" t="s">
        <v>52</v>
      </c>
      <c r="B287" s="8">
        <v>48589</v>
      </c>
      <c r="C287" s="7">
        <v>4.5454550000000003E-2</v>
      </c>
      <c r="D287" s="7">
        <v>0.45454539999999999</v>
      </c>
      <c r="E287" s="7">
        <v>0.05</v>
      </c>
      <c r="F287" s="7">
        <v>1.2499998750000001E-2</v>
      </c>
    </row>
    <row r="288" spans="1:6" x14ac:dyDescent="0.3">
      <c r="A288" t="s">
        <v>52</v>
      </c>
      <c r="B288" s="8">
        <v>48771</v>
      </c>
      <c r="C288" s="7">
        <v>4.5454550000000003E-2</v>
      </c>
      <c r="D288" s="7">
        <v>0.40909085000000001</v>
      </c>
      <c r="E288" s="7">
        <v>0.05</v>
      </c>
      <c r="F288" s="7">
        <v>1.1363635E-2</v>
      </c>
    </row>
    <row r="289" spans="1:6" x14ac:dyDescent="0.3">
      <c r="A289" t="s">
        <v>52</v>
      </c>
      <c r="B289" s="8">
        <v>48953</v>
      </c>
      <c r="C289" s="7">
        <v>4.5454550000000003E-2</v>
      </c>
      <c r="D289" s="7">
        <v>0.36363630000000002</v>
      </c>
      <c r="E289" s="7">
        <v>0.05</v>
      </c>
      <c r="F289" s="7">
        <v>1.0227271250000001E-2</v>
      </c>
    </row>
    <row r="290" spans="1:6" x14ac:dyDescent="0.3">
      <c r="A290" t="s">
        <v>52</v>
      </c>
      <c r="B290" s="8">
        <v>49135</v>
      </c>
      <c r="C290" s="7">
        <v>4.5454550000000003E-2</v>
      </c>
      <c r="D290" s="7">
        <v>0.31818174999999999</v>
      </c>
      <c r="E290" s="7">
        <v>0.05</v>
      </c>
      <c r="F290" s="7">
        <v>9.0909075000000002E-3</v>
      </c>
    </row>
    <row r="291" spans="1:6" x14ac:dyDescent="0.3">
      <c r="A291" t="s">
        <v>52</v>
      </c>
      <c r="B291" s="8">
        <v>49318</v>
      </c>
      <c r="C291" s="7">
        <v>4.5454550000000003E-2</v>
      </c>
      <c r="D291" s="7">
        <v>0.2727272</v>
      </c>
      <c r="E291" s="7">
        <v>0.05</v>
      </c>
      <c r="F291" s="7">
        <v>7.9545437499999993E-3</v>
      </c>
    </row>
    <row r="292" spans="1:6" x14ac:dyDescent="0.3">
      <c r="A292" t="s">
        <v>52</v>
      </c>
      <c r="B292" s="8">
        <v>49500</v>
      </c>
      <c r="C292" s="7">
        <v>4.5454550000000003E-2</v>
      </c>
      <c r="D292" s="7">
        <v>0.22727264999999999</v>
      </c>
      <c r="E292" s="7">
        <v>0.05</v>
      </c>
      <c r="F292" s="7">
        <v>6.8181800000000001E-3</v>
      </c>
    </row>
    <row r="293" spans="1:6" x14ac:dyDescent="0.3">
      <c r="A293" t="s">
        <v>52</v>
      </c>
      <c r="B293" s="8">
        <v>49683</v>
      </c>
      <c r="C293" s="7">
        <v>4.5454550000000003E-2</v>
      </c>
      <c r="D293" s="7">
        <v>0.18181810000000001</v>
      </c>
      <c r="E293" s="7">
        <v>0.05</v>
      </c>
      <c r="F293" s="7">
        <v>5.68181625E-3</v>
      </c>
    </row>
    <row r="294" spans="1:6" x14ac:dyDescent="0.3">
      <c r="A294" t="s">
        <v>52</v>
      </c>
      <c r="B294" s="8">
        <v>49866</v>
      </c>
      <c r="C294" s="7">
        <v>4.5454550000000003E-2</v>
      </c>
      <c r="D294" s="7">
        <v>0.13636355</v>
      </c>
      <c r="E294" s="7">
        <v>0.05</v>
      </c>
      <c r="F294" s="7">
        <v>4.5454525000000008E-3</v>
      </c>
    </row>
    <row r="295" spans="1:6" x14ac:dyDescent="0.3">
      <c r="A295" t="s">
        <v>52</v>
      </c>
      <c r="B295" s="8">
        <v>50049</v>
      </c>
      <c r="C295" s="7">
        <v>4.5454550000000003E-2</v>
      </c>
      <c r="D295" s="7">
        <v>9.0909000000000004E-2</v>
      </c>
      <c r="E295" s="7">
        <v>0.05</v>
      </c>
      <c r="F295" s="7">
        <v>3.4090887500000003E-3</v>
      </c>
    </row>
    <row r="296" spans="1:6" x14ac:dyDescent="0.3">
      <c r="A296" t="s">
        <v>52</v>
      </c>
      <c r="B296" s="8">
        <v>50231</v>
      </c>
      <c r="C296" s="7">
        <v>4.5454550000000003E-2</v>
      </c>
      <c r="D296" s="7">
        <v>4.545445E-2</v>
      </c>
      <c r="E296" s="7">
        <v>0.05</v>
      </c>
      <c r="F296" s="7">
        <v>2.2727250000000002E-3</v>
      </c>
    </row>
    <row r="297" spans="1:6" x14ac:dyDescent="0.3">
      <c r="A297" t="s">
        <v>52</v>
      </c>
      <c r="B297" s="8">
        <v>50416</v>
      </c>
      <c r="C297" s="7">
        <v>4.545445E-2</v>
      </c>
      <c r="D297" s="7" t="s">
        <v>40</v>
      </c>
      <c r="E297" s="7">
        <v>0.05</v>
      </c>
      <c r="F297" s="7">
        <v>1.1363612500000001E-3</v>
      </c>
    </row>
    <row r="298" spans="1:6" x14ac:dyDescent="0.3">
      <c r="A298" t="s">
        <v>53</v>
      </c>
      <c r="B298" s="8">
        <v>44389</v>
      </c>
      <c r="C298" s="7" t="s">
        <v>40</v>
      </c>
      <c r="D298" s="7">
        <v>1</v>
      </c>
      <c r="E298" s="7">
        <v>1.25E-3</v>
      </c>
      <c r="F298" s="7">
        <v>1.0590277777777779E-3</v>
      </c>
    </row>
    <row r="299" spans="1:6" x14ac:dyDescent="0.3">
      <c r="A299" t="s">
        <v>53</v>
      </c>
      <c r="B299" s="8">
        <v>44571</v>
      </c>
      <c r="C299" s="7" t="s">
        <v>40</v>
      </c>
      <c r="D299" s="7">
        <v>1</v>
      </c>
      <c r="E299" s="7">
        <v>2.5000000000000001E-2</v>
      </c>
      <c r="F299" s="7">
        <v>1.2500000000000001E-2</v>
      </c>
    </row>
    <row r="300" spans="1:6" x14ac:dyDescent="0.3">
      <c r="A300" t="s">
        <v>53</v>
      </c>
      <c r="B300" s="8">
        <v>44753</v>
      </c>
      <c r="C300" s="7" t="s">
        <v>40</v>
      </c>
      <c r="D300" s="7">
        <v>1</v>
      </c>
      <c r="E300" s="7">
        <v>2.5000000000000001E-2</v>
      </c>
      <c r="F300" s="7">
        <v>1.2500000000000001E-2</v>
      </c>
    </row>
    <row r="301" spans="1:6" x14ac:dyDescent="0.3">
      <c r="A301" t="s">
        <v>53</v>
      </c>
      <c r="B301" s="8">
        <v>44935</v>
      </c>
      <c r="C301" s="7" t="s">
        <v>40</v>
      </c>
      <c r="D301" s="7">
        <v>1</v>
      </c>
      <c r="E301" s="7">
        <v>3.5000000000000003E-2</v>
      </c>
      <c r="F301" s="7">
        <v>1.7500000000000002E-2</v>
      </c>
    </row>
    <row r="302" spans="1:6" x14ac:dyDescent="0.3">
      <c r="A302" t="s">
        <v>53</v>
      </c>
      <c r="B302" s="8">
        <v>45117</v>
      </c>
      <c r="C302" s="7" t="s">
        <v>40</v>
      </c>
      <c r="D302" s="7">
        <v>1</v>
      </c>
      <c r="E302" s="7">
        <v>3.5000000000000003E-2</v>
      </c>
      <c r="F302" s="7">
        <v>1.7500000000000002E-2</v>
      </c>
    </row>
    <row r="303" spans="1:6" x14ac:dyDescent="0.3">
      <c r="A303" t="s">
        <v>53</v>
      </c>
      <c r="B303" s="8">
        <v>45300</v>
      </c>
      <c r="C303" s="7" t="s">
        <v>40</v>
      </c>
      <c r="D303" s="7">
        <v>1</v>
      </c>
      <c r="E303" s="7">
        <v>3.5000000000000003E-2</v>
      </c>
      <c r="F303" s="7">
        <v>1.7500000000000002E-2</v>
      </c>
    </row>
    <row r="304" spans="1:6" x14ac:dyDescent="0.3">
      <c r="A304" t="s">
        <v>53</v>
      </c>
      <c r="B304" s="8">
        <v>45483</v>
      </c>
      <c r="C304" s="7" t="s">
        <v>40</v>
      </c>
      <c r="D304" s="7">
        <v>1</v>
      </c>
      <c r="E304" s="7">
        <v>3.5000000000000003E-2</v>
      </c>
      <c r="F304" s="7">
        <v>1.7500000000000002E-2</v>
      </c>
    </row>
    <row r="305" spans="1:6" x14ac:dyDescent="0.3">
      <c r="A305" t="s">
        <v>53</v>
      </c>
      <c r="B305" s="8">
        <v>45666</v>
      </c>
      <c r="C305" s="7" t="s">
        <v>40</v>
      </c>
      <c r="D305" s="7">
        <v>1</v>
      </c>
      <c r="E305" s="7">
        <v>3.5000000000000003E-2</v>
      </c>
      <c r="F305" s="7">
        <v>1.7500000000000002E-2</v>
      </c>
    </row>
    <row r="306" spans="1:6" x14ac:dyDescent="0.3">
      <c r="A306" t="s">
        <v>53</v>
      </c>
      <c r="B306" s="8">
        <v>45848</v>
      </c>
      <c r="C306" s="7" t="s">
        <v>40</v>
      </c>
      <c r="D306" s="7">
        <v>1</v>
      </c>
      <c r="E306" s="7">
        <v>3.5000000000000003E-2</v>
      </c>
      <c r="F306" s="7">
        <v>1.7500000000000002E-2</v>
      </c>
    </row>
    <row r="307" spans="1:6" x14ac:dyDescent="0.3">
      <c r="A307" t="s">
        <v>53</v>
      </c>
      <c r="B307" s="8">
        <v>46031</v>
      </c>
      <c r="C307" s="7" t="s">
        <v>40</v>
      </c>
      <c r="D307" s="7">
        <v>1</v>
      </c>
      <c r="E307" s="7">
        <v>3.5000000000000003E-2</v>
      </c>
      <c r="F307" s="7">
        <v>1.7500000000000002E-2</v>
      </c>
    </row>
    <row r="308" spans="1:6" x14ac:dyDescent="0.3">
      <c r="A308" t="s">
        <v>53</v>
      </c>
      <c r="B308" s="8">
        <v>46216</v>
      </c>
      <c r="C308" s="7" t="s">
        <v>40</v>
      </c>
      <c r="D308" s="7">
        <v>1</v>
      </c>
      <c r="E308" s="7">
        <v>3.5000000000000003E-2</v>
      </c>
      <c r="F308" s="7">
        <v>1.7500000000000002E-2</v>
      </c>
    </row>
    <row r="309" spans="1:6" x14ac:dyDescent="0.3">
      <c r="A309" t="s">
        <v>53</v>
      </c>
      <c r="B309" s="8">
        <v>46398</v>
      </c>
      <c r="C309" s="7" t="s">
        <v>40</v>
      </c>
      <c r="D309" s="7">
        <v>1</v>
      </c>
      <c r="E309" s="7">
        <v>3.5000000000000003E-2</v>
      </c>
      <c r="F309" s="7">
        <v>1.7500000000000002E-2</v>
      </c>
    </row>
    <row r="310" spans="1:6" x14ac:dyDescent="0.3">
      <c r="A310" t="s">
        <v>53</v>
      </c>
      <c r="B310" s="8">
        <v>46580</v>
      </c>
      <c r="C310" s="7" t="s">
        <v>40</v>
      </c>
      <c r="D310" s="7">
        <v>1</v>
      </c>
      <c r="E310" s="7">
        <v>3.5000000000000003E-2</v>
      </c>
      <c r="F310" s="7">
        <v>1.7500000000000002E-2</v>
      </c>
    </row>
    <row r="311" spans="1:6" x14ac:dyDescent="0.3">
      <c r="A311" t="s">
        <v>53</v>
      </c>
      <c r="B311" s="8">
        <v>46762</v>
      </c>
      <c r="C311" s="7">
        <v>3.5714285714285698E-2</v>
      </c>
      <c r="D311" s="7">
        <v>0.96428570999999996</v>
      </c>
      <c r="E311" s="7">
        <v>3.5000000000000003E-2</v>
      </c>
      <c r="F311" s="7">
        <v>1.7500000000000002E-2</v>
      </c>
    </row>
    <row r="312" spans="1:6" x14ac:dyDescent="0.3">
      <c r="A312" t="s">
        <v>53</v>
      </c>
      <c r="B312" s="8">
        <v>46944</v>
      </c>
      <c r="C312" s="7">
        <v>3.5714285714285698E-2</v>
      </c>
      <c r="D312" s="7">
        <v>0.92857142000000004</v>
      </c>
      <c r="E312" s="7">
        <v>3.5000000000000003E-2</v>
      </c>
      <c r="F312" s="7">
        <v>1.6874999925000002E-2</v>
      </c>
    </row>
    <row r="313" spans="1:6" x14ac:dyDescent="0.3">
      <c r="A313" t="s">
        <v>53</v>
      </c>
      <c r="B313" s="8">
        <v>47127</v>
      </c>
      <c r="C313" s="7">
        <v>3.5714285714285698E-2</v>
      </c>
      <c r="D313" s="7">
        <v>0.89285713</v>
      </c>
      <c r="E313" s="7">
        <v>3.5000000000000003E-2</v>
      </c>
      <c r="F313" s="7">
        <v>1.6249999850000002E-2</v>
      </c>
    </row>
    <row r="314" spans="1:6" x14ac:dyDescent="0.3">
      <c r="A314" t="s">
        <v>53</v>
      </c>
      <c r="B314" s="8">
        <v>47309</v>
      </c>
      <c r="C314" s="7">
        <v>3.5714285714285698E-2</v>
      </c>
      <c r="D314" s="7">
        <v>0.85714283999999996</v>
      </c>
      <c r="E314" s="7">
        <v>3.5000000000000003E-2</v>
      </c>
      <c r="F314" s="7">
        <v>1.5624999775000002E-2</v>
      </c>
    </row>
    <row r="315" spans="1:6" x14ac:dyDescent="0.3">
      <c r="A315" t="s">
        <v>53</v>
      </c>
      <c r="B315" s="8">
        <v>47492</v>
      </c>
      <c r="C315" s="7">
        <v>3.5714285714285698E-2</v>
      </c>
      <c r="D315" s="7">
        <v>0.82142855000000004</v>
      </c>
      <c r="E315" s="7">
        <v>4.8750000000000002E-2</v>
      </c>
      <c r="F315" s="7">
        <v>2.0892856724999999E-2</v>
      </c>
    </row>
    <row r="316" spans="1:6" x14ac:dyDescent="0.3">
      <c r="A316" t="s">
        <v>53</v>
      </c>
      <c r="B316" s="8">
        <v>47674</v>
      </c>
      <c r="C316" s="7">
        <v>3.5714285714285698E-2</v>
      </c>
      <c r="D316" s="7">
        <v>0.78571426</v>
      </c>
      <c r="E316" s="7">
        <v>4.8750000000000002E-2</v>
      </c>
      <c r="F316" s="7">
        <v>2.0022320906250002E-2</v>
      </c>
    </row>
    <row r="317" spans="1:6" x14ac:dyDescent="0.3">
      <c r="A317" t="s">
        <v>53</v>
      </c>
      <c r="B317" s="8">
        <v>47857</v>
      </c>
      <c r="C317" s="7">
        <v>3.5714285714285698E-2</v>
      </c>
      <c r="D317" s="7">
        <v>0.74999996999999996</v>
      </c>
      <c r="E317" s="7">
        <v>4.8750000000000002E-2</v>
      </c>
      <c r="F317" s="7">
        <v>1.9151785087500001E-2</v>
      </c>
    </row>
    <row r="318" spans="1:6" x14ac:dyDescent="0.3">
      <c r="A318" t="s">
        <v>53</v>
      </c>
      <c r="B318" s="8">
        <v>48039</v>
      </c>
      <c r="C318" s="7">
        <v>3.5714285714285698E-2</v>
      </c>
      <c r="D318" s="7">
        <v>0.71428568000000003</v>
      </c>
      <c r="E318" s="7">
        <v>4.8750000000000002E-2</v>
      </c>
      <c r="F318" s="7">
        <v>1.8281249268750001E-2</v>
      </c>
    </row>
    <row r="319" spans="1:6" x14ac:dyDescent="0.3">
      <c r="A319" t="s">
        <v>53</v>
      </c>
      <c r="B319" s="8">
        <v>48222</v>
      </c>
      <c r="C319" s="7">
        <v>3.5714285714285698E-2</v>
      </c>
      <c r="D319" s="7">
        <v>0.67857139</v>
      </c>
      <c r="E319" s="7">
        <v>4.8750000000000002E-2</v>
      </c>
      <c r="F319" s="7">
        <v>1.741071345E-2</v>
      </c>
    </row>
    <row r="320" spans="1:6" x14ac:dyDescent="0.3">
      <c r="A320" t="s">
        <v>53</v>
      </c>
      <c r="B320" s="8">
        <v>48407</v>
      </c>
      <c r="C320" s="7">
        <v>3.5714285714285698E-2</v>
      </c>
      <c r="D320" s="7">
        <v>0.64285709999999996</v>
      </c>
      <c r="E320" s="7">
        <v>4.8750000000000002E-2</v>
      </c>
      <c r="F320" s="7">
        <v>1.654017763125E-2</v>
      </c>
    </row>
    <row r="321" spans="1:6" x14ac:dyDescent="0.3">
      <c r="A321" t="s">
        <v>53</v>
      </c>
      <c r="B321" s="8">
        <v>48589</v>
      </c>
      <c r="C321" s="7">
        <v>3.5714285714285698E-2</v>
      </c>
      <c r="D321" s="7">
        <v>0.60714281000000003</v>
      </c>
      <c r="E321" s="7">
        <v>4.8750000000000002E-2</v>
      </c>
      <c r="F321" s="7">
        <v>1.5669641812499999E-2</v>
      </c>
    </row>
    <row r="322" spans="1:6" x14ac:dyDescent="0.3">
      <c r="A322" t="s">
        <v>53</v>
      </c>
      <c r="B322" s="8">
        <v>48771</v>
      </c>
      <c r="C322" s="7">
        <v>3.5714285714285698E-2</v>
      </c>
      <c r="D322" s="7">
        <v>0.57142852</v>
      </c>
      <c r="E322" s="7">
        <v>4.8750000000000002E-2</v>
      </c>
      <c r="F322" s="7">
        <v>1.4799105993750001E-2</v>
      </c>
    </row>
    <row r="323" spans="1:6" x14ac:dyDescent="0.3">
      <c r="A323" t="s">
        <v>53</v>
      </c>
      <c r="B323" s="8">
        <v>48953</v>
      </c>
      <c r="C323" s="7">
        <v>3.5714285714285698E-2</v>
      </c>
      <c r="D323" s="7">
        <v>0.53571422999999996</v>
      </c>
      <c r="E323" s="7">
        <v>4.8750000000000002E-2</v>
      </c>
      <c r="F323" s="7">
        <v>1.3928570175E-2</v>
      </c>
    </row>
    <row r="324" spans="1:6" x14ac:dyDescent="0.3">
      <c r="A324" t="s">
        <v>53</v>
      </c>
      <c r="B324" s="8">
        <v>49135</v>
      </c>
      <c r="C324" s="7">
        <v>3.5714285714285698E-2</v>
      </c>
      <c r="D324" s="7">
        <v>0.49999993999999998</v>
      </c>
      <c r="E324" s="7">
        <v>4.8750000000000002E-2</v>
      </c>
      <c r="F324" s="7">
        <v>1.305803435625E-2</v>
      </c>
    </row>
    <row r="325" spans="1:6" x14ac:dyDescent="0.3">
      <c r="A325" t="s">
        <v>53</v>
      </c>
      <c r="B325" s="8">
        <v>49318</v>
      </c>
      <c r="C325" s="7">
        <v>3.5714285714285698E-2</v>
      </c>
      <c r="D325" s="7">
        <v>0.46428564999999999</v>
      </c>
      <c r="E325" s="7">
        <v>4.8750000000000002E-2</v>
      </c>
      <c r="F325" s="7">
        <v>1.2187498537499999E-2</v>
      </c>
    </row>
    <row r="326" spans="1:6" x14ac:dyDescent="0.3">
      <c r="A326" t="s">
        <v>53</v>
      </c>
      <c r="B326" s="8">
        <v>49500</v>
      </c>
      <c r="C326" s="7">
        <v>3.5714285714285698E-2</v>
      </c>
      <c r="D326" s="7">
        <v>0.42857136000000001</v>
      </c>
      <c r="E326" s="7">
        <v>4.8750000000000002E-2</v>
      </c>
      <c r="F326" s="7">
        <v>1.131696271875E-2</v>
      </c>
    </row>
    <row r="327" spans="1:6" x14ac:dyDescent="0.3">
      <c r="A327" t="s">
        <v>53</v>
      </c>
      <c r="B327" s="8">
        <v>49683</v>
      </c>
      <c r="C327" s="7">
        <v>3.5714285714285698E-2</v>
      </c>
      <c r="D327" s="7">
        <v>0.39285706999999997</v>
      </c>
      <c r="E327" s="7">
        <v>4.8750000000000002E-2</v>
      </c>
      <c r="F327" s="7">
        <v>1.04464269E-2</v>
      </c>
    </row>
    <row r="328" spans="1:6" x14ac:dyDescent="0.3">
      <c r="A328" t="s">
        <v>53</v>
      </c>
      <c r="B328" s="8">
        <v>49866</v>
      </c>
      <c r="C328" s="7">
        <v>3.5714285714285698E-2</v>
      </c>
      <c r="D328" s="7">
        <v>0.35714277999999999</v>
      </c>
      <c r="E328" s="7">
        <v>4.8750000000000002E-2</v>
      </c>
      <c r="F328" s="7">
        <v>9.5758910812499994E-3</v>
      </c>
    </row>
    <row r="329" spans="1:6" x14ac:dyDescent="0.3">
      <c r="A329" t="s">
        <v>53</v>
      </c>
      <c r="B329" s="8">
        <v>50049</v>
      </c>
      <c r="C329" s="7">
        <v>3.5714285714285698E-2</v>
      </c>
      <c r="D329" s="7">
        <v>0.32142849000000001</v>
      </c>
      <c r="E329" s="7">
        <v>4.8750000000000002E-2</v>
      </c>
      <c r="F329" s="7">
        <v>8.7053552625000006E-3</v>
      </c>
    </row>
    <row r="330" spans="1:6" x14ac:dyDescent="0.3">
      <c r="A330" t="s">
        <v>53</v>
      </c>
      <c r="B330" s="8">
        <v>50231</v>
      </c>
      <c r="C330" s="7">
        <v>3.5714285714285698E-2</v>
      </c>
      <c r="D330" s="7">
        <v>0.28571419999999997</v>
      </c>
      <c r="E330" s="7">
        <v>4.8750000000000002E-2</v>
      </c>
      <c r="F330" s="7">
        <v>7.8348194437500001E-3</v>
      </c>
    </row>
    <row r="331" spans="1:6" x14ac:dyDescent="0.3">
      <c r="A331" t="s">
        <v>53</v>
      </c>
      <c r="B331" s="8">
        <v>50416</v>
      </c>
      <c r="C331" s="7">
        <v>3.5714285714285698E-2</v>
      </c>
      <c r="D331" s="7">
        <v>0.24999990999999999</v>
      </c>
      <c r="E331" s="7">
        <v>4.8750000000000002E-2</v>
      </c>
      <c r="F331" s="7">
        <v>6.9642836249999996E-3</v>
      </c>
    </row>
    <row r="332" spans="1:6" x14ac:dyDescent="0.3">
      <c r="A332" t="s">
        <v>53</v>
      </c>
      <c r="B332" s="8">
        <v>50598</v>
      </c>
      <c r="C332" s="7">
        <v>3.5714285714285698E-2</v>
      </c>
      <c r="D332" s="7">
        <v>0.21428562000000001</v>
      </c>
      <c r="E332" s="7">
        <v>4.8750000000000002E-2</v>
      </c>
      <c r="F332" s="7">
        <v>6.09374780625E-3</v>
      </c>
    </row>
    <row r="333" spans="1:6" x14ac:dyDescent="0.3">
      <c r="A333" t="s">
        <v>53</v>
      </c>
      <c r="B333" s="8">
        <v>50780</v>
      </c>
      <c r="C333" s="7">
        <v>3.5714285714285698E-2</v>
      </c>
      <c r="D333" s="7">
        <v>0.17857133</v>
      </c>
      <c r="E333" s="7">
        <v>4.8750000000000002E-2</v>
      </c>
      <c r="F333" s="7">
        <v>5.2232119875000003E-3</v>
      </c>
    </row>
    <row r="334" spans="1:6" x14ac:dyDescent="0.3">
      <c r="A334" t="s">
        <v>53</v>
      </c>
      <c r="B334" s="8">
        <v>50962</v>
      </c>
      <c r="C334" s="7">
        <v>3.5714285714285698E-2</v>
      </c>
      <c r="D334" s="7">
        <v>0.14285703999999999</v>
      </c>
      <c r="E334" s="7">
        <v>4.8750000000000002E-2</v>
      </c>
      <c r="F334" s="7">
        <v>4.3526761687499999E-3</v>
      </c>
    </row>
    <row r="335" spans="1:6" x14ac:dyDescent="0.3">
      <c r="A335" t="s">
        <v>53</v>
      </c>
      <c r="B335" s="8">
        <v>51144</v>
      </c>
      <c r="C335" s="7">
        <v>3.5714285714285698E-2</v>
      </c>
      <c r="D335" s="7">
        <v>0.10714274999999999</v>
      </c>
      <c r="E335" s="7">
        <v>4.8750000000000002E-2</v>
      </c>
      <c r="F335" s="7">
        <v>3.4821403499999998E-3</v>
      </c>
    </row>
    <row r="336" spans="1:6" x14ac:dyDescent="0.3">
      <c r="A336" t="s">
        <v>53</v>
      </c>
      <c r="B336" s="8">
        <v>51327</v>
      </c>
      <c r="C336" s="7">
        <v>3.5714285714285698E-2</v>
      </c>
      <c r="D336" s="7">
        <v>7.1428459999999999E-2</v>
      </c>
      <c r="E336" s="7">
        <v>4.8750000000000002E-2</v>
      </c>
      <c r="F336" s="7">
        <v>2.6116045312500002E-3</v>
      </c>
    </row>
    <row r="337" spans="1:6" x14ac:dyDescent="0.3">
      <c r="A337" t="s">
        <v>53</v>
      </c>
      <c r="B337" s="8">
        <v>51510</v>
      </c>
      <c r="C337" s="7">
        <v>3.5714285714285698E-2</v>
      </c>
      <c r="D337" s="7">
        <v>3.5714170000000003E-2</v>
      </c>
      <c r="E337" s="7">
        <v>4.8750000000000002E-2</v>
      </c>
      <c r="F337" s="7">
        <v>1.7410687125000001E-3</v>
      </c>
    </row>
    <row r="338" spans="1:6" x14ac:dyDescent="0.3">
      <c r="A338" t="s">
        <v>53</v>
      </c>
      <c r="B338" s="8">
        <v>51692</v>
      </c>
      <c r="C338" s="7">
        <v>3.5714165714285699E-2</v>
      </c>
      <c r="D338" s="7" t="s">
        <v>40</v>
      </c>
      <c r="E338" s="7">
        <v>4.8750000000000002E-2</v>
      </c>
      <c r="F338" s="7">
        <v>8.7053289375000015E-4</v>
      </c>
    </row>
    <row r="339" spans="1:6" x14ac:dyDescent="0.3">
      <c r="A339" t="s">
        <v>54</v>
      </c>
      <c r="B339" s="8">
        <v>44389</v>
      </c>
      <c r="C339" s="7" t="s">
        <v>40</v>
      </c>
      <c r="D339" s="7">
        <v>1</v>
      </c>
      <c r="E339" s="7">
        <v>1.25E-3</v>
      </c>
      <c r="F339" s="7">
        <v>1.0590277777777779E-3</v>
      </c>
    </row>
    <row r="340" spans="1:6" x14ac:dyDescent="0.3">
      <c r="A340" t="s">
        <v>54</v>
      </c>
      <c r="B340" s="8">
        <v>44571</v>
      </c>
      <c r="C340" s="7" t="s">
        <v>40</v>
      </c>
      <c r="D340" s="7">
        <v>1</v>
      </c>
      <c r="E340" s="7">
        <v>2.5000000000000001E-2</v>
      </c>
      <c r="F340" s="7">
        <v>1.2500000000000001E-2</v>
      </c>
    </row>
    <row r="341" spans="1:6" x14ac:dyDescent="0.3">
      <c r="A341" t="s">
        <v>54</v>
      </c>
      <c r="B341" s="8">
        <v>44753</v>
      </c>
      <c r="C341" s="7" t="s">
        <v>40</v>
      </c>
      <c r="D341" s="7">
        <v>1</v>
      </c>
      <c r="E341" s="7">
        <v>2.5000000000000001E-2</v>
      </c>
      <c r="F341" s="7">
        <v>1.2500000000000001E-2</v>
      </c>
    </row>
    <row r="342" spans="1:6" x14ac:dyDescent="0.3">
      <c r="A342" t="s">
        <v>54</v>
      </c>
      <c r="B342" s="8">
        <v>44935</v>
      </c>
      <c r="C342" s="7" t="s">
        <v>40</v>
      </c>
      <c r="D342" s="7">
        <v>1</v>
      </c>
      <c r="E342" s="7">
        <v>3.5000000000000003E-2</v>
      </c>
      <c r="F342" s="7">
        <v>1.7500000000000002E-2</v>
      </c>
    </row>
    <row r="343" spans="1:6" x14ac:dyDescent="0.3">
      <c r="A343" t="s">
        <v>54</v>
      </c>
      <c r="B343" s="8">
        <v>45117</v>
      </c>
      <c r="C343" s="7" t="s">
        <v>40</v>
      </c>
      <c r="D343" s="7">
        <v>1</v>
      </c>
      <c r="E343" s="7">
        <v>3.5000000000000003E-2</v>
      </c>
      <c r="F343" s="7">
        <v>1.7500000000000002E-2</v>
      </c>
    </row>
    <row r="344" spans="1:6" x14ac:dyDescent="0.3">
      <c r="A344" t="s">
        <v>54</v>
      </c>
      <c r="B344" s="8">
        <v>45300</v>
      </c>
      <c r="C344" s="7" t="s">
        <v>40</v>
      </c>
      <c r="D344" s="7">
        <v>1</v>
      </c>
      <c r="E344" s="7">
        <v>3.5000000000000003E-2</v>
      </c>
      <c r="F344" s="7">
        <v>1.7500000000000002E-2</v>
      </c>
    </row>
    <row r="345" spans="1:6" x14ac:dyDescent="0.3">
      <c r="A345" t="s">
        <v>54</v>
      </c>
      <c r="B345" s="8">
        <v>45483</v>
      </c>
      <c r="C345" s="7" t="s">
        <v>40</v>
      </c>
      <c r="D345" s="7">
        <v>1</v>
      </c>
      <c r="E345" s="7">
        <v>3.5000000000000003E-2</v>
      </c>
      <c r="F345" s="7">
        <v>1.7500000000000002E-2</v>
      </c>
    </row>
    <row r="346" spans="1:6" x14ac:dyDescent="0.3">
      <c r="A346" t="s">
        <v>54</v>
      </c>
      <c r="B346" s="8">
        <v>45666</v>
      </c>
      <c r="C346" s="7" t="s">
        <v>40</v>
      </c>
      <c r="D346" s="7">
        <v>1</v>
      </c>
      <c r="E346" s="7">
        <v>3.5000000000000003E-2</v>
      </c>
      <c r="F346" s="7">
        <v>1.7500000000000002E-2</v>
      </c>
    </row>
    <row r="347" spans="1:6" x14ac:dyDescent="0.3">
      <c r="A347" t="s">
        <v>54</v>
      </c>
      <c r="B347" s="8">
        <v>45848</v>
      </c>
      <c r="C347" s="7" t="s">
        <v>40</v>
      </c>
      <c r="D347" s="7">
        <v>1</v>
      </c>
      <c r="E347" s="7">
        <v>3.5000000000000003E-2</v>
      </c>
      <c r="F347" s="7">
        <v>1.7500000000000002E-2</v>
      </c>
    </row>
    <row r="348" spans="1:6" x14ac:dyDescent="0.3">
      <c r="A348" t="s">
        <v>54</v>
      </c>
      <c r="B348" s="8">
        <v>46031</v>
      </c>
      <c r="C348" s="7" t="s">
        <v>40</v>
      </c>
      <c r="D348" s="7">
        <v>1</v>
      </c>
      <c r="E348" s="7">
        <v>3.5000000000000003E-2</v>
      </c>
      <c r="F348" s="7">
        <v>1.7500000000000002E-2</v>
      </c>
    </row>
    <row r="349" spans="1:6" x14ac:dyDescent="0.3">
      <c r="A349" t="s">
        <v>54</v>
      </c>
      <c r="B349" s="8">
        <v>46216</v>
      </c>
      <c r="C349" s="7" t="s">
        <v>40</v>
      </c>
      <c r="D349" s="7">
        <v>1</v>
      </c>
      <c r="E349" s="7">
        <v>3.5000000000000003E-2</v>
      </c>
      <c r="F349" s="7">
        <v>1.7500000000000002E-2</v>
      </c>
    </row>
    <row r="350" spans="1:6" x14ac:dyDescent="0.3">
      <c r="A350" t="s">
        <v>54</v>
      </c>
      <c r="B350" s="8">
        <v>46398</v>
      </c>
      <c r="C350" s="7" t="s">
        <v>40</v>
      </c>
      <c r="D350" s="7">
        <v>1</v>
      </c>
      <c r="E350" s="7">
        <v>3.5000000000000003E-2</v>
      </c>
      <c r="F350" s="7">
        <v>1.7500000000000002E-2</v>
      </c>
    </row>
    <row r="351" spans="1:6" x14ac:dyDescent="0.3">
      <c r="A351" t="s">
        <v>54</v>
      </c>
      <c r="B351" s="8">
        <v>46580</v>
      </c>
      <c r="C351" s="7" t="s">
        <v>40</v>
      </c>
      <c r="D351" s="7">
        <v>1</v>
      </c>
      <c r="E351" s="7">
        <v>3.5000000000000003E-2</v>
      </c>
      <c r="F351" s="7">
        <v>1.7500000000000002E-2</v>
      </c>
    </row>
    <row r="352" spans="1:6" x14ac:dyDescent="0.3">
      <c r="A352" t="s">
        <v>54</v>
      </c>
      <c r="B352" s="8">
        <v>46762</v>
      </c>
      <c r="C352" s="7">
        <v>3.5714285714285698E-2</v>
      </c>
      <c r="D352" s="7">
        <v>0.96428570999999996</v>
      </c>
      <c r="E352" s="7">
        <v>3.5000000000000003E-2</v>
      </c>
      <c r="F352" s="7">
        <v>1.7500000000000002E-2</v>
      </c>
    </row>
    <row r="353" spans="1:6" x14ac:dyDescent="0.3">
      <c r="A353" t="s">
        <v>54</v>
      </c>
      <c r="B353" s="8">
        <v>46944</v>
      </c>
      <c r="C353" s="7">
        <v>3.5714285714285698E-2</v>
      </c>
      <c r="D353" s="7">
        <v>0.92857142000000004</v>
      </c>
      <c r="E353" s="7">
        <v>3.5000000000000003E-2</v>
      </c>
      <c r="F353" s="7">
        <v>1.6874999925000002E-2</v>
      </c>
    </row>
    <row r="354" spans="1:6" x14ac:dyDescent="0.3">
      <c r="A354" t="s">
        <v>54</v>
      </c>
      <c r="B354" s="8">
        <v>47127</v>
      </c>
      <c r="C354" s="7">
        <v>3.5714285714285698E-2</v>
      </c>
      <c r="D354" s="7">
        <v>0.89285713</v>
      </c>
      <c r="E354" s="7">
        <v>3.5000000000000003E-2</v>
      </c>
      <c r="F354" s="7">
        <v>1.6249999850000002E-2</v>
      </c>
    </row>
    <row r="355" spans="1:6" x14ac:dyDescent="0.3">
      <c r="A355" t="s">
        <v>54</v>
      </c>
      <c r="B355" s="8">
        <v>47309</v>
      </c>
      <c r="C355" s="7">
        <v>3.5714285714285698E-2</v>
      </c>
      <c r="D355" s="7">
        <v>0.85714283999999996</v>
      </c>
      <c r="E355" s="7">
        <v>3.5000000000000003E-2</v>
      </c>
      <c r="F355" s="7">
        <v>1.5624999775000002E-2</v>
      </c>
    </row>
    <row r="356" spans="1:6" x14ac:dyDescent="0.3">
      <c r="A356" t="s">
        <v>54</v>
      </c>
      <c r="B356" s="8">
        <v>47492</v>
      </c>
      <c r="C356" s="7">
        <v>3.5714285714285698E-2</v>
      </c>
      <c r="D356" s="7">
        <v>0.82142855000000004</v>
      </c>
      <c r="E356" s="7">
        <v>4.8750000000000002E-2</v>
      </c>
      <c r="F356" s="7">
        <v>2.0892856724999999E-2</v>
      </c>
    </row>
    <row r="357" spans="1:6" x14ac:dyDescent="0.3">
      <c r="A357" t="s">
        <v>54</v>
      </c>
      <c r="B357" s="8">
        <v>47674</v>
      </c>
      <c r="C357" s="7">
        <v>3.5714285714285698E-2</v>
      </c>
      <c r="D357" s="7">
        <v>0.78571426</v>
      </c>
      <c r="E357" s="7">
        <v>4.8750000000000002E-2</v>
      </c>
      <c r="F357" s="7">
        <v>2.0022320906250002E-2</v>
      </c>
    </row>
    <row r="358" spans="1:6" x14ac:dyDescent="0.3">
      <c r="A358" t="s">
        <v>54</v>
      </c>
      <c r="B358" s="8">
        <v>47857</v>
      </c>
      <c r="C358" s="7">
        <v>3.5714285714285698E-2</v>
      </c>
      <c r="D358" s="7">
        <v>0.74999996999999996</v>
      </c>
      <c r="E358" s="7">
        <v>4.8750000000000002E-2</v>
      </c>
      <c r="F358" s="7">
        <v>1.9151785087500001E-2</v>
      </c>
    </row>
    <row r="359" spans="1:6" x14ac:dyDescent="0.3">
      <c r="A359" t="s">
        <v>54</v>
      </c>
      <c r="B359" s="8">
        <v>48039</v>
      </c>
      <c r="C359" s="7">
        <v>3.5714285714285698E-2</v>
      </c>
      <c r="D359" s="7">
        <v>0.71428568000000003</v>
      </c>
      <c r="E359" s="7">
        <v>4.8750000000000002E-2</v>
      </c>
      <c r="F359" s="7">
        <v>1.8281249268750001E-2</v>
      </c>
    </row>
    <row r="360" spans="1:6" x14ac:dyDescent="0.3">
      <c r="A360" t="s">
        <v>54</v>
      </c>
      <c r="B360" s="8">
        <v>48222</v>
      </c>
      <c r="C360" s="7">
        <v>3.5714285714285698E-2</v>
      </c>
      <c r="D360" s="7">
        <v>0.67857139</v>
      </c>
      <c r="E360" s="7">
        <v>4.8750000000000002E-2</v>
      </c>
      <c r="F360" s="7">
        <v>1.741071345E-2</v>
      </c>
    </row>
    <row r="361" spans="1:6" x14ac:dyDescent="0.3">
      <c r="A361" t="s">
        <v>54</v>
      </c>
      <c r="B361" s="8">
        <v>48407</v>
      </c>
      <c r="C361" s="7">
        <v>3.5714285714285698E-2</v>
      </c>
      <c r="D361" s="7">
        <v>0.64285709999999996</v>
      </c>
      <c r="E361" s="7">
        <v>4.8750000000000002E-2</v>
      </c>
      <c r="F361" s="7">
        <v>1.654017763125E-2</v>
      </c>
    </row>
    <row r="362" spans="1:6" x14ac:dyDescent="0.3">
      <c r="A362" t="s">
        <v>54</v>
      </c>
      <c r="B362" s="8">
        <v>48589</v>
      </c>
      <c r="C362" s="7">
        <v>3.5714285714285698E-2</v>
      </c>
      <c r="D362" s="7">
        <v>0.60714281000000003</v>
      </c>
      <c r="E362" s="7">
        <v>4.8750000000000002E-2</v>
      </c>
      <c r="F362" s="7">
        <v>1.5669641812499999E-2</v>
      </c>
    </row>
    <row r="363" spans="1:6" x14ac:dyDescent="0.3">
      <c r="A363" t="s">
        <v>54</v>
      </c>
      <c r="B363" s="8">
        <v>48771</v>
      </c>
      <c r="C363" s="7">
        <v>3.5714285714285698E-2</v>
      </c>
      <c r="D363" s="7">
        <v>0.57142852</v>
      </c>
      <c r="E363" s="7">
        <v>4.8750000000000002E-2</v>
      </c>
      <c r="F363" s="7">
        <v>1.4799105993750001E-2</v>
      </c>
    </row>
    <row r="364" spans="1:6" x14ac:dyDescent="0.3">
      <c r="A364" t="s">
        <v>54</v>
      </c>
      <c r="B364" s="8">
        <v>48953</v>
      </c>
      <c r="C364" s="7">
        <v>3.5714285714285698E-2</v>
      </c>
      <c r="D364" s="7">
        <v>0.53571422999999996</v>
      </c>
      <c r="E364" s="7">
        <v>4.8750000000000002E-2</v>
      </c>
      <c r="F364" s="7">
        <v>1.3928570175E-2</v>
      </c>
    </row>
    <row r="365" spans="1:6" x14ac:dyDescent="0.3">
      <c r="A365" t="s">
        <v>54</v>
      </c>
      <c r="B365" s="8">
        <v>49135</v>
      </c>
      <c r="C365" s="7">
        <v>3.5714285714285698E-2</v>
      </c>
      <c r="D365" s="7">
        <v>0.49999993999999998</v>
      </c>
      <c r="E365" s="7">
        <v>4.8750000000000002E-2</v>
      </c>
      <c r="F365" s="7">
        <v>1.305803435625E-2</v>
      </c>
    </row>
    <row r="366" spans="1:6" x14ac:dyDescent="0.3">
      <c r="A366" t="s">
        <v>54</v>
      </c>
      <c r="B366" s="8">
        <v>49318</v>
      </c>
      <c r="C366" s="7">
        <v>3.5714285714285698E-2</v>
      </c>
      <c r="D366" s="7">
        <v>0.46428564999999999</v>
      </c>
      <c r="E366" s="7">
        <v>4.8750000000000002E-2</v>
      </c>
      <c r="F366" s="7">
        <v>1.2187498537499999E-2</v>
      </c>
    </row>
    <row r="367" spans="1:6" x14ac:dyDescent="0.3">
      <c r="A367" t="s">
        <v>54</v>
      </c>
      <c r="B367" s="8">
        <v>49500</v>
      </c>
      <c r="C367" s="7">
        <v>3.5714285714285698E-2</v>
      </c>
      <c r="D367" s="7">
        <v>0.42857136000000001</v>
      </c>
      <c r="E367" s="7">
        <v>4.8750000000000002E-2</v>
      </c>
      <c r="F367" s="7">
        <v>1.131696271875E-2</v>
      </c>
    </row>
    <row r="368" spans="1:6" x14ac:dyDescent="0.3">
      <c r="A368" t="s">
        <v>54</v>
      </c>
      <c r="B368" s="8">
        <v>49683</v>
      </c>
      <c r="C368" s="7">
        <v>3.5714285714285698E-2</v>
      </c>
      <c r="D368" s="7">
        <v>0.39285706999999997</v>
      </c>
      <c r="E368" s="7">
        <v>4.8750000000000002E-2</v>
      </c>
      <c r="F368" s="7">
        <v>1.04464269E-2</v>
      </c>
    </row>
    <row r="369" spans="1:6" x14ac:dyDescent="0.3">
      <c r="A369" t="s">
        <v>54</v>
      </c>
      <c r="B369" s="8">
        <v>49866</v>
      </c>
      <c r="C369" s="7">
        <v>3.5714285714285698E-2</v>
      </c>
      <c r="D369" s="7">
        <v>0.35714277999999999</v>
      </c>
      <c r="E369" s="7">
        <v>4.8750000000000002E-2</v>
      </c>
      <c r="F369" s="7">
        <v>9.5758910812499994E-3</v>
      </c>
    </row>
    <row r="370" spans="1:6" x14ac:dyDescent="0.3">
      <c r="A370" t="s">
        <v>54</v>
      </c>
      <c r="B370" s="8">
        <v>50049</v>
      </c>
      <c r="C370" s="7">
        <v>3.5714285714285698E-2</v>
      </c>
      <c r="D370" s="7">
        <v>0.32142849000000001</v>
      </c>
      <c r="E370" s="7">
        <v>4.8750000000000002E-2</v>
      </c>
      <c r="F370" s="7">
        <v>8.7053552625000006E-3</v>
      </c>
    </row>
    <row r="371" spans="1:6" x14ac:dyDescent="0.3">
      <c r="A371" t="s">
        <v>54</v>
      </c>
      <c r="B371" s="8">
        <v>50231</v>
      </c>
      <c r="C371" s="7">
        <v>3.5714285714285698E-2</v>
      </c>
      <c r="D371" s="7">
        <v>0.28571419999999997</v>
      </c>
      <c r="E371" s="7">
        <v>4.8750000000000002E-2</v>
      </c>
      <c r="F371" s="7">
        <v>7.8348194437500001E-3</v>
      </c>
    </row>
    <row r="372" spans="1:6" x14ac:dyDescent="0.3">
      <c r="A372" t="s">
        <v>54</v>
      </c>
      <c r="B372" s="8">
        <v>50416</v>
      </c>
      <c r="C372" s="7">
        <v>3.5714285714285698E-2</v>
      </c>
      <c r="D372" s="7">
        <v>0.24999990999999999</v>
      </c>
      <c r="E372" s="7">
        <v>4.8750000000000002E-2</v>
      </c>
      <c r="F372" s="7">
        <v>6.9642836249999996E-3</v>
      </c>
    </row>
    <row r="373" spans="1:6" x14ac:dyDescent="0.3">
      <c r="A373" t="s">
        <v>54</v>
      </c>
      <c r="B373" s="8">
        <v>50598</v>
      </c>
      <c r="C373" s="7">
        <v>3.5714285714285698E-2</v>
      </c>
      <c r="D373" s="7">
        <v>0.21428562000000001</v>
      </c>
      <c r="E373" s="7">
        <v>4.8750000000000002E-2</v>
      </c>
      <c r="F373" s="7">
        <v>6.09374780625E-3</v>
      </c>
    </row>
    <row r="374" spans="1:6" x14ac:dyDescent="0.3">
      <c r="A374" t="s">
        <v>54</v>
      </c>
      <c r="B374" s="8">
        <v>50780</v>
      </c>
      <c r="C374" s="7">
        <v>3.5714285714285698E-2</v>
      </c>
      <c r="D374" s="7">
        <v>0.17857133</v>
      </c>
      <c r="E374" s="7">
        <v>4.8750000000000002E-2</v>
      </c>
      <c r="F374" s="7">
        <v>5.2232119875000003E-3</v>
      </c>
    </row>
    <row r="375" spans="1:6" x14ac:dyDescent="0.3">
      <c r="A375" t="s">
        <v>54</v>
      </c>
      <c r="B375" s="8">
        <v>50962</v>
      </c>
      <c r="C375" s="7">
        <v>3.5714285714285698E-2</v>
      </c>
      <c r="D375" s="7">
        <v>0.14285703999999999</v>
      </c>
      <c r="E375" s="7">
        <v>4.8750000000000002E-2</v>
      </c>
      <c r="F375" s="7">
        <v>4.3526761687499999E-3</v>
      </c>
    </row>
    <row r="376" spans="1:6" x14ac:dyDescent="0.3">
      <c r="A376" t="s">
        <v>54</v>
      </c>
      <c r="B376" s="8">
        <v>51144</v>
      </c>
      <c r="C376" s="7">
        <v>3.5714285714285698E-2</v>
      </c>
      <c r="D376" s="7">
        <v>0.10714274999999999</v>
      </c>
      <c r="E376" s="7">
        <v>4.8750000000000002E-2</v>
      </c>
      <c r="F376" s="7">
        <v>3.4821403499999998E-3</v>
      </c>
    </row>
    <row r="377" spans="1:6" x14ac:dyDescent="0.3">
      <c r="A377" t="s">
        <v>54</v>
      </c>
      <c r="B377" s="8">
        <v>51327</v>
      </c>
      <c r="C377" s="7">
        <v>3.5714285714285698E-2</v>
      </c>
      <c r="D377" s="7">
        <v>7.1428459999999999E-2</v>
      </c>
      <c r="E377" s="7">
        <v>4.8750000000000002E-2</v>
      </c>
      <c r="F377" s="7">
        <v>2.6116045312500002E-3</v>
      </c>
    </row>
    <row r="378" spans="1:6" x14ac:dyDescent="0.3">
      <c r="A378" t="s">
        <v>54</v>
      </c>
      <c r="B378" s="8">
        <v>51510</v>
      </c>
      <c r="C378" s="7">
        <v>3.5714285714285698E-2</v>
      </c>
      <c r="D378" s="7">
        <v>3.5714170000000003E-2</v>
      </c>
      <c r="E378" s="7">
        <v>4.8750000000000002E-2</v>
      </c>
      <c r="F378" s="7">
        <v>1.7410687125000001E-3</v>
      </c>
    </row>
    <row r="379" spans="1:6" x14ac:dyDescent="0.3">
      <c r="A379" t="s">
        <v>54</v>
      </c>
      <c r="B379" s="8">
        <v>51692</v>
      </c>
      <c r="C379" s="7">
        <v>3.5714165714285699E-2</v>
      </c>
      <c r="D379" s="7" t="s">
        <v>40</v>
      </c>
      <c r="E379" s="7">
        <v>4.8750000000000002E-2</v>
      </c>
      <c r="F379" s="7">
        <v>8.7053289375000015E-4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Precios</vt:lpstr>
      <vt:lpstr>Tamar</vt:lpstr>
      <vt:lpstr>CER</vt:lpstr>
      <vt:lpstr>Feriados</vt:lpstr>
      <vt:lpstr>Lecaps</vt:lpstr>
      <vt:lpstr>Letam</vt:lpstr>
      <vt:lpstr>LECER</vt:lpstr>
      <vt:lpstr>Flujo HD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2026-10-22T20:51:22Z</dcterms:modified>
</cp:coreProperties>
</file>