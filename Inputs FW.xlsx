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Forward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6" i="3" l="1"/>
  <c r="C166" i="3"/>
  <c r="D166" i="3"/>
  <c r="E166" i="3"/>
  <c r="F166" i="3"/>
  <c r="G166" i="3"/>
  <c r="H166" i="3"/>
  <c r="I166" i="3"/>
  <c r="J166" i="3"/>
  <c r="K166" i="3"/>
  <c r="N166" i="3"/>
  <c r="O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B167" i="3"/>
  <c r="C167" i="3"/>
  <c r="D167" i="3"/>
  <c r="E167" i="3"/>
  <c r="F167" i="3"/>
  <c r="G167" i="3"/>
  <c r="H167" i="3"/>
  <c r="I167" i="3"/>
  <c r="J167" i="3"/>
  <c r="K167" i="3"/>
  <c r="N167" i="3"/>
  <c r="O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s="1"/>
  <c r="A436" i="6" l="1"/>
  <c r="A437" i="6" s="1"/>
  <c r="A152" i="3"/>
  <c r="A153" i="3" s="1"/>
  <c r="A154" i="3" s="1"/>
  <c r="A155" i="3" s="1"/>
  <c r="A156" i="3" s="1"/>
  <c r="A157" i="3" s="1"/>
  <c r="A158" i="3" s="1"/>
  <c r="A420" i="1"/>
  <c r="B420" i="1" s="1"/>
  <c r="B436" i="6" l="1"/>
  <c r="A438" i="6"/>
  <c r="B437" i="6"/>
  <c r="A159" i="3"/>
  <c r="A421" i="1"/>
  <c r="A422" i="1" s="1"/>
  <c r="A439" i="6" l="1"/>
  <c r="B438" i="6"/>
  <c r="A160" i="3"/>
  <c r="A161" i="3" s="1"/>
  <c r="B421" i="1"/>
  <c r="A423" i="1"/>
  <c r="B422" i="1"/>
  <c r="A440" i="6" l="1"/>
  <c r="B439" i="6"/>
  <c r="A424" i="1"/>
  <c r="A425" i="1" s="1"/>
  <c r="B425" i="1" s="1"/>
  <c r="B423" i="1"/>
  <c r="A441" i="6" l="1"/>
  <c r="B440" i="6"/>
  <c r="A162" i="3"/>
  <c r="E162" i="3" s="1"/>
  <c r="B424" i="1"/>
  <c r="A442" i="6" l="1"/>
  <c r="B441" i="6"/>
  <c r="N162" i="3"/>
  <c r="O162" i="3"/>
  <c r="A163" i="3"/>
  <c r="A164" i="3" s="1"/>
  <c r="H162" i="3"/>
  <c r="F162" i="3"/>
  <c r="A426" i="1"/>
  <c r="B426" i="1" s="1"/>
  <c r="A165" i="3" l="1"/>
  <c r="A166" i="3" s="1"/>
  <c r="A167" i="3" s="1"/>
  <c r="Q164" i="3"/>
  <c r="J165" i="3"/>
  <c r="I165" i="3"/>
  <c r="D164" i="3"/>
  <c r="I164" i="3"/>
  <c r="F164" i="3"/>
  <c r="K164" i="3"/>
  <c r="G164" i="3"/>
  <c r="J164" i="3"/>
  <c r="A443" i="6"/>
  <c r="B442" i="6"/>
  <c r="E164" i="3"/>
  <c r="O164" i="3"/>
  <c r="N164" i="3"/>
  <c r="H164" i="3"/>
  <c r="N163" i="3"/>
  <c r="O163" i="3"/>
  <c r="E163" i="3"/>
  <c r="H163" i="3"/>
  <c r="F163" i="3"/>
  <c r="A427" i="1"/>
  <c r="B427" i="1" s="1"/>
  <c r="N165" i="3" l="1"/>
  <c r="K165" i="3"/>
  <c r="G165" i="3"/>
  <c r="B165" i="3"/>
  <c r="D165" i="3"/>
  <c r="AE165" i="3"/>
  <c r="S165" i="3"/>
  <c r="Z165" i="3"/>
  <c r="X165" i="3"/>
  <c r="T165" i="3"/>
  <c r="AD165" i="3"/>
  <c r="R165" i="3"/>
  <c r="AA165" i="3"/>
  <c r="W165" i="3"/>
  <c r="U165" i="3"/>
  <c r="AC165" i="3"/>
  <c r="Q165" i="3"/>
  <c r="AB165" i="3"/>
  <c r="Y165" i="3"/>
  <c r="V165" i="3"/>
  <c r="F165" i="3"/>
  <c r="C165" i="3"/>
  <c r="H165" i="3"/>
  <c r="E165" i="3"/>
  <c r="O165" i="3"/>
  <c r="A444" i="6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A437" i="1" s="1"/>
  <c r="A438" i="1" s="1"/>
  <c r="B435" i="1"/>
  <c r="A452" i="6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<sst xmlns="http://schemas.openxmlformats.org/spreadsheetml/2006/main" count="73" uniqueCount="35">
  <si>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</si>
  <si>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</si>
  <si>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</si>
  <si>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</si>
  <si>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</si>
  <si>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</si>
  <si>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</si>
  <si>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</si>
  <si>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</si>
  <si>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</si>
  <si>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</si>
  <si>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</si>
  <si>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</si>
  <si>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</si>
  <si>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</si>
  <si>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</si>
  <si>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</si>
  <si>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</si>
  <si>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</si>
  <si>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</si>
  <si>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</si>
  <si>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</si>
  <si>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</si>
  <si>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</si>
  <si>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</si>
  <si>
    <t>TZXD6</t>
  </si>
  <si>
    <t>TZXM7</t>
  </si>
  <si>
    <t>TZXS7</t>
  </si>
  <si>
    <t>TZXO7</t>
  </si>
  <si>
    <t>TZXD7</t>
  </si>
  <si>
    <t>TZXM8</t>
  </si>
  <si>
    <t>TZX28</t>
  </si>
  <si>
    <t>TZXS8</t>
  </si>
  <si>
    <t>TZXD8</t>
  </si>
  <si>
    <t>TZXM9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</si>
</sst>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>
        <row r="1">
          <cell r="D1" t="b">
            <v>1</v>
          </cell>
        </row>
      </sheetData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>
            <v>46314</v>
          </cell>
          <cell r="H6">
            <v>46315</v>
          </cell>
          <cell r="I6">
            <v>46316</v>
          </cell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 t="str">
            <v>Px Hoy</v>
          </cell>
          <cell r="H7" t="str">
            <v>Px Hoy</v>
          </cell>
          <cell r="I7" t="str">
            <v>Px Hoy</v>
          </cell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>
            <v>1.0339150100000001</v>
          </cell>
          <cell r="H11">
            <v>1.0349804199999999</v>
          </cell>
          <cell r="I11">
            <v>1.03541214</v>
          </cell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>
            <v>0.55234872999999995</v>
          </cell>
          <cell r="H12">
            <v>0.55400811999999999</v>
          </cell>
          <cell r="I12">
            <v>0.55128723999999996</v>
          </cell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>
            <v>0.56829012000000001</v>
          </cell>
          <cell r="H13">
            <v>0.56833805999999998</v>
          </cell>
          <cell r="I13">
            <v>0.56683755000000002</v>
          </cell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>
            <v>0.92628224000000003</v>
          </cell>
          <cell r="H14">
            <v>0.92653333999999998</v>
          </cell>
          <cell r="I14">
            <v>0.91976760000000002</v>
          </cell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>
            <v>0.85160027000000005</v>
          </cell>
          <cell r="H15">
            <v>0.85722827999999995</v>
          </cell>
          <cell r="I15">
            <v>0.86258517999999995</v>
          </cell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>
            <v>0.87392955999999999</v>
          </cell>
          <cell r="H16">
            <v>0.88033021</v>
          </cell>
          <cell r="I16">
            <v>0.88019263999999997</v>
          </cell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>
            <v>0.72910900000000001</v>
          </cell>
          <cell r="H17">
            <v>0.73189634999999997</v>
          </cell>
          <cell r="I17">
            <v>0.73018035999999997</v>
          </cell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>
            <v>0.78777313999999998</v>
          </cell>
          <cell r="H18">
            <v>0.79169111999999997</v>
          </cell>
          <cell r="I18">
            <v>0.78851773999999997</v>
          </cell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>
            <v>0.69891199999999998</v>
          </cell>
          <cell r="H19">
            <v>0.70043750999999999</v>
          </cell>
          <cell r="I19">
            <v>0.70017711000000005</v>
          </cell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>
            <v>0.73901961000000005</v>
          </cell>
          <cell r="H20">
            <v>0.74345437000000003</v>
          </cell>
          <cell r="I20">
            <v>0.73758840000000003</v>
          </cell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>
            <v>0.64957577</v>
          </cell>
          <cell r="H21">
            <v>0.65210818000000004</v>
          </cell>
          <cell r="I21">
            <v>0.64742909999999998</v>
          </cell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>
            <v>0.68539989000000001</v>
          </cell>
          <cell r="H22">
            <v>0.69215795000000002</v>
          </cell>
          <cell r="I22">
            <v>0.68502668</v>
          </cell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>
            <v>0.63357999999999992</v>
          </cell>
          <cell r="H23">
            <v>0.6282797</v>
          </cell>
          <cell r="I23">
            <v>0.62329707000000001</v>
          </cell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>
            <v>1595.07930382</v>
          </cell>
          <cell r="H27">
            <v>1603.4716997999999</v>
          </cell>
          <cell r="I27">
            <v>1604.1164756799999</v>
          </cell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>
            <v>850.17795665999995</v>
          </cell>
          <cell r="H28">
            <v>856.62819062999995</v>
          </cell>
          <cell r="I28">
            <v>851.21788481999999</v>
          </cell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>
            <v>876.95841951</v>
          </cell>
          <cell r="H29">
            <v>877.86325844999999</v>
          </cell>
          <cell r="I29">
            <v>877.04375371000003</v>
          </cell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>
            <v>1423.0652202799999</v>
          </cell>
          <cell r="H30">
            <v>1431.63425833</v>
          </cell>
          <cell r="I30">
            <v>1426.32459485</v>
          </cell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>
            <v>1311.94987378</v>
          </cell>
          <cell r="H31">
            <v>1324.6184797599999</v>
          </cell>
          <cell r="I31">
            <v>1335.1665488599999</v>
          </cell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>
            <v>1347.09307038</v>
          </cell>
          <cell r="H32">
            <v>1359.9283537900001</v>
          </cell>
          <cell r="I32">
            <v>1365.21850404</v>
          </cell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>
            <v>1119.93579841</v>
          </cell>
          <cell r="H33">
            <v>1132.4531455399999</v>
          </cell>
          <cell r="I33">
            <v>1133.8393331299999</v>
          </cell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>
            <v>1217.3873780599999</v>
          </cell>
          <cell r="H34">
            <v>1220.0117383899999</v>
          </cell>
          <cell r="I34">
            <v>1221.1131717599999</v>
          </cell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>
            <v>1076.62688882</v>
          </cell>
          <cell r="H35">
            <v>1084.89340472</v>
          </cell>
          <cell r="I35">
            <v>1085.6426758</v>
          </cell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>
            <v>1140.9569637500001</v>
          </cell>
          <cell r="H36">
            <v>1144.8601667200001</v>
          </cell>
          <cell r="I36">
            <v>1145.03599061</v>
          </cell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>
            <v>994.24531977000004</v>
          </cell>
          <cell r="H37">
            <v>1006.9270033499999</v>
          </cell>
          <cell r="I37">
            <v>1004.367065</v>
          </cell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>
            <v>1053.94079891</v>
          </cell>
          <cell r="H38">
            <v>1066.39671576</v>
          </cell>
          <cell r="I38">
            <v>1065.47013698</v>
          </cell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>
            <v>949.79849089000004</v>
          </cell>
          <cell r="H39">
            <v>974.39452009000001</v>
          </cell>
          <cell r="I39">
            <v>974.9500845</v>
          </cell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>
            <v>1.0504653799999999</v>
          </cell>
          <cell r="H43">
            <v>1.0522571000000001</v>
          </cell>
          <cell r="I43">
            <v>1.0513308100000001</v>
          </cell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>
            <v>1619.46099213</v>
          </cell>
          <cell r="H47">
            <v>1629.8302705399999</v>
          </cell>
          <cell r="I47">
            <v>1625.03191797</v>
          </cell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>
            <v>1.3467551200000001</v>
          </cell>
          <cell r="H51">
            <v>1.3462021099999999</v>
          </cell>
          <cell r="I51">
            <v>1.34694896</v>
          </cell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>
            <v>1.0799686399999999</v>
          </cell>
          <cell r="H52">
            <v>1.08108965</v>
          </cell>
          <cell r="I52">
            <v>1.0817655799999999</v>
          </cell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>
            <v>1.2658785699999999</v>
          </cell>
          <cell r="H53">
            <v>1.2667788499999999</v>
          </cell>
          <cell r="I53">
            <v>1.2678373000000001</v>
          </cell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>
            <v>1.0468394599999999</v>
          </cell>
          <cell r="H54">
            <v>1.04730795</v>
          </cell>
          <cell r="I54">
            <v>1.0483183599999999</v>
          </cell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>
            <v>1.5235683499999999</v>
          </cell>
          <cell r="H58">
            <v>1.5249278500000001</v>
          </cell>
          <cell r="I58">
            <v>1.5252739099999999</v>
          </cell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>
            <v>1.3791142999999999</v>
          </cell>
          <cell r="H59">
            <v>1.38088601</v>
          </cell>
          <cell r="I59">
            <v>1.38344445</v>
          </cell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>
            <v>1.2980624199999999</v>
          </cell>
          <cell r="H60">
            <v>1.3009219000000001</v>
          </cell>
          <cell r="I60">
            <v>1.3035093099999999</v>
          </cell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>
            <v>1.31927609</v>
          </cell>
          <cell r="H61">
            <v>1.32152921</v>
          </cell>
          <cell r="I61">
            <v>1.31171438</v>
          </cell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>
            <v>1.1298443199999999</v>
          </cell>
          <cell r="H62">
            <v>1.1330680799999999</v>
          </cell>
          <cell r="I62">
            <v>1.1338065900000001</v>
          </cell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>
            <v>1.7438435000000001</v>
          </cell>
          <cell r="H66">
            <v>1.7457688899999999</v>
          </cell>
          <cell r="I66">
            <v>1.7475036100000001</v>
          </cell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>
            <v>1.26114211</v>
          </cell>
          <cell r="H70">
            <v>1.2627306899999999</v>
          </cell>
          <cell r="I70">
            <v>1.26323282</v>
          </cell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>
            <v>1.1153652149836599</v>
          </cell>
          <cell r="H71">
            <v>1.11652306</v>
          </cell>
          <cell r="I71">
            <v>1.1193425800000001</v>
          </cell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>
            <v>1.2120161</v>
          </cell>
          <cell r="H72">
            <v>1.2122706000000001</v>
          </cell>
          <cell r="I72">
            <v>1.2152442000000001</v>
          </cell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>
            <v>1.10149952</v>
          </cell>
          <cell r="H73">
            <v>1.1015386300000001</v>
          </cell>
          <cell r="I73">
            <v>1.10396136</v>
          </cell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>
            <v>1.0378775099999999</v>
          </cell>
          <cell r="H77">
            <v>1.0349368299999999</v>
          </cell>
          <cell r="I77">
            <v>1.0424027600000001</v>
          </cell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>
            <v>0.97050639000000005</v>
          </cell>
          <cell r="H78">
            <v>0.96700498000000001</v>
          </cell>
          <cell r="I78">
            <v>0.97000193000000001</v>
          </cell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>
            <v>0.94800446999999999</v>
          </cell>
          <cell r="H79">
            <v>0.94940062999999997</v>
          </cell>
          <cell r="I79">
            <v>0.95250014000000005</v>
          </cell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>
            <v>0.88039588000000002</v>
          </cell>
          <cell r="H80">
            <v>0.88108792000000002</v>
          </cell>
          <cell r="I80">
            <v>0.88141670000000005</v>
          </cell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>
            <v>0.85164658999999998</v>
          </cell>
          <cell r="H81">
            <v>0.85150086000000003</v>
          </cell>
          <cell r="I81">
            <v>0.85225236999999998</v>
          </cell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>
            <v>1.7690655900000001</v>
          </cell>
          <cell r="H85">
            <v>1.7708283199999999</v>
          </cell>
          <cell r="I85">
            <v>1.7724536900000001</v>
          </cell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>
            <v>7.5878352400000004</v>
          </cell>
          <cell r="H86">
            <v>7.5937811200000001</v>
          </cell>
          <cell r="I86">
            <v>7.5999057900000002</v>
          </cell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>
            <v>1.28512731</v>
          </cell>
          <cell r="H87">
            <v>1.2854595799999999</v>
          </cell>
          <cell r="I87">
            <v>1.2865622699999999</v>
          </cell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>
            <v>3.1237230500000002</v>
          </cell>
          <cell r="H88">
            <v>3.12464619</v>
          </cell>
          <cell r="I88">
            <v>3.1273752899999998</v>
          </cell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>
            <v>1.03625682</v>
          </cell>
          <cell r="H89">
            <v>1.03749885</v>
          </cell>
          <cell r="I89">
            <v>1.0379849699999999</v>
          </cell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>
            <v>2.3285294900000002</v>
          </cell>
          <cell r="H90">
            <v>2.3298943300000001</v>
          </cell>
          <cell r="I90">
            <v>2.3315063999999999</v>
          </cell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>
            <v>1.28404717</v>
          </cell>
          <cell r="H91">
            <v>1.28724576</v>
          </cell>
          <cell r="I91">
            <v>1.2895944800000001</v>
          </cell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>
            <v>1.26702314</v>
          </cell>
          <cell r="H92">
            <v>1.2677409399999999</v>
          </cell>
          <cell r="I92">
            <v>1.26960213</v>
          </cell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>
            <v>4.1445826600000002</v>
          </cell>
          <cell r="H93">
            <v>4.1452876099999996</v>
          </cell>
          <cell r="I93">
            <v>4.15149597</v>
          </cell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>
            <v>1.12673896</v>
          </cell>
          <cell r="H94">
            <v>1.1264308700000001</v>
          </cell>
          <cell r="I94">
            <v>1.1262223</v>
          </cell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>
            <v>1.0166987700000001</v>
          </cell>
          <cell r="H95">
            <v>1.0215940000000001</v>
          </cell>
          <cell r="I95">
            <v>1.0229999999999999</v>
          </cell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>
            <v>2.9025093200000001</v>
          </cell>
          <cell r="H96">
            <v>2.8988112400000001</v>
          </cell>
          <cell r="I96">
            <v>2.9093671799999998</v>
          </cell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>
            <v>1.03936071</v>
          </cell>
          <cell r="H97">
            <v>1.0492393099999999</v>
          </cell>
          <cell r="I97">
            <v>1.0453569700000001</v>
          </cell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>
            <v>3.61664108</v>
          </cell>
          <cell r="H98">
            <v>3.6326244999999999</v>
          </cell>
          <cell r="I98">
            <v>3.6433714799999999</v>
          </cell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>
            <v>0.98362095000000005</v>
          </cell>
          <cell r="H99">
            <v>0.98249960000000003</v>
          </cell>
          <cell r="I99">
            <v>0.98438888999999996</v>
          </cell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>
            <v>0.87749999999999995</v>
          </cell>
          <cell r="H100">
            <v>0.87882985000000002</v>
          </cell>
          <cell r="I100">
            <v>0.87983224000000004</v>
          </cell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>
            <v>0.93130204000000005</v>
          </cell>
          <cell r="H101">
            <v>0.92414275000000001</v>
          </cell>
          <cell r="I101">
            <v>0.92962405999999997</v>
          </cell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>
            <v>494.97655530999998</v>
          </cell>
          <cell r="H102">
            <v>493.70228537000003</v>
          </cell>
          <cell r="I102">
            <v>495.02516274999999</v>
          </cell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>
            <v>1517.7250771700001</v>
          </cell>
          <cell r="H106">
            <v>1523.44195599</v>
          </cell>
          <cell r="I106">
            <v>1524.06621236</v>
          </cell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>
            <v>1512.6933507900001</v>
          </cell>
          <cell r="H107">
            <v>1515.92996679</v>
          </cell>
          <cell r="I107">
            <v>1517.5783862876726</v>
          </cell>
          <cell r="J107"/>
          <cell r="K107"/>
        </row>
        <row r="108">
          <cell r="B108" t="str">
            <v>D15E7</v>
          </cell>
          <cell r="C108"/>
          <cell r="D108"/>
          <cell r="E108"/>
          <cell r="F108"/>
          <cell r="G108"/>
          <cell r="H108"/>
          <cell r="I108">
            <v>1519.34405199</v>
          </cell>
          <cell r="J108"/>
          <cell r="K108"/>
        </row>
        <row r="109"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 t="str">
            <v>Bonos Soberanos Dólar Linked - TAMAR</v>
          </cell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/>
          <cell r="C111"/>
          <cell r="D111"/>
          <cell r="E111"/>
          <cell r="F111"/>
          <cell r="G111"/>
          <cell r="H111"/>
          <cell r="I111"/>
          <cell r="J111"/>
          <cell r="K111"/>
        </row>
        <row r="112">
          <cell r="B112" t="str">
            <v>TMVE8</v>
          </cell>
          <cell r="C112">
            <v>1436.15407448</v>
          </cell>
          <cell r="D112">
            <v>1435.2872485299999</v>
          </cell>
          <cell r="E112">
            <v>1439.95640652</v>
          </cell>
          <cell r="F112">
            <v>1444.99797601</v>
          </cell>
          <cell r="G112">
            <v>1447.18070072</v>
          </cell>
          <cell r="H112">
            <v>1445.02764095</v>
          </cell>
          <cell r="I112">
            <v>1451.5325221999999</v>
          </cell>
          <cell r="J112"/>
          <cell r="K112"/>
        </row>
        <row r="113"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 t="str">
            <v>Títulos Provinciales CER</v>
          </cell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</row>
        <row r="116">
          <cell r="B116" t="str">
            <v>COY27</v>
          </cell>
          <cell r="C116">
            <v>2.3437330799999998</v>
          </cell>
          <cell r="D116">
            <v>2.3443107699999999</v>
          </cell>
          <cell r="E116">
            <v>2.3470424200000002</v>
          </cell>
          <cell r="F116">
            <v>2.3526704199999999</v>
          </cell>
          <cell r="G116">
            <v>2.3565880300000002</v>
          </cell>
          <cell r="H116">
            <v>2.3574175899999998</v>
          </cell>
          <cell r="I116">
            <v>2.3589251</v>
          </cell>
          <cell r="J116"/>
          <cell r="K116"/>
        </row>
        <row r="117"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 t="str">
            <v>Títulos Provinciales Tamar</v>
          </cell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</row>
        <row r="120">
          <cell r="B120" t="str">
            <v>CO2D7</v>
          </cell>
          <cell r="C120">
            <v>1.00682308</v>
          </cell>
          <cell r="D120">
            <v>1.011112</v>
          </cell>
          <cell r="E120">
            <v>1.0042496999999999</v>
          </cell>
          <cell r="F120">
            <v>1.0018229299999999</v>
          </cell>
          <cell r="G120">
            <v>1.0054575299999999</v>
          </cell>
          <cell r="H120">
            <v>1.0074071899999999</v>
          </cell>
          <cell r="I120">
            <v>1.0132234899999999</v>
          </cell>
          <cell r="J120"/>
          <cell r="K120"/>
        </row>
        <row r="121"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 t="str">
            <v>Títulos Provinciales Hard USD</v>
          </cell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</row>
        <row r="124">
          <cell r="B124" t="str">
            <v>SJO5D</v>
          </cell>
          <cell r="C124">
            <v>1.0218382500000001</v>
          </cell>
          <cell r="D124">
            <v>1.0340084899999999</v>
          </cell>
          <cell r="E124">
            <v>1.0389999999999999</v>
          </cell>
          <cell r="F124">
            <v>1.0365</v>
          </cell>
          <cell r="G124">
            <v>1.03634497</v>
          </cell>
          <cell r="H124">
            <v>1.03595536</v>
          </cell>
          <cell r="I124">
            <v>1.0355170199999999</v>
          </cell>
          <cell r="J124"/>
          <cell r="K124"/>
        </row>
        <row r="125"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 t="str">
            <v>Títulos Provinciales Hard USD - Contra $</v>
          </cell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</row>
        <row r="128">
          <cell r="B128" t="str">
            <v>SJO35</v>
          </cell>
          <cell r="C128">
            <v>1589.6180757499999</v>
          </cell>
          <cell r="D128">
            <v>1589.1344104899999</v>
          </cell>
          <cell r="E128">
            <v>1591.1037980999999</v>
          </cell>
          <cell r="F128">
            <v>1592.1</v>
          </cell>
          <cell r="G128">
            <v>1592.02612417</v>
          </cell>
          <cell r="H128">
            <v>1603.0854982799999</v>
          </cell>
          <cell r="I128">
            <v>1602.6</v>
          </cell>
          <cell r="J128"/>
          <cell r="K128"/>
        </row>
        <row r="129"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 t="str">
            <v>Obligaciones Negociables Badlar</v>
          </cell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</row>
        <row r="132">
          <cell r="B132" t="str">
            <v>CH9BO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/>
          <cell r="K132"/>
        </row>
        <row r="133">
          <cell r="B133" t="str">
            <v>DRSEO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/>
          <cell r="K133"/>
        </row>
        <row r="134">
          <cell r="B134" t="str">
            <v>DRDCO</v>
          </cell>
          <cell r="C134">
            <v>1.0000000000000001E-9</v>
          </cell>
          <cell r="D134">
            <v>1.0000000000000001E-9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/>
          <cell r="K134"/>
        </row>
        <row r="135">
          <cell r="B135"/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 t="str">
            <v>Obligaciones Negociables Tamar</v>
          </cell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/>
          <cell r="C137"/>
          <cell r="D137"/>
          <cell r="E137"/>
          <cell r="F137"/>
          <cell r="G137"/>
          <cell r="H137"/>
          <cell r="I137"/>
          <cell r="J137"/>
          <cell r="K137"/>
        </row>
        <row r="138">
          <cell r="B138" t="str">
            <v>IP11P</v>
          </cell>
          <cell r="C138">
            <v>0.72347819999999996</v>
          </cell>
          <cell r="D138">
            <v>0.72350983999999996</v>
          </cell>
          <cell r="E138">
            <v>0.72354353999999999</v>
          </cell>
          <cell r="F138">
            <v>0.72539081999999999</v>
          </cell>
          <cell r="G138">
            <v>0.7248464</v>
          </cell>
          <cell r="H138">
            <v>0.72521009000000003</v>
          </cell>
          <cell r="I138">
            <v>0.72579167</v>
          </cell>
          <cell r="J138"/>
          <cell r="K138"/>
        </row>
        <row r="139">
          <cell r="B139" t="str">
            <v>LMS1P</v>
          </cell>
          <cell r="C139">
            <v>0.52572383</v>
          </cell>
          <cell r="D139">
            <v>0.52565543000000003</v>
          </cell>
          <cell r="E139">
            <v>0.52558945999999995</v>
          </cell>
          <cell r="F139">
            <v>0.52710683999999997</v>
          </cell>
          <cell r="G139">
            <v>0.52641916</v>
          </cell>
          <cell r="H139">
            <v>0.52666712999999998</v>
          </cell>
          <cell r="I139">
            <v>0.52713072999999999</v>
          </cell>
          <cell r="J139"/>
          <cell r="K139"/>
        </row>
        <row r="140">
          <cell r="B140" t="str">
            <v>PES1L</v>
          </cell>
          <cell r="C140">
            <v>0.75859759000000004</v>
          </cell>
          <cell r="D140">
            <v>0.75848504000000005</v>
          </cell>
          <cell r="E140">
            <v>0.75841413000000002</v>
          </cell>
          <cell r="F140">
            <v>0.76078657999999999</v>
          </cell>
          <cell r="G140">
            <v>0.75923313000000003</v>
          </cell>
          <cell r="H140">
            <v>0.75964491999999995</v>
          </cell>
          <cell r="I140">
            <v>0.76033709000000005</v>
          </cell>
          <cell r="J140"/>
          <cell r="K140"/>
        </row>
        <row r="141">
          <cell r="B141" t="str">
            <v>FSS1L</v>
          </cell>
          <cell r="C141">
            <v>0.79584991999999999</v>
          </cell>
          <cell r="D141">
            <v>0.79578269999999995</v>
          </cell>
          <cell r="E141">
            <v>0.79576190999999996</v>
          </cell>
          <cell r="F141">
            <v>0.79822181000000003</v>
          </cell>
          <cell r="G141">
            <v>0.79655374000000001</v>
          </cell>
          <cell r="H141">
            <v>0.79700146999999999</v>
          </cell>
          <cell r="I141">
            <v>0.79770914999999998</v>
          </cell>
          <cell r="J141"/>
          <cell r="K141"/>
        </row>
        <row r="142">
          <cell r="B142" t="str">
            <v>DJS1L</v>
          </cell>
          <cell r="C142">
            <v>0.77332666999999999</v>
          </cell>
          <cell r="D142">
            <v>0.77325524999999995</v>
          </cell>
          <cell r="E142">
            <v>0.77325999000000001</v>
          </cell>
          <cell r="F142">
            <v>0.77590689999999995</v>
          </cell>
          <cell r="G142">
            <v>0.77356179000000003</v>
          </cell>
          <cell r="H142">
            <v>0.77404083000000001</v>
          </cell>
          <cell r="I142">
            <v>0.77474957</v>
          </cell>
          <cell r="J142"/>
          <cell r="K142"/>
        </row>
        <row r="143">
          <cell r="B143" t="str">
            <v>CZ11L</v>
          </cell>
          <cell r="C143">
            <v>1.0553835</v>
          </cell>
          <cell r="D143">
            <v>1.05528574</v>
          </cell>
          <cell r="E143">
            <v>1.0552803500000001</v>
          </cell>
          <cell r="F143">
            <v>1.0588335099999999</v>
          </cell>
          <cell r="G143">
            <v>1.0557977000000001</v>
          </cell>
          <cell r="H143">
            <v>1.0564358199999999</v>
          </cell>
          <cell r="I143">
            <v>1.0574014899999999</v>
          </cell>
          <cell r="J143"/>
          <cell r="K143"/>
        </row>
        <row r="144">
          <cell r="B144" t="str">
            <v>AKS1L</v>
          </cell>
          <cell r="C144">
            <v>1.03270832</v>
          </cell>
          <cell r="D144">
            <v>1.03269403</v>
          </cell>
          <cell r="E144">
            <v>1.0328490699999999</v>
          </cell>
          <cell r="F144">
            <v>1.0365567</v>
          </cell>
          <cell r="G144">
            <v>1.03261969</v>
          </cell>
          <cell r="H144">
            <v>1.0333768999999999</v>
          </cell>
          <cell r="I144">
            <v>1.03431655</v>
          </cell>
          <cell r="J144"/>
          <cell r="K144"/>
        </row>
        <row r="145">
          <cell r="B145" t="str">
            <v>SQS1L</v>
          </cell>
          <cell r="C145">
            <v>1.0404317000000001</v>
          </cell>
          <cell r="D145">
            <v>1.04066057</v>
          </cell>
          <cell r="E145">
            <v>1.0409950400000001</v>
          </cell>
          <cell r="F145">
            <v>1.0447749799999999</v>
          </cell>
          <cell r="G145">
            <v>1.04042173</v>
          </cell>
          <cell r="H145">
            <v>1.0411433400000001</v>
          </cell>
          <cell r="I145">
            <v>1.04199723</v>
          </cell>
          <cell r="J145"/>
          <cell r="K145"/>
        </row>
        <row r="146">
          <cell r="B146" t="str">
            <v>CHS1L</v>
          </cell>
          <cell r="C146">
            <v>1.0380264100000001</v>
          </cell>
          <cell r="D146">
            <v>1.0385156</v>
          </cell>
          <cell r="E146">
            <v>1.0391166999999999</v>
          </cell>
          <cell r="F146">
            <v>1.04295012</v>
          </cell>
          <cell r="G146">
            <v>1.0379155</v>
          </cell>
          <cell r="H146">
            <v>1.03869111</v>
          </cell>
          <cell r="I146">
            <v>1.03946871</v>
          </cell>
          <cell r="J146"/>
          <cell r="K146"/>
        </row>
        <row r="147">
          <cell r="B147" t="str">
            <v>GES2L</v>
          </cell>
          <cell r="C147">
            <v>1.01313042</v>
          </cell>
          <cell r="D147">
            <v>1.0138199000000001</v>
          </cell>
          <cell r="E147">
            <v>1.01455333</v>
          </cell>
          <cell r="F147">
            <v>1.0184451999999999</v>
          </cell>
          <cell r="G147">
            <v>1.0128592000000001</v>
          </cell>
          <cell r="H147">
            <v>1.0135879999999999</v>
          </cell>
          <cell r="I147">
            <v>1.01427277</v>
          </cell>
          <cell r="J147"/>
          <cell r="K147"/>
        </row>
        <row r="148">
          <cell r="B148" t="str">
            <v>AKS2L</v>
          </cell>
          <cell r="C148">
            <v>1.0210932500000001</v>
          </cell>
          <cell r="D148">
            <v>1.02183008</v>
          </cell>
          <cell r="E148">
            <v>1.0225688900000001</v>
          </cell>
          <cell r="F148">
            <v>1.0265210899999999</v>
          </cell>
          <cell r="G148">
            <v>1.0207893299999999</v>
          </cell>
          <cell r="H148">
            <v>1.02147864</v>
          </cell>
          <cell r="I148">
            <v>1.0221611100000001</v>
          </cell>
          <cell r="J148"/>
          <cell r="K148"/>
        </row>
        <row r="149">
          <cell r="B149" t="str">
            <v>SXC5O</v>
          </cell>
          <cell r="C149">
            <v>1.0416804399999999</v>
          </cell>
          <cell r="D149">
            <v>1.04211338</v>
          </cell>
          <cell r="E149">
            <v>1.0427256</v>
          </cell>
          <cell r="F149">
            <v>1.04508752</v>
          </cell>
          <cell r="G149">
            <v>1.04565635</v>
          </cell>
          <cell r="H149">
            <v>1.0463433600000001</v>
          </cell>
          <cell r="I149">
            <v>1.04716784</v>
          </cell>
          <cell r="J149"/>
          <cell r="K149"/>
        </row>
        <row r="150">
          <cell r="B150" t="str">
            <v>BF38O</v>
          </cell>
          <cell r="C150">
            <v>1.0427479399999999</v>
          </cell>
          <cell r="D150">
            <v>1.0431640799999999</v>
          </cell>
          <cell r="E150">
            <v>1.0437741599999999</v>
          </cell>
          <cell r="F150">
            <v>1.04614922</v>
          </cell>
          <cell r="G150">
            <v>1.0467120999999999</v>
          </cell>
          <cell r="H150">
            <v>1.04740017</v>
          </cell>
          <cell r="I150">
            <v>1.04823183</v>
          </cell>
          <cell r="J150"/>
          <cell r="K150"/>
        </row>
        <row r="151">
          <cell r="B151" t="str">
            <v>RC3CO</v>
          </cell>
          <cell r="C151">
            <v>1.0229330299999999</v>
          </cell>
          <cell r="D151">
            <v>1.0231831199999999</v>
          </cell>
          <cell r="E151">
            <v>1.0237667399999999</v>
          </cell>
          <cell r="F151">
            <v>1.02617626</v>
          </cell>
          <cell r="G151">
            <v>1.0266301200000001</v>
          </cell>
          <cell r="H151">
            <v>1.02728654</v>
          </cell>
          <cell r="I151">
            <v>1.02817599</v>
          </cell>
          <cell r="J151"/>
          <cell r="K151"/>
        </row>
        <row r="152">
          <cell r="B152" t="str">
            <v>SXC3O</v>
          </cell>
          <cell r="C152">
            <v>1.0418843600000001</v>
          </cell>
          <cell r="D152">
            <v>1.0418474499999999</v>
          </cell>
          <cell r="E152">
            <v>1.0426073899999999</v>
          </cell>
          <cell r="F152">
            <v>1.04507686</v>
          </cell>
          <cell r="G152">
            <v>1.0454507500000001</v>
          </cell>
          <cell r="H152">
            <v>1.04620096</v>
          </cell>
          <cell r="I152">
            <v>1.0472319000000001</v>
          </cell>
          <cell r="J152"/>
          <cell r="K152"/>
        </row>
        <row r="153">
          <cell r="B153" t="str">
            <v>RC4CO</v>
          </cell>
          <cell r="C153">
            <v>1.0399309699999999</v>
          </cell>
          <cell r="D153">
            <v>1.0398908</v>
          </cell>
          <cell r="E153">
            <v>1.0406574900000001</v>
          </cell>
          <cell r="F153">
            <v>1.04311697</v>
          </cell>
          <cell r="G153">
            <v>1.0434868399999999</v>
          </cell>
          <cell r="H153">
            <v>1.0442368399999999</v>
          </cell>
          <cell r="I153">
            <v>1.04526896</v>
          </cell>
          <cell r="J153"/>
          <cell r="K153"/>
        </row>
        <row r="154">
          <cell r="B154" t="str">
            <v>BF41O</v>
          </cell>
          <cell r="C154">
            <v>1.0326270399999999</v>
          </cell>
          <cell r="D154">
            <v>1.03256036</v>
          </cell>
          <cell r="E154">
            <v>1.0333524999999999</v>
          </cell>
          <cell r="F154">
            <v>1.0357871299999999</v>
          </cell>
          <cell r="G154">
            <v>1.03615656</v>
          </cell>
          <cell r="H154">
            <v>1.0369198900000001</v>
          </cell>
          <cell r="I154">
            <v>1.0379537700000001</v>
          </cell>
          <cell r="J154"/>
          <cell r="K154"/>
        </row>
        <row r="155">
          <cell r="B155" t="str">
            <v>ICC5O</v>
          </cell>
          <cell r="C155">
            <v>1.02720042</v>
          </cell>
          <cell r="D155">
            <v>1.0249474700000001</v>
          </cell>
          <cell r="E155">
            <v>1.0276000000000001</v>
          </cell>
          <cell r="F155">
            <v>1.0298</v>
          </cell>
          <cell r="G155">
            <v>1.0298</v>
          </cell>
          <cell r="H155">
            <v>1.0314787700000001</v>
          </cell>
          <cell r="I155">
            <v>1.0325156799999999</v>
          </cell>
          <cell r="J155"/>
          <cell r="K155"/>
        </row>
        <row r="156">
          <cell r="B156" t="str">
            <v>BNCXO</v>
          </cell>
          <cell r="C156">
            <v>1.0585499</v>
          </cell>
          <cell r="D156">
            <v>1.05843607</v>
          </cell>
          <cell r="E156">
            <v>1.0595428499999999</v>
          </cell>
          <cell r="F156">
            <v>1.0618552000000001</v>
          </cell>
          <cell r="G156">
            <v>1.06227867</v>
          </cell>
          <cell r="H156">
            <v>1.06318764</v>
          </cell>
          <cell r="I156">
            <v>1.0642838299999999</v>
          </cell>
          <cell r="J156"/>
          <cell r="K156"/>
        </row>
        <row r="157">
          <cell r="B157" t="str">
            <v>NZC1O</v>
          </cell>
          <cell r="C157">
            <v>1.05490405</v>
          </cell>
          <cell r="D157">
            <v>1.05477927</v>
          </cell>
          <cell r="E157">
            <v>1.0559662299999999</v>
          </cell>
          <cell r="F157">
            <v>1.0582192100000001</v>
          </cell>
          <cell r="G157">
            <v>1.0586518199999999</v>
          </cell>
          <cell r="H157">
            <v>1.0595915600000001</v>
          </cell>
          <cell r="I157">
            <v>1.0603</v>
          </cell>
          <cell r="J157"/>
          <cell r="K157"/>
        </row>
        <row r="158">
          <cell r="B158" t="str">
            <v>SXC6O</v>
          </cell>
          <cell r="C158">
            <v>1.0409401199999999</v>
          </cell>
          <cell r="D158">
            <v>1.0408089199999999</v>
          </cell>
          <cell r="E158">
            <v>1.04203168</v>
          </cell>
          <cell r="F158">
            <v>1.04422477</v>
          </cell>
          <cell r="G158">
            <v>1.04466057</v>
          </cell>
          <cell r="H158">
            <v>1.0456105600000001</v>
          </cell>
          <cell r="I158">
            <v>1.0466868</v>
          </cell>
          <cell r="J158"/>
          <cell r="K158"/>
        </row>
        <row r="159">
          <cell r="B159" t="str">
            <v>BF46O</v>
          </cell>
          <cell r="C159">
            <v>1.0401907500000001</v>
          </cell>
          <cell r="D159">
            <v>1.0400550900000001</v>
          </cell>
          <cell r="E159">
            <v>1.04129808</v>
          </cell>
          <cell r="F159">
            <v>1.0434783599999999</v>
          </cell>
          <cell r="G159">
            <v>1.04391839</v>
          </cell>
          <cell r="H159">
            <v>1.0448779500000001</v>
          </cell>
          <cell r="I159">
            <v>1.0459547199999999</v>
          </cell>
          <cell r="J159"/>
          <cell r="K159"/>
        </row>
        <row r="160">
          <cell r="B160" t="str">
            <v>ICC7O</v>
          </cell>
          <cell r="C160">
            <v>1.0188102699999999</v>
          </cell>
          <cell r="D160">
            <v>1.0186833900000001</v>
          </cell>
          <cell r="E160">
            <v>1.0201025399999999</v>
          </cell>
          <cell r="F160">
            <v>1.0221022900000001</v>
          </cell>
          <cell r="G160">
            <v>1.0225680399999999</v>
          </cell>
          <cell r="H160">
            <v>1.02358441</v>
          </cell>
          <cell r="I160">
            <v>1.0246410699999999</v>
          </cell>
          <cell r="J160"/>
          <cell r="K160"/>
        </row>
        <row r="161">
          <cell r="B161" t="str">
            <v>BNCYO</v>
          </cell>
          <cell r="C161">
            <v>1.01419393</v>
          </cell>
          <cell r="D161">
            <v>1.01407077</v>
          </cell>
          <cell r="E161">
            <v>1.01553128</v>
          </cell>
          <cell r="F161">
            <v>1.0174897199999999</v>
          </cell>
          <cell r="G161">
            <v>1.0179630500000001</v>
          </cell>
          <cell r="H161">
            <v>1.0189932900000001</v>
          </cell>
          <cell r="I161">
            <v>1.0200445499999999</v>
          </cell>
          <cell r="J161"/>
          <cell r="K161"/>
        </row>
        <row r="162">
          <cell r="B162" t="str">
            <v>BYY1O</v>
          </cell>
          <cell r="C162">
            <v>1.02799375</v>
          </cell>
          <cell r="D162">
            <v>1.02785967</v>
          </cell>
          <cell r="E162">
            <v>1.0292133800000001</v>
          </cell>
          <cell r="F162">
            <v>1.03128552</v>
          </cell>
          <cell r="G162">
            <v>1.0317423999999999</v>
          </cell>
          <cell r="H162">
            <v>1.03273975</v>
          </cell>
          <cell r="I162">
            <v>1.03380619</v>
          </cell>
          <cell r="J162"/>
          <cell r="K162"/>
        </row>
        <row r="163">
          <cell r="B163" t="str">
            <v>BF47O</v>
          </cell>
          <cell r="C163">
            <v>1.0242925300000001</v>
          </cell>
          <cell r="D163">
            <v>1.0241639899999999</v>
          </cell>
          <cell r="E163">
            <v>1.02553563</v>
          </cell>
          <cell r="F163">
            <v>1.02758186</v>
          </cell>
          <cell r="G163">
            <v>1.028038</v>
          </cell>
          <cell r="H163">
            <v>1.0290370600000001</v>
          </cell>
          <cell r="I163">
            <v>1.03009971</v>
          </cell>
          <cell r="J163"/>
          <cell r="K163"/>
        </row>
        <row r="164">
          <cell r="B164" t="str">
            <v>NZC4O</v>
          </cell>
          <cell r="C164">
            <v>0.99809844000000003</v>
          </cell>
          <cell r="D164">
            <v>0.99909999999999999</v>
          </cell>
          <cell r="E164">
            <v>0.99960552000000003</v>
          </cell>
          <cell r="F164">
            <v>1.002</v>
          </cell>
          <cell r="G164">
            <v>1.0019171899999999</v>
          </cell>
          <cell r="H164">
            <v>1.0029964099999999</v>
          </cell>
          <cell r="I164">
            <v>1.0058</v>
          </cell>
          <cell r="J164"/>
          <cell r="K164"/>
        </row>
        <row r="165">
          <cell r="B165" t="str">
            <v>SXC8O</v>
          </cell>
          <cell r="C165">
            <v>1.04262736</v>
          </cell>
          <cell r="D165">
            <v>1.04262557</v>
          </cell>
          <cell r="E165">
            <v>1.0445905</v>
          </cell>
          <cell r="F165">
            <v>1.0462603100000001</v>
          </cell>
          <cell r="G165">
            <v>1.0468617099999999</v>
          </cell>
          <cell r="H165">
            <v>1.04808196</v>
          </cell>
          <cell r="I165">
            <v>1.0491191</v>
          </cell>
          <cell r="J165"/>
          <cell r="K165"/>
        </row>
        <row r="166">
          <cell r="B166" t="str">
            <v>PWC1O</v>
          </cell>
          <cell r="C166">
            <v>1.0206278499999999</v>
          </cell>
          <cell r="D166">
            <v>1.02066981</v>
          </cell>
          <cell r="E166">
            <v>1.0228161899999999</v>
          </cell>
          <cell r="F166">
            <v>1.0254000000000001</v>
          </cell>
          <cell r="G166">
            <v>1.0249362200000001</v>
          </cell>
          <cell r="H166">
            <v>1.02620775</v>
          </cell>
          <cell r="I166">
            <v>1.02720604</v>
          </cell>
          <cell r="J166"/>
          <cell r="K166"/>
        </row>
        <row r="167">
          <cell r="B167" t="str">
            <v>T661O</v>
          </cell>
          <cell r="C167">
            <v>1.0376017399999999</v>
          </cell>
          <cell r="D167">
            <v>1.03810056</v>
          </cell>
          <cell r="E167">
            <v>1.0384274099999999</v>
          </cell>
          <cell r="F167">
            <v>1.0409014700000001</v>
          </cell>
          <cell r="G167">
            <v>1.0415809899999999</v>
          </cell>
          <cell r="H167">
            <v>1.0421946900000001</v>
          </cell>
          <cell r="I167">
            <v>1.0467</v>
          </cell>
          <cell r="J167"/>
          <cell r="K167"/>
        </row>
        <row r="168">
          <cell r="B168" t="str">
            <v>PS35O</v>
          </cell>
          <cell r="C168">
            <v>1.0218905899999999</v>
          </cell>
          <cell r="D168">
            <v>1.0223061499999999</v>
          </cell>
          <cell r="E168">
            <v>1.0225028300000001</v>
          </cell>
          <cell r="F168">
            <v>1.02502596</v>
          </cell>
          <cell r="G168">
            <v>1.0257151200000001</v>
          </cell>
          <cell r="H168">
            <v>1.02629226</v>
          </cell>
          <cell r="I168">
            <v>1.0271059499999999</v>
          </cell>
          <cell r="J168"/>
          <cell r="K168"/>
        </row>
        <row r="169">
          <cell r="B169" t="str">
            <v>T671O</v>
          </cell>
          <cell r="C169">
            <v>1.0462758299999999</v>
          </cell>
          <cell r="D169">
            <v>1.0467737100000001</v>
          </cell>
          <cell r="E169">
            <v>1.0468067700000001</v>
          </cell>
          <cell r="F169">
            <v>1.04922439</v>
          </cell>
          <cell r="G169">
            <v>1.0504493399999999</v>
          </cell>
          <cell r="H169">
            <v>1.0511174400000001</v>
          </cell>
          <cell r="I169">
            <v>1.0518825999999999</v>
          </cell>
          <cell r="J169"/>
          <cell r="K169"/>
        </row>
        <row r="170">
          <cell r="B170" t="str">
            <v>PVC6O</v>
          </cell>
          <cell r="C170">
            <v>1.0291127200000001</v>
          </cell>
          <cell r="D170">
            <v>1.0296504200000001</v>
          </cell>
          <cell r="E170">
            <v>1.0297029099999999</v>
          </cell>
          <cell r="F170">
            <v>1.0320201499999999</v>
          </cell>
          <cell r="G170">
            <v>1.03330031</v>
          </cell>
          <cell r="H170">
            <v>1.03397513</v>
          </cell>
          <cell r="I170">
            <v>1.03470554</v>
          </cell>
          <cell r="J170"/>
          <cell r="K170"/>
        </row>
        <row r="171">
          <cell r="B171" t="str">
            <v>DHSLO</v>
          </cell>
          <cell r="C171">
            <v>1.0337551899999999</v>
          </cell>
          <cell r="D171">
            <v>1.0343106</v>
          </cell>
          <cell r="E171">
            <v>1.0355306799999999</v>
          </cell>
          <cell r="F171">
            <v>1.0377476800000001</v>
          </cell>
          <cell r="G171">
            <v>1.0386238800000001</v>
          </cell>
          <cell r="H171">
            <v>1.03934097</v>
          </cell>
          <cell r="I171">
            <v>1.0401437200000001</v>
          </cell>
          <cell r="J171"/>
          <cell r="K171"/>
        </row>
        <row r="172">
          <cell r="B172" t="str">
            <v>DEC3O</v>
          </cell>
          <cell r="C172">
            <v>1.00978598</v>
          </cell>
          <cell r="D172">
            <v>1.0104558699999999</v>
          </cell>
          <cell r="E172">
            <v>1.0119178799999999</v>
          </cell>
          <cell r="F172">
            <v>1.01386971</v>
          </cell>
          <cell r="G172">
            <v>1.0148490699999999</v>
          </cell>
          <cell r="H172">
            <v>1.0156047800000001</v>
          </cell>
          <cell r="I172">
            <v>1.0163267499999999</v>
          </cell>
          <cell r="J172"/>
          <cell r="K172"/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 t="str">
            <v>Obligaciones Negociables Tasa Fija - Tamar</v>
          </cell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</row>
        <row r="176">
          <cell r="B176" t="str">
            <v>DHSNO</v>
          </cell>
          <cell r="C176">
            <v>1.04151094</v>
          </cell>
          <cell r="D176">
            <v>1.0423825200000001</v>
          </cell>
          <cell r="E176">
            <v>1.044184</v>
          </cell>
          <cell r="F176">
            <v>1.0459506700000001</v>
          </cell>
          <cell r="G176">
            <v>1.0470983199999999</v>
          </cell>
          <cell r="H176">
            <v>1.04794593</v>
          </cell>
          <cell r="I176">
            <v>1.04860872</v>
          </cell>
          <cell r="J176"/>
          <cell r="K176"/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 t="str">
            <v>Obligaciones Negociables UVA</v>
          </cell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</row>
        <row r="180">
          <cell r="B180" t="str">
            <v>NZC3O</v>
          </cell>
          <cell r="C180">
            <v>2116.3930080199998</v>
          </cell>
          <cell r="D180">
            <v>2113.8288562500002</v>
          </cell>
          <cell r="E180">
            <v>2118.5280772699998</v>
          </cell>
          <cell r="F180">
            <v>2121.5238482999998</v>
          </cell>
          <cell r="G180">
            <v>2126.46305231</v>
          </cell>
          <cell r="H180">
            <v>2128.99918183</v>
          </cell>
          <cell r="I180">
            <v>2131.8126235999998</v>
          </cell>
          <cell r="J180"/>
          <cell r="K180"/>
        </row>
        <row r="181">
          <cell r="B181" t="str">
            <v>COC5O</v>
          </cell>
          <cell r="C181">
            <v>2141.0043724500001</v>
          </cell>
          <cell r="D181">
            <v>2140.5396022999998</v>
          </cell>
          <cell r="E181">
            <v>2146.28289739</v>
          </cell>
          <cell r="F181">
            <v>2149.3259518099999</v>
          </cell>
          <cell r="G181">
            <v>2154.7996356600001</v>
          </cell>
          <cell r="H181">
            <v>2155.6484827700001</v>
          </cell>
          <cell r="I181">
            <v>2159.3362366800002</v>
          </cell>
          <cell r="J181"/>
          <cell r="K181"/>
        </row>
        <row r="182">
          <cell r="B182" t="str">
            <v>SNSDP</v>
          </cell>
          <cell r="C182">
            <v>728.29265477000001</v>
          </cell>
          <cell r="D182">
            <v>728.78515178999999</v>
          </cell>
          <cell r="E182">
            <v>729.26271441999995</v>
          </cell>
          <cell r="F182">
            <v>729.89396164000004</v>
          </cell>
          <cell r="G182">
            <v>730.44239306999998</v>
          </cell>
          <cell r="H182">
            <v>732.14212930999997</v>
          </cell>
          <cell r="I182">
            <v>732.58115440999995</v>
          </cell>
          <cell r="J182"/>
          <cell r="K182"/>
        </row>
        <row r="183"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 t="str">
            <v>Obligaciones Negociables Hard USD - LA</v>
          </cell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</row>
        <row r="186">
          <cell r="B186" t="str">
            <v>VE2LD</v>
          </cell>
          <cell r="C186">
            <v>0.99514579999999997</v>
          </cell>
          <cell r="D186">
            <v>0.99501465</v>
          </cell>
          <cell r="E186">
            <v>0.99539613999999998</v>
          </cell>
          <cell r="F186">
            <v>0.99684158</v>
          </cell>
          <cell r="G186">
            <v>0.99599216000000002</v>
          </cell>
          <cell r="H186">
            <v>0.99661312999999996</v>
          </cell>
          <cell r="I186">
            <v>0.99459571999999996</v>
          </cell>
          <cell r="J186"/>
          <cell r="K186"/>
        </row>
        <row r="187">
          <cell r="B187" t="str">
            <v>NA1LD</v>
          </cell>
          <cell r="C187">
            <v>0.97171328999999995</v>
          </cell>
          <cell r="D187">
            <v>0.97134748000000004</v>
          </cell>
          <cell r="E187">
            <v>0.97145917000000004</v>
          </cell>
          <cell r="F187">
            <v>0.97331555999999997</v>
          </cell>
          <cell r="G187">
            <v>0.97254032000000001</v>
          </cell>
          <cell r="H187">
            <v>0.97315472999999997</v>
          </cell>
          <cell r="I187">
            <v>0.970916</v>
          </cell>
          <cell r="J187"/>
          <cell r="K187"/>
        </row>
        <row r="188">
          <cell r="B188" t="str">
            <v>OR1LD</v>
          </cell>
          <cell r="C188">
            <v>0.98406587999999995</v>
          </cell>
          <cell r="D188">
            <v>0.98376483000000003</v>
          </cell>
          <cell r="E188">
            <v>0.98370358000000002</v>
          </cell>
          <cell r="F188">
            <v>0.98546233000000005</v>
          </cell>
          <cell r="G188">
            <v>0.98491786999999997</v>
          </cell>
          <cell r="H188">
            <v>0.98541674000000001</v>
          </cell>
          <cell r="I188">
            <v>0.98335154000000002</v>
          </cell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>
            <v>1.0297530500000001</v>
          </cell>
          <cell r="H189">
            <v>1.0298449300000001</v>
          </cell>
          <cell r="I189">
            <v>1.034</v>
          </cell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>
            <v>1.0230112600000001</v>
          </cell>
          <cell r="H190">
            <v>1.02313495</v>
          </cell>
          <cell r="I190">
            <v>1.02313086</v>
          </cell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>
            <v>1.0034311</v>
          </cell>
          <cell r="H191">
            <v>1.0036282299999999</v>
          </cell>
          <cell r="I191">
            <v>1.00365989</v>
          </cell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>
            <v>1.02394612</v>
          </cell>
          <cell r="H192">
            <v>1.0184797000000001</v>
          </cell>
          <cell r="I192">
            <v>1.0235465100000001</v>
          </cell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>
            <v>1.02277759</v>
          </cell>
          <cell r="H193">
            <v>1.0231621399999999</v>
          </cell>
          <cell r="I193">
            <v>1.0224098800000001</v>
          </cell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>
            <v>1.04277818</v>
          </cell>
          <cell r="H194">
            <v>1.0432568600000001</v>
          </cell>
          <cell r="I194">
            <v>1.0420575700000001</v>
          </cell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>
            <v>1.0439805099999999</v>
          </cell>
          <cell r="H195">
            <v>1.04442784</v>
          </cell>
          <cell r="I195">
            <v>1.02071768</v>
          </cell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>
            <v>1.0010363900000001</v>
          </cell>
          <cell r="H196">
            <v>1.00153783</v>
          </cell>
          <cell r="I196">
            <v>1.0002198099999999</v>
          </cell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>
            <v>1.03129077</v>
          </cell>
          <cell r="H197">
            <v>1.0318191299999999</v>
          </cell>
          <cell r="I197">
            <v>1.0304092300000001</v>
          </cell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>
            <v>1.01421728</v>
          </cell>
          <cell r="H198">
            <v>1.0147685099999999</v>
          </cell>
          <cell r="I198">
            <v>1.0132486999999999</v>
          </cell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>
            <v>1.0091994099999999</v>
          </cell>
          <cell r="H199">
            <v>1.00980103</v>
          </cell>
          <cell r="I199">
            <v>1.0080507000000001</v>
          </cell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>
            <v>1.02112534</v>
          </cell>
          <cell r="H200">
            <v>1.02176494</v>
          </cell>
          <cell r="I200">
            <v>1.01984476</v>
          </cell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>
            <v>1.03030591</v>
          </cell>
          <cell r="H201">
            <v>1.0309501700000001</v>
          </cell>
          <cell r="I201">
            <v>1.02900003</v>
          </cell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>
            <v>1.0444626699999999</v>
          </cell>
          <cell r="H202">
            <v>1.0452104099999999</v>
          </cell>
          <cell r="I202">
            <v>1.0426503899999999</v>
          </cell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>
            <v>1.04896955</v>
          </cell>
          <cell r="H203">
            <v>1.04974926</v>
          </cell>
          <cell r="I203">
            <v>1.04672505</v>
          </cell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>
            <v>1.0220011099999999</v>
          </cell>
          <cell r="H204">
            <v>1.0227596800000001</v>
          </cell>
          <cell r="I204">
            <v>1.01977213</v>
          </cell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>
            <v>1.0508695800000001</v>
          </cell>
          <cell r="H205">
            <v>1.05154569</v>
          </cell>
          <cell r="I205">
            <v>1.0483145899999999</v>
          </cell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>
            <v>1.06731401</v>
          </cell>
          <cell r="H206">
            <v>1.0678835600000001</v>
          </cell>
          <cell r="I206">
            <v>1.06449729</v>
          </cell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>
            <v>1.01809148</v>
          </cell>
          <cell r="H207">
            <v>1.0186890500000001</v>
          </cell>
          <cell r="I207">
            <v>1.0200000499999999</v>
          </cell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>
            <v>1.0114439099999999</v>
          </cell>
          <cell r="H208">
            <v>1.0120206199999999</v>
          </cell>
          <cell r="I208">
            <v>1.00885077</v>
          </cell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>
            <v>1.0435559999999999</v>
          </cell>
          <cell r="H209">
            <v>1.0440526299999999</v>
          </cell>
          <cell r="I209">
            <v>1.04091304</v>
          </cell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>
            <v>1.032491</v>
          </cell>
          <cell r="H210">
            <v>1.0328472099999999</v>
          </cell>
          <cell r="I210">
            <v>1.02980095</v>
          </cell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>
            <v>1.06048422</v>
          </cell>
          <cell r="H211">
            <v>1.0539998900000001</v>
          </cell>
          <cell r="I211">
            <v>1.0579604300000001</v>
          </cell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>
            <v>1.0501113399999999</v>
          </cell>
          <cell r="H212">
            <v>1.0474964200000001</v>
          </cell>
          <cell r="I212">
            <v>1.0475329200000001</v>
          </cell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>
            <v>1.0264854400000001</v>
          </cell>
          <cell r="H213">
            <v>1.0266827300000001</v>
          </cell>
          <cell r="I213">
            <v>1.02396932</v>
          </cell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>
            <v>1.0694583900000001</v>
          </cell>
          <cell r="H214">
            <v>1.0693014599999999</v>
          </cell>
          <cell r="I214">
            <v>1.0671648499999999</v>
          </cell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>
            <v>1.0076934799999999</v>
          </cell>
          <cell r="H215">
            <v>1.0083714699999999</v>
          </cell>
          <cell r="I215">
            <v>1.0085868899999999</v>
          </cell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>
            <v>1.0679410499999999</v>
          </cell>
          <cell r="H216">
            <v>1.06868612</v>
          </cell>
          <cell r="I216">
            <v>1.06545702</v>
          </cell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>
            <v>1.0600206999999999</v>
          </cell>
          <cell r="H217">
            <v>1.0605466400000001</v>
          </cell>
          <cell r="I217">
            <v>1.04999485</v>
          </cell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>
            <v>1.0223595700000001</v>
          </cell>
          <cell r="H218">
            <v>1.02305286</v>
          </cell>
          <cell r="I218">
            <v>1.0232713099999999</v>
          </cell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>
            <v>0.99677959999999999</v>
          </cell>
          <cell r="H219">
            <v>0.99786176999999998</v>
          </cell>
          <cell r="I219">
            <v>0.99789826000000004</v>
          </cell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>
            <v>1.0167450099999999</v>
          </cell>
          <cell r="H220">
            <v>1.01863572</v>
          </cell>
          <cell r="I220">
            <v>1.0180300600000001</v>
          </cell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>
            <v>1.00859896</v>
          </cell>
          <cell r="H221">
            <v>1.0114374399999999</v>
          </cell>
          <cell r="I221">
            <v>1.0103567</v>
          </cell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  <cell r="H222">
            <v>9.9999999999999995E-8</v>
          </cell>
          <cell r="I222">
            <v>9.9999999999999995E-8</v>
          </cell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>
            <v>1574.8629405199999</v>
          </cell>
          <cell r="H226">
            <v>1569.33062559</v>
          </cell>
          <cell r="I226">
            <v>1575.80929756</v>
          </cell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>
            <v>1545.6035540099999</v>
          </cell>
          <cell r="H227">
            <v>1537.4229000800001</v>
          </cell>
          <cell r="I227">
            <v>1543.19189151</v>
          </cell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>
            <v>1568.1049487800001</v>
          </cell>
          <cell r="H228">
            <v>1559.3072738000001</v>
          </cell>
          <cell r="I228">
            <v>1564.5936110499999</v>
          </cell>
          <cell r="J228"/>
          <cell r="K228"/>
        </row>
        <row r="229">
          <cell r="B229" t="str">
            <v>BYCWO</v>
          </cell>
          <cell r="C229">
            <v>1590</v>
          </cell>
          <cell r="D229">
            <v>1593</v>
          </cell>
          <cell r="E229">
            <v>1576.06733891</v>
          </cell>
          <cell r="F229">
            <v>1589</v>
          </cell>
          <cell r="G229">
            <v>1589.22083576</v>
          </cell>
          <cell r="H229">
            <v>1592</v>
          </cell>
          <cell r="I229">
            <v>1597</v>
          </cell>
          <cell r="J229"/>
          <cell r="K229"/>
        </row>
        <row r="230">
          <cell r="B230" t="str">
            <v>BYCXO</v>
          </cell>
          <cell r="C230">
            <v>1575.6165328300001</v>
          </cell>
          <cell r="D230">
            <v>1573.7283206100001</v>
          </cell>
          <cell r="E230">
            <v>1564.8672031200001</v>
          </cell>
          <cell r="F230">
            <v>1579.01579515</v>
          </cell>
          <cell r="G230">
            <v>1573.7681581500001</v>
          </cell>
          <cell r="H230">
            <v>1583.0591681000001</v>
          </cell>
          <cell r="I230">
            <v>1586.6583776099999</v>
          </cell>
          <cell r="J230"/>
          <cell r="K230"/>
        </row>
        <row r="231">
          <cell r="B231" t="str">
            <v>YM41O</v>
          </cell>
          <cell r="C231">
            <v>1543.58743314</v>
          </cell>
          <cell r="D231">
            <v>1542.1488781200001</v>
          </cell>
          <cell r="E231">
            <v>1533.02031771</v>
          </cell>
          <cell r="F231">
            <v>1538.8609294800001</v>
          </cell>
          <cell r="G231">
            <v>1542.2097403</v>
          </cell>
          <cell r="H231">
            <v>1549.28736768</v>
          </cell>
          <cell r="I231">
            <v>1555.4750862999999</v>
          </cell>
          <cell r="J231"/>
          <cell r="K231"/>
        </row>
        <row r="232">
          <cell r="B232" t="str">
            <v>YM37O</v>
          </cell>
          <cell r="C232">
            <v>1576.2065465000001</v>
          </cell>
          <cell r="D232">
            <v>1578.6353365699999</v>
          </cell>
          <cell r="E232">
            <v>1564.6174104500001</v>
          </cell>
          <cell r="F232">
            <v>1583.9415953499999</v>
          </cell>
          <cell r="G232">
            <v>1578.37015967</v>
          </cell>
          <cell r="H232">
            <v>1575.9184757</v>
          </cell>
          <cell r="I232">
            <v>1584.01079364</v>
          </cell>
          <cell r="J232"/>
          <cell r="K232"/>
        </row>
        <row r="233">
          <cell r="B233" t="str">
            <v>YFCMO</v>
          </cell>
          <cell r="C233">
            <v>1579.1791371899999</v>
          </cell>
          <cell r="D233">
            <v>1582.0127234700001</v>
          </cell>
          <cell r="E233">
            <v>1567.60753649</v>
          </cell>
          <cell r="F233">
            <v>1572.64249909</v>
          </cell>
          <cell r="G233">
            <v>1577.85656604</v>
          </cell>
          <cell r="H233">
            <v>1583.0537868399999</v>
          </cell>
          <cell r="I233">
            <v>1591.90251994</v>
          </cell>
          <cell r="J233"/>
          <cell r="K233"/>
        </row>
        <row r="234">
          <cell r="B234" t="str">
            <v>PFC2O</v>
          </cell>
          <cell r="C234">
            <v>1602.9202170200001</v>
          </cell>
          <cell r="D234">
            <v>1607.58785642</v>
          </cell>
          <cell r="E234">
            <v>1574</v>
          </cell>
          <cell r="F234">
            <v>1580.5</v>
          </cell>
          <cell r="G234">
            <v>1603.5864684999999</v>
          </cell>
          <cell r="H234">
            <v>1606.8799900199999</v>
          </cell>
          <cell r="I234">
            <v>1616.0624245700001</v>
          </cell>
          <cell r="J234"/>
          <cell r="K234"/>
        </row>
        <row r="235">
          <cell r="B235" t="str">
            <v>YM38O</v>
          </cell>
          <cell r="C235">
            <v>1613.6031400899999</v>
          </cell>
          <cell r="D235">
            <v>1618.30855948</v>
          </cell>
          <cell r="E235">
            <v>1602.95733984</v>
          </cell>
          <cell r="F235">
            <v>1607.4748752999999</v>
          </cell>
          <cell r="G235">
            <v>1614.3513699299999</v>
          </cell>
          <cell r="H235">
            <v>1617.3310423400001</v>
          </cell>
          <cell r="I235">
            <v>1582.2768475600001</v>
          </cell>
          <cell r="J235"/>
          <cell r="K235"/>
        </row>
        <row r="236">
          <cell r="B236" t="str">
            <v>BYZ1O</v>
          </cell>
          <cell r="C236">
            <v>1538.14060485</v>
          </cell>
          <cell r="D236">
            <v>1543.3297003</v>
          </cell>
          <cell r="E236">
            <v>1528.43342405</v>
          </cell>
          <cell r="F236">
            <v>1532.7186010800001</v>
          </cell>
          <cell r="G236">
            <v>1539.6795708899999</v>
          </cell>
          <cell r="H236">
            <v>1541.98831883</v>
          </cell>
          <cell r="I236">
            <v>1550.83332825</v>
          </cell>
          <cell r="J236"/>
          <cell r="K236"/>
        </row>
        <row r="237">
          <cell r="B237" t="str">
            <v>PN38O</v>
          </cell>
          <cell r="C237">
            <v>1584.4094779899999</v>
          </cell>
          <cell r="D237">
            <v>1589.9483668299999</v>
          </cell>
          <cell r="E237">
            <v>1574.64199263</v>
          </cell>
          <cell r="F237">
            <v>1579.0067168999999</v>
          </cell>
          <cell r="G237">
            <v>1586.35763221</v>
          </cell>
          <cell r="H237">
            <v>1588.42012617</v>
          </cell>
          <cell r="I237">
            <v>1597.4814378799999</v>
          </cell>
          <cell r="J237"/>
          <cell r="K237"/>
        </row>
        <row r="238">
          <cell r="B238" t="str">
            <v>BF40O</v>
          </cell>
          <cell r="C238">
            <v>1557.6550982199999</v>
          </cell>
          <cell r="D238">
            <v>1563.6383714399999</v>
          </cell>
          <cell r="E238">
            <v>1548.5510297599999</v>
          </cell>
          <cell r="F238">
            <v>1552.71943149</v>
          </cell>
          <cell r="G238">
            <v>1560.3906701799999</v>
          </cell>
          <cell r="H238">
            <v>1561.6727933</v>
          </cell>
          <cell r="I238">
            <v>1570.53691675</v>
          </cell>
          <cell r="J238"/>
          <cell r="K238"/>
        </row>
        <row r="239">
          <cell r="B239" t="str">
            <v>TTCBO</v>
          </cell>
          <cell r="C239">
            <v>1616.7872359099999</v>
          </cell>
          <cell r="D239">
            <v>1624.1603766600001</v>
          </cell>
          <cell r="E239">
            <v>1559.2390389699999</v>
          </cell>
          <cell r="F239">
            <v>1563.1560132</v>
          </cell>
          <cell r="G239">
            <v>1572.1317157999999</v>
          </cell>
          <cell r="H239">
            <v>1570.99530039</v>
          </cell>
          <cell r="I239">
            <v>1579.5454926699999</v>
          </cell>
          <cell r="J239"/>
          <cell r="K239"/>
        </row>
        <row r="240">
          <cell r="B240" t="str">
            <v>TTC8O</v>
          </cell>
          <cell r="C240">
            <v>1580.5696693800001</v>
          </cell>
          <cell r="D240">
            <v>1588.09962023</v>
          </cell>
          <cell r="E240">
            <v>1578</v>
          </cell>
          <cell r="F240">
            <v>1577.3489235100001</v>
          </cell>
          <cell r="G240">
            <v>1586.47960599</v>
          </cell>
          <cell r="H240">
            <v>1585.0989145999999</v>
          </cell>
          <cell r="I240">
            <v>1593.51709751</v>
          </cell>
          <cell r="J240"/>
          <cell r="K240"/>
        </row>
        <row r="241">
          <cell r="B241" t="str">
            <v>PLC1O</v>
          </cell>
          <cell r="C241">
            <v>1599.5166593199999</v>
          </cell>
          <cell r="D241">
            <v>1609.2516972999999</v>
          </cell>
          <cell r="E241">
            <v>1595.88845913</v>
          </cell>
          <cell r="F241">
            <v>1625.4002305399999</v>
          </cell>
          <cell r="G241">
            <v>1610.7136072599999</v>
          </cell>
          <cell r="H241">
            <v>1604.84797157</v>
          </cell>
          <cell r="I241">
            <v>1615.8903709199999</v>
          </cell>
          <cell r="J241"/>
          <cell r="K241"/>
        </row>
        <row r="242">
          <cell r="B242" t="str">
            <v>BF44O</v>
          </cell>
          <cell r="C242">
            <v>1562.48606786</v>
          </cell>
          <cell r="D242">
            <v>1573.8652325800001</v>
          </cell>
          <cell r="E242">
            <v>1563.09364822</v>
          </cell>
          <cell r="F242">
            <v>1568.16205582</v>
          </cell>
          <cell r="G242">
            <v>1579.0201237700001</v>
          </cell>
          <cell r="H242">
            <v>1568.4352509600001</v>
          </cell>
          <cell r="I242">
            <v>1574.06476301</v>
          </cell>
          <cell r="J242"/>
          <cell r="K242"/>
        </row>
        <row r="243">
          <cell r="B243" t="str">
            <v>YM40O</v>
          </cell>
          <cell r="C243">
            <v>1605.8938536799999</v>
          </cell>
          <cell r="D243">
            <v>1618.53126084</v>
          </cell>
          <cell r="E243">
            <v>1610.28299414</v>
          </cell>
          <cell r="F243">
            <v>1618.1269284499999</v>
          </cell>
          <cell r="G243">
            <v>1627.35966218</v>
          </cell>
          <cell r="H243">
            <v>1612.4304710900001</v>
          </cell>
          <cell r="I243">
            <v>1616.5752691099999</v>
          </cell>
          <cell r="J243"/>
          <cell r="K243"/>
        </row>
        <row r="244">
          <cell r="B244" t="str">
            <v>YMCZO</v>
          </cell>
          <cell r="C244">
            <v>1576.89196167</v>
          </cell>
          <cell r="D244">
            <v>1589.7948576199999</v>
          </cell>
          <cell r="E244">
            <v>1582.89006101</v>
          </cell>
          <cell r="F244">
            <v>1592.1373707600001</v>
          </cell>
          <cell r="G244">
            <v>1599.9198070800001</v>
          </cell>
          <cell r="H244">
            <v>1583.4004936599999</v>
          </cell>
          <cell r="I244">
            <v>1650.4</v>
          </cell>
          <cell r="J244"/>
          <cell r="K244"/>
        </row>
        <row r="245">
          <cell r="B245" t="str">
            <v>YMCYO</v>
          </cell>
          <cell r="C245">
            <v>1555.5539013099999</v>
          </cell>
          <cell r="D245">
            <v>1568.2006222099999</v>
          </cell>
          <cell r="E245">
            <v>1561.42868914</v>
          </cell>
          <cell r="F245">
            <v>1570.5712161700001</v>
          </cell>
          <cell r="G245">
            <v>1578.2348240199999</v>
          </cell>
          <cell r="H245">
            <v>1562.0629495799999</v>
          </cell>
          <cell r="I245">
            <v>1570.3352095400001</v>
          </cell>
          <cell r="J245"/>
          <cell r="K245"/>
        </row>
        <row r="246">
          <cell r="B246" t="str">
            <v>GN47O</v>
          </cell>
          <cell r="C246">
            <v>1590.3859474400001</v>
          </cell>
          <cell r="D246">
            <v>1603.01082253</v>
          </cell>
          <cell r="E246">
            <v>1596.4474352899999</v>
          </cell>
          <cell r="F246">
            <v>1559.7497114800001</v>
          </cell>
          <cell r="G246">
            <v>1567.1127671500001</v>
          </cell>
          <cell r="H246">
            <v>1550.50853712</v>
          </cell>
          <cell r="I246">
            <v>1553.68890566</v>
          </cell>
          <cell r="J246"/>
          <cell r="K246"/>
        </row>
        <row r="247">
          <cell r="B247" t="str">
            <v>YFCLO</v>
          </cell>
          <cell r="C247">
            <v>1584.15074018</v>
          </cell>
          <cell r="D247">
            <v>1596.8834261300001</v>
          </cell>
          <cell r="E247">
            <v>1591.1355220200001</v>
          </cell>
          <cell r="F247">
            <v>1602.05786872</v>
          </cell>
          <cell r="G247">
            <v>1608.07188754</v>
          </cell>
          <cell r="H247">
            <v>1590.68009418</v>
          </cell>
          <cell r="I247">
            <v>1593.5311444500001</v>
          </cell>
          <cell r="J247"/>
          <cell r="K247"/>
        </row>
        <row r="248">
          <cell r="B248" t="str">
            <v>YFCOO</v>
          </cell>
          <cell r="C248">
            <v>1577.3578955200001</v>
          </cell>
          <cell r="D248">
            <v>1590.06847911</v>
          </cell>
          <cell r="E248">
            <v>1584.95079403</v>
          </cell>
          <cell r="F248">
            <v>1596.86256263</v>
          </cell>
          <cell r="G248">
            <v>1601.76627558</v>
          </cell>
          <cell r="H248">
            <v>1583.8193451</v>
          </cell>
          <cell r="I248">
            <v>1586.3699328499999</v>
          </cell>
          <cell r="J248"/>
          <cell r="K248"/>
        </row>
        <row r="249">
          <cell r="B249" t="str">
            <v>PLC6O</v>
          </cell>
          <cell r="C249">
            <v>1619.9688255599999</v>
          </cell>
          <cell r="D249">
            <v>1632.26641307</v>
          </cell>
          <cell r="E249">
            <v>1628.95210339</v>
          </cell>
          <cell r="F249">
            <v>1644.7850358000001</v>
          </cell>
          <cell r="G249">
            <v>1645.5207027599999</v>
          </cell>
          <cell r="H249">
            <v>1628.0001203899999</v>
          </cell>
          <cell r="I249">
            <v>1628.1442969899999</v>
          </cell>
          <cell r="J249"/>
          <cell r="K249"/>
        </row>
        <row r="250">
          <cell r="B250" t="str">
            <v>YM42O</v>
          </cell>
          <cell r="C250">
            <v>1614.86155555</v>
          </cell>
          <cell r="D250">
            <v>1604.9330380399999</v>
          </cell>
          <cell r="E250">
            <v>1610.9999463900001</v>
          </cell>
          <cell r="F250">
            <v>1615.29380952</v>
          </cell>
          <cell r="G250">
            <v>1627.5636362</v>
          </cell>
          <cell r="H250">
            <v>1617.1046836800001</v>
          </cell>
          <cell r="I250">
            <v>1618.7417307200001</v>
          </cell>
          <cell r="J250"/>
          <cell r="K250"/>
        </row>
        <row r="251">
          <cell r="B251" t="str">
            <v>TLCUO</v>
          </cell>
          <cell r="C251">
            <v>1567.7044049399999</v>
          </cell>
          <cell r="D251">
            <v>1580.0703430399999</v>
          </cell>
          <cell r="E251">
            <v>1577.0795183</v>
          </cell>
          <cell r="F251">
            <v>1593.11174267</v>
          </cell>
          <cell r="G251">
            <v>1593.27791045</v>
          </cell>
          <cell r="H251">
            <v>1573.80941846</v>
          </cell>
          <cell r="I251">
            <v>1575.4450668100001</v>
          </cell>
          <cell r="J251"/>
          <cell r="K251"/>
        </row>
        <row r="252">
          <cell r="B252" t="str">
            <v>OLC6O</v>
          </cell>
          <cell r="C252">
            <v>1635.2485359</v>
          </cell>
          <cell r="D252">
            <v>1646.7632024899999</v>
          </cell>
          <cell r="E252">
            <v>1645.6116681599999</v>
          </cell>
          <cell r="F252">
            <v>1667.72205958</v>
          </cell>
          <cell r="G252">
            <v>1661.0454462499999</v>
          </cell>
          <cell r="H252">
            <v>1640.8266271499999</v>
          </cell>
          <cell r="I252">
            <v>1641.9359480200001</v>
          </cell>
          <cell r="J252"/>
          <cell r="K252"/>
        </row>
        <row r="253">
          <cell r="B253" t="str">
            <v>T672O</v>
          </cell>
          <cell r="C253">
            <v>1551.6059846400001</v>
          </cell>
          <cell r="D253">
            <v>1551.6063739000001</v>
          </cell>
          <cell r="E253">
            <v>1540.1068363300001</v>
          </cell>
          <cell r="F253">
            <v>1545.8172713599999</v>
          </cell>
          <cell r="G253">
            <v>1547.3314157899999</v>
          </cell>
          <cell r="H253">
            <v>1554.3264356100001</v>
          </cell>
          <cell r="I253">
            <v>1561.8125656100001</v>
          </cell>
          <cell r="J253"/>
          <cell r="K253"/>
        </row>
        <row r="254">
          <cell r="B254" t="str">
            <v>CS48O</v>
          </cell>
          <cell r="C254">
            <v>1631.7964967099999</v>
          </cell>
          <cell r="D254">
            <v>1644.2466402699999</v>
          </cell>
          <cell r="E254">
            <v>1634.51918596</v>
          </cell>
          <cell r="F254">
            <v>1641.1437293500001</v>
          </cell>
          <cell r="G254">
            <v>1651.5934307800001</v>
          </cell>
          <cell r="H254">
            <v>1638.2769158999999</v>
          </cell>
          <cell r="I254">
            <v>1643.25885505</v>
          </cell>
          <cell r="J254"/>
          <cell r="K254"/>
        </row>
        <row r="255">
          <cell r="B255" t="str">
            <v>CS47O</v>
          </cell>
          <cell r="C255">
            <v>1618.65256905</v>
          </cell>
          <cell r="D255">
            <v>1631.4691969099999</v>
          </cell>
          <cell r="E255">
            <v>1625.4393666999999</v>
          </cell>
          <cell r="F255">
            <v>1636.2458411699999</v>
          </cell>
          <cell r="G255">
            <v>1642.6808191800001</v>
          </cell>
          <cell r="H255">
            <v>1625.35550577</v>
          </cell>
          <cell r="I255">
            <v>1628.3580299600001</v>
          </cell>
          <cell r="J255"/>
          <cell r="K255"/>
        </row>
        <row r="256">
          <cell r="B256" t="str">
            <v>ZZC1O</v>
          </cell>
          <cell r="C256">
            <v>1574.1928343500001</v>
          </cell>
          <cell r="D256">
            <v>1574.23095754</v>
          </cell>
          <cell r="E256">
            <v>1562.49443148</v>
          </cell>
          <cell r="F256">
            <v>1568.2904765000001</v>
          </cell>
          <cell r="G256">
            <v>1569.8069778900001</v>
          </cell>
          <cell r="H256">
            <v>1576.91171401</v>
          </cell>
          <cell r="I256">
            <v>1584.5473650199999</v>
          </cell>
          <cell r="J256"/>
          <cell r="K256"/>
        </row>
        <row r="257">
          <cell r="B257" t="str">
            <v>BVCUO</v>
          </cell>
          <cell r="C257">
            <v>1534.9628493299999</v>
          </cell>
          <cell r="D257">
            <v>1537.41154106</v>
          </cell>
          <cell r="E257">
            <v>1523.77808181</v>
          </cell>
          <cell r="F257">
            <v>1529.1378261299999</v>
          </cell>
          <cell r="G257">
            <v>1530.7596029599999</v>
          </cell>
          <cell r="H257">
            <v>1536.3312721699999</v>
          </cell>
          <cell r="I257">
            <v>1544.9531933999999</v>
          </cell>
          <cell r="J257"/>
          <cell r="K257"/>
        </row>
        <row r="258">
          <cell r="B258" t="str">
            <v>JNC6O</v>
          </cell>
          <cell r="C258">
            <v>1562.8571523799999</v>
          </cell>
          <cell r="D258">
            <v>1570.0112305</v>
          </cell>
          <cell r="E258">
            <v>1555.1862982600001</v>
          </cell>
          <cell r="F258">
            <v>1559.5519923500001</v>
          </cell>
          <cell r="G258">
            <v>1562.41397029</v>
          </cell>
          <cell r="H258">
            <v>1562.18785955</v>
          </cell>
          <cell r="I258">
            <v>1570.9514289399999</v>
          </cell>
          <cell r="J258"/>
          <cell r="K258"/>
        </row>
        <row r="259">
          <cell r="B259" t="str">
            <v>HVS1O</v>
          </cell>
          <cell r="C259">
            <v>1545.8633847900001</v>
          </cell>
          <cell r="D259">
            <v>1557.805728</v>
          </cell>
          <cell r="E259">
            <v>1548.60914583</v>
          </cell>
          <cell r="F259">
            <v>1555.2164050900001</v>
          </cell>
          <cell r="G259">
            <v>1555.23696806</v>
          </cell>
          <cell r="H259">
            <v>1542.91342061</v>
          </cell>
          <cell r="I259">
            <v>1547.8100958299999</v>
          </cell>
          <cell r="J259"/>
          <cell r="K259"/>
        </row>
        <row r="260">
          <cell r="B260" t="str">
            <v>TGCHO</v>
          </cell>
          <cell r="C260">
            <v>0</v>
          </cell>
          <cell r="D260">
            <v>0</v>
          </cell>
          <cell r="E260">
            <v>9.9999999999999995E-8</v>
          </cell>
          <cell r="F260">
            <v>9.9999999999999995E-8</v>
          </cell>
          <cell r="G260">
            <v>9.9999999999999995E-8</v>
          </cell>
          <cell r="H260">
            <v>9.9999999999999995E-8</v>
          </cell>
          <cell r="I260">
            <v>9.9999999999999995E-8</v>
          </cell>
          <cell r="J260"/>
          <cell r="K260"/>
        </row>
        <row r="261">
          <cell r="B261"/>
          <cell r="C261"/>
          <cell r="D261"/>
          <cell r="E261"/>
          <cell r="F261"/>
          <cell r="G261"/>
          <cell r="H261"/>
          <cell r="I261"/>
          <cell r="J261"/>
          <cell r="K261"/>
        </row>
        <row r="262">
          <cell r="B262" t="str">
            <v>Obligaciones Negociables Hard USD - LE</v>
          </cell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 t="str">
            <v>PNDCD</v>
          </cell>
          <cell r="C264">
            <v>0.43084436999999998</v>
          </cell>
          <cell r="D264">
            <v>0.43164021000000002</v>
          </cell>
          <cell r="E264">
            <v>0.43170298000000001</v>
          </cell>
          <cell r="F264">
            <v>0.43170924999999999</v>
          </cell>
          <cell r="G264">
            <v>0.4316412</v>
          </cell>
          <cell r="H264">
            <v>0.43166063999999998</v>
          </cell>
          <cell r="I264">
            <v>0.43212627999999997</v>
          </cell>
          <cell r="J264"/>
          <cell r="K264"/>
        </row>
        <row r="265">
          <cell r="B265" t="str">
            <v>YCAMD</v>
          </cell>
          <cell r="C265">
            <v>1.0793749699999999</v>
          </cell>
          <cell r="D265">
            <v>1.08439069</v>
          </cell>
          <cell r="E265">
            <v>1.0851238000000001</v>
          </cell>
          <cell r="F265">
            <v>1.0860500900000001</v>
          </cell>
          <cell r="G265">
            <v>1.0859948100000001</v>
          </cell>
          <cell r="H265">
            <v>1.0864056200000001</v>
          </cell>
          <cell r="I265">
            <v>1.08957689</v>
          </cell>
          <cell r="J265"/>
          <cell r="K265"/>
        </row>
        <row r="266">
          <cell r="B266" t="str">
            <v>AER4D</v>
          </cell>
          <cell r="C266">
            <v>0.76981931000000003</v>
          </cell>
          <cell r="D266">
            <v>0.77459822</v>
          </cell>
          <cell r="E266">
            <v>0.77552712999999995</v>
          </cell>
          <cell r="F266">
            <v>0.77631850999999996</v>
          </cell>
          <cell r="G266">
            <v>0.77646219999999999</v>
          </cell>
          <cell r="H266">
            <v>0.77676003999999998</v>
          </cell>
          <cell r="I266">
            <v>0.7794972</v>
          </cell>
          <cell r="J266"/>
          <cell r="K266"/>
        </row>
        <row r="267">
          <cell r="B267" t="str">
            <v>YMCID</v>
          </cell>
          <cell r="C267">
            <v>0.95326432000000005</v>
          </cell>
          <cell r="D267">
            <v>0.95414409</v>
          </cell>
          <cell r="E267">
            <v>0.96196649000000001</v>
          </cell>
          <cell r="F267">
            <v>0.96089866000000002</v>
          </cell>
          <cell r="G267">
            <v>0.9611904</v>
          </cell>
          <cell r="H267">
            <v>0.96152912999999995</v>
          </cell>
          <cell r="I267">
            <v>0.95791512999999995</v>
          </cell>
          <cell r="J267"/>
          <cell r="K267"/>
        </row>
        <row r="268">
          <cell r="B268" t="str">
            <v>BYCHD</v>
          </cell>
          <cell r="C268">
            <v>1.0826337399999999</v>
          </cell>
          <cell r="D268">
            <v>1.0912477937510801</v>
          </cell>
          <cell r="E268">
            <v>1.0930719652215399</v>
          </cell>
          <cell r="F268">
            <v>1.0945497099999999</v>
          </cell>
          <cell r="G268">
            <v>1.09494593</v>
          </cell>
          <cell r="H268">
            <v>1.0954686199999999</v>
          </cell>
          <cell r="I268">
            <v>1.10028836</v>
          </cell>
          <cell r="J268"/>
          <cell r="K268"/>
        </row>
        <row r="269">
          <cell r="B269" t="str">
            <v>YMCUD</v>
          </cell>
          <cell r="C269">
            <v>1.01100031</v>
          </cell>
          <cell r="D269">
            <v>1.0179880699999999</v>
          </cell>
          <cell r="E269">
            <v>1.0196289700000001</v>
          </cell>
          <cell r="F269">
            <v>1.0204822</v>
          </cell>
          <cell r="G269">
            <v>1.0209309</v>
          </cell>
          <cell r="H269">
            <v>1.0212072999999999</v>
          </cell>
          <cell r="I269">
            <v>1.02475443</v>
          </cell>
          <cell r="J269"/>
          <cell r="K269"/>
        </row>
        <row r="270">
          <cell r="B270" t="str">
            <v>YMC1D</v>
          </cell>
          <cell r="C270">
            <v>1.1151493100000001</v>
          </cell>
          <cell r="D270">
            <v>1.1244573099999999</v>
          </cell>
          <cell r="E270">
            <v>1.1267161299999999</v>
          </cell>
          <cell r="F270">
            <v>1.1279593400000001</v>
          </cell>
          <cell r="G270">
            <v>1.1286233699999999</v>
          </cell>
          <cell r="H270">
            <v>1.1289986400000001</v>
          </cell>
          <cell r="I270">
            <v>1.13370839</v>
          </cell>
          <cell r="J270"/>
          <cell r="K270"/>
        </row>
        <row r="271">
          <cell r="B271" t="str">
            <v>ARC1D</v>
          </cell>
          <cell r="C271">
            <v>1.0718163199999999</v>
          </cell>
          <cell r="D271">
            <v>1.0798014300000001</v>
          </cell>
          <cell r="E271">
            <v>1.08184904</v>
          </cell>
          <cell r="F271">
            <v>1.0826493100000001</v>
          </cell>
          <cell r="G271">
            <v>1.0833087699999999</v>
          </cell>
          <cell r="H271">
            <v>1.0835328799999999</v>
          </cell>
          <cell r="I271">
            <v>1.0719955800000001</v>
          </cell>
          <cell r="J271"/>
          <cell r="K271"/>
        </row>
        <row r="272">
          <cell r="B272" t="str">
            <v>TTCDD</v>
          </cell>
          <cell r="C272">
            <v>1.0885</v>
          </cell>
          <cell r="D272">
            <v>1.0900512</v>
          </cell>
          <cell r="E272">
            <v>1.0935317899999999</v>
          </cell>
          <cell r="F272">
            <v>1.0945</v>
          </cell>
          <cell r="G272">
            <v>1.08810611740631</v>
          </cell>
          <cell r="H272">
            <v>1.0881002099999999</v>
          </cell>
          <cell r="I272">
            <v>1.09161639</v>
          </cell>
          <cell r="J272"/>
          <cell r="K272"/>
        </row>
        <row r="273">
          <cell r="B273" t="str">
            <v>YMCXD</v>
          </cell>
          <cell r="C273">
            <v>1.0868810600000001</v>
          </cell>
          <cell r="D273">
            <v>1.0890453</v>
          </cell>
          <cell r="E273">
            <v>1.0906684200000001</v>
          </cell>
          <cell r="F273">
            <v>1.09914058</v>
          </cell>
          <cell r="G273">
            <v>1.1024478143607399</v>
          </cell>
          <cell r="H273">
            <v>1.0935763700000001</v>
          </cell>
          <cell r="I273">
            <v>1.0941359399999999</v>
          </cell>
          <cell r="J273"/>
          <cell r="K273"/>
        </row>
        <row r="274">
          <cell r="B274" t="str">
            <v>PNXCD</v>
          </cell>
          <cell r="C274">
            <v>1.1084459099999999</v>
          </cell>
          <cell r="D274">
            <v>1.11737555</v>
          </cell>
          <cell r="E274">
            <v>1.1202698900000001</v>
          </cell>
          <cell r="F274">
            <v>1.1203626600000001</v>
          </cell>
          <cell r="G274">
            <v>1.1216116899999999</v>
          </cell>
          <cell r="H274">
            <v>1.12149835</v>
          </cell>
          <cell r="I274">
            <v>1.12468835814082</v>
          </cell>
          <cell r="J274"/>
          <cell r="K274"/>
        </row>
        <row r="275">
          <cell r="B275" t="str">
            <v>PLC5D</v>
          </cell>
          <cell r="C275">
            <v>1.09001697</v>
          </cell>
          <cell r="D275">
            <v>1.0946808400000001</v>
          </cell>
          <cell r="E275">
            <v>1.0975870999999999</v>
          </cell>
          <cell r="F275">
            <v>1.0976373100000001</v>
          </cell>
          <cell r="G275">
            <v>1.0940000000000001</v>
          </cell>
          <cell r="H275">
            <v>1.09876811</v>
          </cell>
          <cell r="I275">
            <v>1.101863</v>
          </cell>
          <cell r="J275"/>
          <cell r="K275"/>
        </row>
        <row r="276">
          <cell r="B276" t="str">
            <v>TSC3D</v>
          </cell>
          <cell r="C276">
            <v>1.085574</v>
          </cell>
          <cell r="D276">
            <v>1.09446431</v>
          </cell>
          <cell r="E276">
            <v>1.09744953</v>
          </cell>
          <cell r="F276">
            <v>1.0974056000000001</v>
          </cell>
          <cell r="G276">
            <v>1.09873727</v>
          </cell>
          <cell r="H276">
            <v>1.0985631</v>
          </cell>
          <cell r="I276">
            <v>1.10156057</v>
          </cell>
          <cell r="J276"/>
          <cell r="K276"/>
        </row>
        <row r="277">
          <cell r="B277" t="str">
            <v>YFCJD</v>
          </cell>
          <cell r="C277">
            <v>1.08450118</v>
          </cell>
          <cell r="D277">
            <v>1.0864000300000001</v>
          </cell>
          <cell r="E277">
            <v>1.04998645</v>
          </cell>
          <cell r="F277">
            <v>1.0497772700000001</v>
          </cell>
          <cell r="G277">
            <v>1.0511492644901499</v>
          </cell>
          <cell r="H277">
            <v>1.05092355</v>
          </cell>
          <cell r="I277">
            <v>1.0412870700000001</v>
          </cell>
          <cell r="J277"/>
          <cell r="K277"/>
        </row>
        <row r="278">
          <cell r="B278" t="str">
            <v>MGCMD</v>
          </cell>
          <cell r="C278">
            <v>1.0917025899999999</v>
          </cell>
          <cell r="D278">
            <v>1.0825</v>
          </cell>
          <cell r="E278">
            <v>1.06108117</v>
          </cell>
          <cell r="F278">
            <v>1.0609363106699199</v>
          </cell>
          <cell r="G278">
            <v>1.0622910299999999</v>
          </cell>
          <cell r="H278">
            <v>1.06208088132838</v>
          </cell>
          <cell r="I278">
            <v>1.06486864</v>
          </cell>
          <cell r="J278"/>
          <cell r="K278"/>
        </row>
        <row r="279">
          <cell r="B279" t="str">
            <v>TTCAD</v>
          </cell>
          <cell r="C279">
            <v>1.04833964</v>
          </cell>
          <cell r="D279">
            <v>1.05109439</v>
          </cell>
          <cell r="E279">
            <v>1.0549999999999999</v>
          </cell>
          <cell r="F279">
            <v>1.0537085100000001</v>
          </cell>
          <cell r="G279">
            <v>1.05513911</v>
          </cell>
          <cell r="H279">
            <v>1.05484888</v>
          </cell>
          <cell r="I279">
            <v>1.06</v>
          </cell>
          <cell r="J279"/>
          <cell r="K279"/>
        </row>
        <row r="280">
          <cell r="B280" t="str">
            <v>PLC4D</v>
          </cell>
          <cell r="C280">
            <v>1.10598888</v>
          </cell>
          <cell r="D280">
            <v>1.10145662</v>
          </cell>
          <cell r="E280">
            <v>1.10597477</v>
          </cell>
          <cell r="F280">
            <v>1.1053315800000001</v>
          </cell>
          <cell r="G280">
            <v>1.1045507800000001</v>
          </cell>
          <cell r="H280">
            <v>1.1026623900000001</v>
          </cell>
          <cell r="I280">
            <v>1.1075363300000001</v>
          </cell>
          <cell r="J280"/>
          <cell r="K280"/>
        </row>
        <row r="281">
          <cell r="B281" t="str">
            <v>VSCVD</v>
          </cell>
          <cell r="C281">
            <v>1.10997543</v>
          </cell>
          <cell r="D281">
            <v>1.10985983</v>
          </cell>
          <cell r="E281">
            <v>1.11698634</v>
          </cell>
          <cell r="F281">
            <v>1.1195138899999999</v>
          </cell>
          <cell r="G281">
            <v>1.1130073300000001</v>
          </cell>
          <cell r="H281">
            <v>1.1143361199999999</v>
          </cell>
          <cell r="I281">
            <v>1.1150267599999999</v>
          </cell>
          <cell r="J281"/>
          <cell r="K281"/>
        </row>
        <row r="282">
          <cell r="B282" t="str">
            <v>YM34D</v>
          </cell>
          <cell r="C282">
            <v>1.07740013</v>
          </cell>
          <cell r="D282">
            <v>1.0809056500000001</v>
          </cell>
          <cell r="E282">
            <v>1.08691721</v>
          </cell>
          <cell r="F282">
            <v>1.08293584</v>
          </cell>
          <cell r="G282">
            <v>1.0870091500000001</v>
          </cell>
          <cell r="H282">
            <v>1.08398755</v>
          </cell>
          <cell r="I282">
            <v>1.08811101</v>
          </cell>
          <cell r="J282"/>
          <cell r="K282"/>
        </row>
        <row r="283">
          <cell r="B283" t="str">
            <v>YMCJD</v>
          </cell>
          <cell r="C283">
            <v>1.0146640600000001</v>
          </cell>
          <cell r="D283">
            <v>1.0157951300000001</v>
          </cell>
          <cell r="E283">
            <v>1.02360344</v>
          </cell>
          <cell r="F283">
            <v>1.0295049300000001</v>
          </cell>
          <cell r="G283">
            <v>1.03184912</v>
          </cell>
          <cell r="H283">
            <v>1.0235983799999999</v>
          </cell>
          <cell r="I283">
            <v>1.0203624</v>
          </cell>
          <cell r="J283"/>
          <cell r="K283"/>
        </row>
        <row r="284">
          <cell r="B284" t="str">
            <v>CAC5D</v>
          </cell>
          <cell r="C284">
            <v>0.54661514</v>
          </cell>
          <cell r="D284">
            <v>0.54959164999999999</v>
          </cell>
          <cell r="E284">
            <v>0.55012819999999996</v>
          </cell>
          <cell r="F284">
            <v>0.55079745999999996</v>
          </cell>
          <cell r="G284">
            <v>0.55075048999999998</v>
          </cell>
          <cell r="H284">
            <v>0.55104337000000003</v>
          </cell>
          <cell r="I284">
            <v>0.55284555999999996</v>
          </cell>
          <cell r="J284"/>
          <cell r="K284"/>
        </row>
        <row r="285">
          <cell r="B285" t="str">
            <v>TLCMD</v>
          </cell>
          <cell r="C285">
            <v>1.12282159</v>
          </cell>
          <cell r="D285">
            <v>1.12294355</v>
          </cell>
          <cell r="E285">
            <v>1.12747284</v>
          </cell>
          <cell r="F285">
            <v>1.1244096100000001</v>
          </cell>
          <cell r="G285">
            <v>1.12049486</v>
          </cell>
          <cell r="H285">
            <v>1.1247802600000001</v>
          </cell>
          <cell r="I285">
            <v>1.1285401399999999</v>
          </cell>
          <cell r="J285"/>
          <cell r="K285"/>
        </row>
        <row r="286">
          <cell r="B286" t="str">
            <v>TLCPD</v>
          </cell>
          <cell r="C286">
            <v>1.10850268</v>
          </cell>
          <cell r="D286">
            <v>1.11700822</v>
          </cell>
          <cell r="E286">
            <v>1.1201880799999999</v>
          </cell>
          <cell r="F286">
            <v>1.11986282</v>
          </cell>
          <cell r="G286">
            <v>1.11464301</v>
          </cell>
          <cell r="H286">
            <v>1.1190256300000001</v>
          </cell>
          <cell r="I286">
            <v>1.1198961199999999</v>
          </cell>
          <cell r="J286"/>
          <cell r="K286"/>
        </row>
        <row r="287">
          <cell r="B287" t="str">
            <v>AEC2D</v>
          </cell>
          <cell r="C287">
            <v>0.53172193000000001</v>
          </cell>
          <cell r="D287">
            <v>0.53377374</v>
          </cell>
          <cell r="E287">
            <v>0.53396489000000003</v>
          </cell>
          <cell r="F287">
            <v>0.53435493999999994</v>
          </cell>
          <cell r="G287">
            <v>0.53432318999999995</v>
          </cell>
          <cell r="H287">
            <v>0.53442624999999999</v>
          </cell>
          <cell r="I287">
            <v>0.53566875999999997</v>
          </cell>
          <cell r="J287"/>
          <cell r="K287"/>
        </row>
        <row r="288">
          <cell r="B288"/>
          <cell r="C288"/>
          <cell r="D288"/>
          <cell r="E288"/>
          <cell r="F288"/>
          <cell r="G288"/>
          <cell r="H288"/>
          <cell r="I288"/>
          <cell r="J288"/>
          <cell r="K288"/>
        </row>
        <row r="289">
          <cell r="B289" t="str">
            <v>Obligaciones Negociables Hard USD - LE - Contra $</v>
          </cell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 t="str">
            <v>PNDCO</v>
          </cell>
          <cell r="C291">
            <v>674.47513164999998</v>
          </cell>
          <cell r="D291">
            <v>677.49887257</v>
          </cell>
          <cell r="E291">
            <v>677.50654621000001</v>
          </cell>
          <cell r="F291">
            <v>679.39219269</v>
          </cell>
          <cell r="G291">
            <v>681.93756589999998</v>
          </cell>
          <cell r="H291">
            <v>684.41677733999995</v>
          </cell>
          <cell r="I291">
            <v>686.23777085999996</v>
          </cell>
          <cell r="J291"/>
          <cell r="K291"/>
        </row>
        <row r="292">
          <cell r="B292" t="str">
            <v>YCAMO</v>
          </cell>
          <cell r="C292">
            <v>1633.73603619</v>
          </cell>
          <cell r="D292">
            <v>1641.03602925</v>
          </cell>
          <cell r="E292">
            <v>1641.0518640600001</v>
          </cell>
          <cell r="F292">
            <v>1645.7125263400001</v>
          </cell>
          <cell r="G292">
            <v>1651.88548975</v>
          </cell>
          <cell r="H292">
            <v>1658.0595218399999</v>
          </cell>
          <cell r="I292">
            <v>1661.55726091</v>
          </cell>
          <cell r="J292"/>
          <cell r="K292"/>
        </row>
        <row r="293">
          <cell r="B293" t="str">
            <v>AER4O</v>
          </cell>
          <cell r="C293">
            <v>1165.6023578700001</v>
          </cell>
          <cell r="D293">
            <v>1170.81319816</v>
          </cell>
          <cell r="E293">
            <v>1170.89048258</v>
          </cell>
          <cell r="F293">
            <v>1174.2388880200001</v>
          </cell>
          <cell r="G293">
            <v>1178.6820378899999</v>
          </cell>
          <cell r="H293">
            <v>1183.0359857399999</v>
          </cell>
          <cell r="I293">
            <v>1185.3707557299999</v>
          </cell>
          <cell r="J293"/>
          <cell r="K293"/>
        </row>
        <row r="294">
          <cell r="B294" t="str">
            <v>YMCIO</v>
          </cell>
          <cell r="C294">
            <v>1462.8308891199999</v>
          </cell>
          <cell r="D294">
            <v>1468.58118848</v>
          </cell>
          <cell r="E294">
            <v>1479.9957526200001</v>
          </cell>
          <cell r="F294">
            <v>1457.4392785800001</v>
          </cell>
          <cell r="G294">
            <v>1477.8306483700001</v>
          </cell>
          <cell r="H294">
            <v>1468.3303789199999</v>
          </cell>
          <cell r="I294">
            <v>1471.3055220700001</v>
          </cell>
          <cell r="J294"/>
          <cell r="K294"/>
        </row>
        <row r="295">
          <cell r="B295" t="str">
            <v>BYCHO</v>
          </cell>
          <cell r="C295">
            <v>1623.9837661199999</v>
          </cell>
          <cell r="D295">
            <v>1631.2388888200001</v>
          </cell>
          <cell r="E295">
            <v>1631.4062638099999</v>
          </cell>
          <cell r="F295">
            <v>1636.11834466</v>
          </cell>
          <cell r="G295">
            <v>1642.3455753200001</v>
          </cell>
          <cell r="H295">
            <v>1648.4129270999999</v>
          </cell>
          <cell r="I295">
            <v>1651.26174315</v>
          </cell>
          <cell r="J295"/>
          <cell r="K295"/>
        </row>
        <row r="296">
          <cell r="B296" t="str">
            <v>YMCUO</v>
          </cell>
          <cell r="C296">
            <v>1542.4532736399999</v>
          </cell>
          <cell r="D296">
            <v>1541.58013951</v>
          </cell>
          <cell r="E296">
            <v>1540.2658062099999</v>
          </cell>
          <cell r="F296">
            <v>1547.92641295</v>
          </cell>
          <cell r="G296">
            <v>1548.03847309</v>
          </cell>
          <cell r="H296">
            <v>1551.6814049</v>
          </cell>
          <cell r="I296">
            <v>1556.00797347</v>
          </cell>
          <cell r="J296"/>
          <cell r="K296"/>
        </row>
        <row r="297">
          <cell r="B297" t="str">
            <v>YMC1O</v>
          </cell>
          <cell r="C297">
            <v>1691.08940319</v>
          </cell>
          <cell r="D297">
            <v>1698.6443021600001</v>
          </cell>
          <cell r="E297">
            <v>1698.9831938299999</v>
          </cell>
          <cell r="F297">
            <v>1703.854004</v>
          </cell>
          <cell r="G297">
            <v>1710.37908634</v>
          </cell>
          <cell r="H297">
            <v>1716.47348519</v>
          </cell>
          <cell r="I297">
            <v>1719.67993469</v>
          </cell>
          <cell r="J297"/>
          <cell r="K297"/>
        </row>
        <row r="298">
          <cell r="B298" t="str">
            <v>ARC1O</v>
          </cell>
          <cell r="C298">
            <v>1615.1881081900001</v>
          </cell>
          <cell r="D298">
            <v>1632</v>
          </cell>
          <cell r="E298">
            <v>1644.1431799100001</v>
          </cell>
          <cell r="F298">
            <v>1648.78359819</v>
          </cell>
          <cell r="G298">
            <v>1655.0791069899999</v>
          </cell>
          <cell r="H298">
            <v>1660.80826346</v>
          </cell>
          <cell r="I298">
            <v>1664.34102246</v>
          </cell>
          <cell r="J298"/>
          <cell r="K298"/>
        </row>
        <row r="299">
          <cell r="B299" t="str">
            <v>TTCDO</v>
          </cell>
          <cell r="C299">
            <v>1665.1080989500001</v>
          </cell>
          <cell r="D299">
            <v>1677.4569559700001</v>
          </cell>
          <cell r="E299">
            <v>1678.83908703</v>
          </cell>
          <cell r="F299">
            <v>1682.3153434000001</v>
          </cell>
          <cell r="G299">
            <v>1675</v>
          </cell>
          <cell r="H299">
            <v>1689.2725700200001</v>
          </cell>
          <cell r="I299">
            <v>1690.2214273899999</v>
          </cell>
          <cell r="J299"/>
          <cell r="K299"/>
        </row>
        <row r="300">
          <cell r="B300" t="str">
            <v>YMCXO</v>
          </cell>
          <cell r="C300">
            <v>1665.31696182</v>
          </cell>
          <cell r="D300">
            <v>1667.95465175</v>
          </cell>
          <cell r="E300">
            <v>1670.9626485399999</v>
          </cell>
          <cell r="F300">
            <v>1688.11333539</v>
          </cell>
          <cell r="G300">
            <v>1695.7869122300001</v>
          </cell>
          <cell r="H300">
            <v>1697.3649620000001</v>
          </cell>
          <cell r="I300">
            <v>1694.2253003999999</v>
          </cell>
          <cell r="J300"/>
          <cell r="K300"/>
        </row>
        <row r="301">
          <cell r="B301" t="str">
            <v>PNXCO</v>
          </cell>
          <cell r="C301">
            <v>1714.6403582</v>
          </cell>
          <cell r="D301">
            <v>1722.2535623900001</v>
          </cell>
          <cell r="E301">
            <v>1723.1841516500001</v>
          </cell>
          <cell r="F301">
            <v>1727.89269745</v>
          </cell>
          <cell r="G301">
            <v>1734.52952559</v>
          </cell>
          <cell r="H301">
            <v>1739.89784573</v>
          </cell>
          <cell r="I301">
            <v>1744.33866803</v>
          </cell>
          <cell r="J301"/>
          <cell r="K301"/>
        </row>
        <row r="302">
          <cell r="B302" t="str">
            <v>PLC5O</v>
          </cell>
          <cell r="C302">
            <v>1676.0605709199999</v>
          </cell>
          <cell r="D302">
            <v>1690.55055941</v>
          </cell>
          <cell r="E302">
            <v>1691.4888791000001</v>
          </cell>
          <cell r="F302">
            <v>1696.1076631799999</v>
          </cell>
          <cell r="G302">
            <v>1702.63112514</v>
          </cell>
          <cell r="H302">
            <v>1688.69113122</v>
          </cell>
          <cell r="I302">
            <v>1693.8818180599999</v>
          </cell>
          <cell r="J302"/>
          <cell r="K302"/>
        </row>
        <row r="303">
          <cell r="B303" t="str">
            <v>TSC3O</v>
          </cell>
          <cell r="C303">
            <v>1682.96466562</v>
          </cell>
          <cell r="D303">
            <v>1690.43008824</v>
          </cell>
          <cell r="E303">
            <v>1691.43646644</v>
          </cell>
          <cell r="F303">
            <v>1696.0294940000001</v>
          </cell>
          <cell r="G303">
            <v>1702.55140972</v>
          </cell>
          <cell r="H303">
            <v>1705.2639337799999</v>
          </cell>
          <cell r="I303">
            <v>1712.19175002</v>
          </cell>
          <cell r="J303"/>
          <cell r="K303"/>
        </row>
        <row r="304">
          <cell r="B304" t="str">
            <v>YFCJO</v>
          </cell>
          <cell r="C304">
            <v>1672.7289968699999</v>
          </cell>
          <cell r="D304">
            <v>1680.1371829699999</v>
          </cell>
          <cell r="E304">
            <v>1617.56210599</v>
          </cell>
          <cell r="F304">
            <v>1621.9065422900001</v>
          </cell>
          <cell r="G304">
            <v>1628.1365433999999</v>
          </cell>
          <cell r="H304">
            <v>1632.91163185</v>
          </cell>
          <cell r="I304">
            <v>1610.4085667500001</v>
          </cell>
          <cell r="J304"/>
          <cell r="K304"/>
        </row>
        <row r="305">
          <cell r="B305" t="str">
            <v>MGCMO</v>
          </cell>
          <cell r="C305">
            <v>1676.3967856500001</v>
          </cell>
          <cell r="D305">
            <v>1635.5775711399999</v>
          </cell>
          <cell r="E305">
            <v>1636.61951374</v>
          </cell>
          <cell r="F305">
            <v>1675.66706043</v>
          </cell>
          <cell r="G305">
            <v>1647.3492497699999</v>
          </cell>
          <cell r="H305">
            <v>1675.2</v>
          </cell>
          <cell r="I305">
            <v>1656.69890803</v>
          </cell>
          <cell r="J305"/>
          <cell r="K305"/>
        </row>
        <row r="306">
          <cell r="B306" t="str">
            <v>TTCAO</v>
          </cell>
          <cell r="C306">
            <v>1618.6239282199999</v>
          </cell>
          <cell r="D306">
            <v>1625.77815493</v>
          </cell>
          <cell r="E306">
            <v>1626.9427610099999</v>
          </cell>
          <cell r="F306">
            <v>1631.2710692600001</v>
          </cell>
          <cell r="G306">
            <v>1637.5289484499999</v>
          </cell>
          <cell r="H306">
            <v>1642.2186624000001</v>
          </cell>
          <cell r="I306">
            <v>1639.7</v>
          </cell>
          <cell r="J306"/>
          <cell r="K306"/>
        </row>
        <row r="307">
          <cell r="B307" t="str">
            <v>PLC4O</v>
          </cell>
          <cell r="C307">
            <v>1700.2275896900001</v>
          </cell>
          <cell r="D307">
            <v>1693.01597339</v>
          </cell>
          <cell r="E307">
            <v>1697.84403505</v>
          </cell>
          <cell r="F307">
            <v>1698.4309017999999</v>
          </cell>
          <cell r="G307">
            <v>1700.18411896</v>
          </cell>
          <cell r="H307">
            <v>1724.9148917699999</v>
          </cell>
          <cell r="I307">
            <v>1715.8</v>
          </cell>
          <cell r="J307"/>
          <cell r="K307"/>
        </row>
        <row r="308">
          <cell r="B308" t="str">
            <v>VSCVO</v>
          </cell>
          <cell r="C308">
            <v>1709.3668225199999</v>
          </cell>
          <cell r="D308">
            <v>1706.22275498</v>
          </cell>
          <cell r="E308">
            <v>1714.64636933</v>
          </cell>
          <cell r="F308">
            <v>1732.5</v>
          </cell>
          <cell r="G308">
            <v>1715.69996436</v>
          </cell>
          <cell r="H308">
            <v>1721.4375542800001</v>
          </cell>
          <cell r="I308">
            <v>1724.35224053</v>
          </cell>
          <cell r="J308"/>
          <cell r="K308"/>
        </row>
        <row r="309">
          <cell r="B309" t="str">
            <v>YM34O</v>
          </cell>
          <cell r="C309">
            <v>1656.42586622</v>
          </cell>
          <cell r="D309">
            <v>1660.02525657</v>
          </cell>
          <cell r="E309">
            <v>1664.5701995500001</v>
          </cell>
          <cell r="F309">
            <v>1667.61094194</v>
          </cell>
          <cell r="G309">
            <v>1674.07171294</v>
          </cell>
          <cell r="H309">
            <v>1675.7515981900001</v>
          </cell>
          <cell r="I309">
            <v>1686.9925699400001</v>
          </cell>
          <cell r="J309"/>
          <cell r="K309"/>
        </row>
        <row r="310">
          <cell r="B310" t="str">
            <v>YMCJO</v>
          </cell>
          <cell r="C310">
            <v>1560.33051387</v>
          </cell>
          <cell r="D310">
            <v>1559.90754943</v>
          </cell>
          <cell r="E310">
            <v>1566.6988351099999</v>
          </cell>
          <cell r="F310">
            <v>1580.2615596400001</v>
          </cell>
          <cell r="G310">
            <v>1596.1889217299999</v>
          </cell>
          <cell r="H310">
            <v>1581.34195845</v>
          </cell>
          <cell r="I310">
            <v>1586.2104284300001</v>
          </cell>
          <cell r="J310"/>
          <cell r="K310"/>
        </row>
        <row r="311">
          <cell r="B311" t="str">
            <v>CAC5O</v>
          </cell>
          <cell r="C311">
            <v>825.61724356000002</v>
          </cell>
          <cell r="D311">
            <v>829.51440943</v>
          </cell>
          <cell r="E311">
            <v>829.52357602999996</v>
          </cell>
          <cell r="F311">
            <v>832.01691690999996</v>
          </cell>
          <cell r="G311">
            <v>835.04713602000004</v>
          </cell>
          <cell r="H311">
            <v>838.27072482000005</v>
          </cell>
          <cell r="I311">
            <v>839.90902028000005</v>
          </cell>
          <cell r="J311"/>
          <cell r="K311"/>
        </row>
        <row r="312">
          <cell r="B312" t="str">
            <v>TLCMO</v>
          </cell>
          <cell r="C312">
            <v>1723.0319344699999</v>
          </cell>
          <cell r="D312">
            <v>1709.9214901</v>
          </cell>
          <cell r="E312">
            <v>1729.5727799199999</v>
          </cell>
          <cell r="F312">
            <v>1715.7647423400001</v>
          </cell>
          <cell r="G312">
            <v>1721.6350084200001</v>
          </cell>
          <cell r="H312">
            <v>1740.5678430999999</v>
          </cell>
          <cell r="I312">
            <v>1746.6058293000001</v>
          </cell>
          <cell r="J312"/>
          <cell r="K312"/>
        </row>
        <row r="313">
          <cell r="B313" t="str">
            <v>TLCPO</v>
          </cell>
          <cell r="C313">
            <v>1704.0721578099999</v>
          </cell>
          <cell r="D313">
            <v>1712.87403993</v>
          </cell>
          <cell r="E313">
            <v>1719.81274031</v>
          </cell>
          <cell r="F313">
            <v>1720.3308317799999</v>
          </cell>
          <cell r="G313">
            <v>1707.7538793900001</v>
          </cell>
          <cell r="H313">
            <v>1728.59777839</v>
          </cell>
          <cell r="I313">
            <v>1734.9631246199999</v>
          </cell>
          <cell r="J313"/>
          <cell r="K313"/>
        </row>
        <row r="314">
          <cell r="B314" t="str">
            <v>AEC2O</v>
          </cell>
          <cell r="C314">
            <v>811.72890115999996</v>
          </cell>
          <cell r="D314">
            <v>815.35395503999996</v>
          </cell>
          <cell r="E314">
            <v>815.25067676000003</v>
          </cell>
          <cell r="F314">
            <v>817.67475632000003</v>
          </cell>
          <cell r="G314">
            <v>820.71224224000002</v>
          </cell>
          <cell r="H314">
            <v>823.69402353999999</v>
          </cell>
          <cell r="I314">
            <v>825.50025211000002</v>
          </cell>
          <cell r="J314"/>
          <cell r="K314"/>
        </row>
        <row r="315">
          <cell r="B315"/>
          <cell r="C315"/>
          <cell r="D315"/>
          <cell r="E315"/>
          <cell r="F315"/>
          <cell r="G315"/>
          <cell r="H315"/>
          <cell r="I315"/>
          <cell r="J315"/>
          <cell r="K315"/>
        </row>
        <row r="316">
          <cell r="B316" t="str">
            <v>Obligaciones Negociables Dólar linked</v>
          </cell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 t="str">
            <v>GE22P</v>
          </cell>
          <cell r="C318">
            <v>516.94365468000001</v>
          </cell>
          <cell r="D318">
            <v>516.58008455000004</v>
          </cell>
          <cell r="E318">
            <v>520.63846892000004</v>
          </cell>
          <cell r="F318">
            <v>519.74120073999995</v>
          </cell>
          <cell r="G318">
            <v>522.87686119</v>
          </cell>
          <cell r="H318">
            <v>522.63075667999999</v>
          </cell>
          <cell r="I318">
            <v>523.32009315000005</v>
          </cell>
          <cell r="J318"/>
          <cell r="K318"/>
        </row>
        <row r="319">
          <cell r="B319" t="str">
            <v>HA12L</v>
          </cell>
          <cell r="C319">
            <v>1579.8947735500001</v>
          </cell>
          <cell r="D319">
            <v>1580.7632803700001</v>
          </cell>
          <cell r="E319">
            <v>1565.6435914599999</v>
          </cell>
          <cell r="F319">
            <v>1562.53264857</v>
          </cell>
          <cell r="G319">
            <v>1562.81540167</v>
          </cell>
          <cell r="H319">
            <v>1558.0375375000001</v>
          </cell>
          <cell r="I319">
            <v>1556.6194728600001</v>
          </cell>
          <cell r="J319"/>
          <cell r="K319"/>
        </row>
        <row r="320">
          <cell r="B320" t="str">
            <v>APS1L</v>
          </cell>
          <cell r="C320">
            <v>1521.6195374900001</v>
          </cell>
          <cell r="D320">
            <v>1520.60780383</v>
          </cell>
          <cell r="E320">
            <v>1534.71398712</v>
          </cell>
          <cell r="F320">
            <v>1536.40897047</v>
          </cell>
          <cell r="G320">
            <v>1545.9597967100001</v>
          </cell>
          <cell r="H320">
            <v>1544.5333370599999</v>
          </cell>
          <cell r="I320">
            <v>1546.6492369600001</v>
          </cell>
          <cell r="J320"/>
          <cell r="K320"/>
        </row>
        <row r="321">
          <cell r="B321" t="str">
            <v>GN37O</v>
          </cell>
          <cell r="C321">
            <v>504.20587346999997</v>
          </cell>
          <cell r="D321">
            <v>503.82137089999998</v>
          </cell>
          <cell r="E321">
            <v>504.76104951999997</v>
          </cell>
          <cell r="F321">
            <v>504.63588195</v>
          </cell>
          <cell r="G321">
            <v>507.59137991</v>
          </cell>
          <cell r="H321">
            <v>507.93667001</v>
          </cell>
          <cell r="I321">
            <v>508.56876714999999</v>
          </cell>
          <cell r="J321"/>
          <cell r="K321"/>
        </row>
        <row r="322">
          <cell r="B322" t="str">
            <v>VSCIO</v>
          </cell>
          <cell r="C322">
            <v>1508.42451065</v>
          </cell>
          <cell r="D322">
            <v>1507.28657985</v>
          </cell>
          <cell r="E322">
            <v>1513.17288596</v>
          </cell>
          <cell r="F322">
            <v>1511.85229478</v>
          </cell>
          <cell r="G322">
            <v>1520.7735996399999</v>
          </cell>
          <cell r="H322">
            <v>1521.22302534</v>
          </cell>
          <cell r="I322">
            <v>1523.13597757</v>
          </cell>
          <cell r="J322"/>
          <cell r="K322"/>
        </row>
        <row r="323">
          <cell r="B323" t="str">
            <v>PNJCO</v>
          </cell>
          <cell r="C323">
            <v>1508.40711874</v>
          </cell>
          <cell r="D323">
            <v>1507.2930065999999</v>
          </cell>
          <cell r="E323">
            <v>1518.2443563700001</v>
          </cell>
          <cell r="F323">
            <v>1515.6322462600001</v>
          </cell>
          <cell r="G323">
            <v>1524.70251304</v>
          </cell>
          <cell r="H323">
            <v>1524.1202967700001</v>
          </cell>
          <cell r="I323">
            <v>1519.5</v>
          </cell>
          <cell r="J323"/>
          <cell r="K323"/>
        </row>
        <row r="324">
          <cell r="B324" t="str">
            <v>VSCJO</v>
          </cell>
          <cell r="C324">
            <v>1494.9226670800001</v>
          </cell>
          <cell r="D324">
            <v>1493.8265848599999</v>
          </cell>
          <cell r="E324">
            <v>1507.50283233</v>
          </cell>
          <cell r="F324">
            <v>1503.26730535</v>
          </cell>
          <cell r="G324">
            <v>1512.3057636399999</v>
          </cell>
          <cell r="H324">
            <v>1511.4141686400001</v>
          </cell>
          <cell r="I324">
            <v>1513.3641474599999</v>
          </cell>
          <cell r="J324"/>
          <cell r="K324"/>
        </row>
        <row r="325">
          <cell r="B325" t="str">
            <v>TLCDO</v>
          </cell>
          <cell r="C325">
            <v>1501.3099210299999</v>
          </cell>
          <cell r="D325">
            <v>1500.2110716</v>
          </cell>
          <cell r="E325">
            <v>1512.7</v>
          </cell>
          <cell r="F325">
            <v>1509.96118422</v>
          </cell>
          <cell r="G325">
            <v>1519.04982812</v>
          </cell>
          <cell r="H325">
            <v>1518.08366093</v>
          </cell>
          <cell r="I325">
            <v>1520.0451372699999</v>
          </cell>
          <cell r="J325"/>
          <cell r="K325"/>
        </row>
        <row r="326">
          <cell r="B326" t="str">
            <v>PNZCO</v>
          </cell>
          <cell r="C326">
            <v>1471.0919609</v>
          </cell>
          <cell r="D326">
            <v>1470.04774236</v>
          </cell>
          <cell r="E326">
            <v>1485.89258187</v>
          </cell>
          <cell r="F326">
            <v>1483.62681806</v>
          </cell>
          <cell r="G326">
            <v>1492.72089289</v>
          </cell>
          <cell r="H326">
            <v>1489.59</v>
          </cell>
          <cell r="I326">
            <v>1492.8255118699999</v>
          </cell>
          <cell r="J326"/>
          <cell r="K326"/>
        </row>
        <row r="327">
          <cell r="B327" t="str">
            <v>OLC3O</v>
          </cell>
          <cell r="C327">
            <v>1469.6394851800001</v>
          </cell>
          <cell r="D327">
            <v>1468.59788948</v>
          </cell>
          <cell r="E327">
            <v>1483.24</v>
          </cell>
          <cell r="F327">
            <v>1477.90832639</v>
          </cell>
          <cell r="G327">
            <v>1491.4248024599999</v>
          </cell>
          <cell r="H327">
            <v>1489.17</v>
          </cell>
          <cell r="I327">
            <v>1491.50581515</v>
          </cell>
          <cell r="J327"/>
          <cell r="K327"/>
        </row>
        <row r="328">
          <cell r="B328" t="str">
            <v>MGCEO</v>
          </cell>
          <cell r="C328">
            <v>1434.07401615</v>
          </cell>
          <cell r="D328">
            <v>1433.0854109899999</v>
          </cell>
          <cell r="E328">
            <v>1447.04122654</v>
          </cell>
          <cell r="F328">
            <v>1448.92541585</v>
          </cell>
          <cell r="G328">
            <v>1457.94019996</v>
          </cell>
          <cell r="H328">
            <v>1456.24817065</v>
          </cell>
          <cell r="I328">
            <v>1458.2117179100001</v>
          </cell>
          <cell r="J328"/>
          <cell r="K328"/>
        </row>
        <row r="329">
          <cell r="B329" t="str">
            <v>OLC2O</v>
          </cell>
          <cell r="C329">
            <v>1418.80857186</v>
          </cell>
          <cell r="D329">
            <v>1417.8463737</v>
          </cell>
          <cell r="E329">
            <v>1429.25</v>
          </cell>
          <cell r="F329">
            <v>1434.7264678900001</v>
          </cell>
          <cell r="G329">
            <v>1443.708742</v>
          </cell>
          <cell r="H329">
            <v>1443.4602023499999</v>
          </cell>
          <cell r="I329">
            <v>1445.4189690799999</v>
          </cell>
          <cell r="J329"/>
          <cell r="K329"/>
        </row>
        <row r="330">
          <cell r="B330" t="str">
            <v>MR43O</v>
          </cell>
          <cell r="C330">
            <v>454.75628999999998</v>
          </cell>
          <cell r="D330">
            <v>454.36964999999998</v>
          </cell>
          <cell r="E330">
            <v>454.17923999999999</v>
          </cell>
          <cell r="F330">
            <v>454.36964999999998</v>
          </cell>
          <cell r="G330">
            <v>457.00398000000001</v>
          </cell>
          <cell r="H330">
            <v>457.45202999999998</v>
          </cell>
          <cell r="I330">
            <v>457.99991999999997</v>
          </cell>
          <cell r="J330"/>
          <cell r="K330"/>
        </row>
        <row r="331">
          <cell r="B331" t="str">
            <v>DRSAO</v>
          </cell>
          <cell r="C331">
            <v>9.9999999999999995E-8</v>
          </cell>
          <cell r="D331">
            <v>9.9999999999999995E-8</v>
          </cell>
          <cell r="E331">
            <v>9.9999999999999995E-8</v>
          </cell>
          <cell r="F331">
            <v>9.9999999999999995E-8</v>
          </cell>
          <cell r="G331">
            <v>9.9999999999999995E-8</v>
          </cell>
          <cell r="H331">
            <v>9.9999999999999995E-8</v>
          </cell>
          <cell r="I331">
            <v>9.9999999999999995E-8</v>
          </cell>
          <cell r="J331"/>
          <cell r="K331"/>
        </row>
        <row r="332">
          <cell r="B332"/>
          <cell r="C332"/>
          <cell r="D332"/>
          <cell r="E332"/>
          <cell r="F332"/>
          <cell r="G332"/>
          <cell r="H332"/>
          <cell r="I332"/>
          <cell r="J332"/>
          <cell r="K332"/>
        </row>
        <row r="333">
          <cell r="B333" t="str">
            <v>Fideicomisos Financieros Tamar</v>
          </cell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 t="str">
            <v>CO18A</v>
          </cell>
          <cell r="C335">
            <v>0.25090884000000002</v>
          </cell>
          <cell r="D335">
            <v>0.25110321000000002</v>
          </cell>
          <cell r="E335">
            <v>0.25131713999999999</v>
          </cell>
          <cell r="F335">
            <v>0.25186530000000001</v>
          </cell>
          <cell r="G335">
            <v>0.18375765999999999</v>
          </cell>
          <cell r="H335">
            <v>0.18388591000000001</v>
          </cell>
          <cell r="I335">
            <v>0.18401857999999999</v>
          </cell>
          <cell r="J335"/>
          <cell r="K335"/>
        </row>
        <row r="336">
          <cell r="B336" t="str">
            <v>CO17A</v>
          </cell>
          <cell r="C336">
            <v>0.25789625999999999</v>
          </cell>
          <cell r="D336">
            <v>0.25809604000000003</v>
          </cell>
          <cell r="E336">
            <v>0.25831591999999998</v>
          </cell>
          <cell r="F336">
            <v>0.25887936</v>
          </cell>
          <cell r="G336">
            <v>0.20025925999999999</v>
          </cell>
          <cell r="H336">
            <v>0.20039903000000001</v>
          </cell>
          <cell r="I336">
            <v>0.20054361000000001</v>
          </cell>
          <cell r="J336"/>
          <cell r="K336"/>
        </row>
        <row r="337">
          <cell r="B337" t="str">
            <v>CO19A</v>
          </cell>
          <cell r="C337">
            <v>0.88711264999999995</v>
          </cell>
          <cell r="D337">
            <v>0.88801664999999996</v>
          </cell>
          <cell r="E337">
            <v>0.88615838999999996</v>
          </cell>
          <cell r="F337">
            <v>0.88909039999999995</v>
          </cell>
          <cell r="G337">
            <v>0.82763434999999996</v>
          </cell>
          <cell r="H337">
            <v>0.82829483999999998</v>
          </cell>
          <cell r="I337">
            <v>0.82892387000000001</v>
          </cell>
          <cell r="J337"/>
          <cell r="K337"/>
        </row>
        <row r="338">
          <cell r="B338" t="str">
            <v>CO20A</v>
          </cell>
          <cell r="C338">
            <v>1.0079268400000001</v>
          </cell>
          <cell r="D338">
            <v>1.00896915</v>
          </cell>
          <cell r="E338">
            <v>1.0052874599999999</v>
          </cell>
          <cell r="F338">
            <v>1.0085335099999999</v>
          </cell>
          <cell r="G338">
            <v>1.00953973</v>
          </cell>
          <cell r="H338">
            <v>1.0104022500000001</v>
          </cell>
          <cell r="I338">
            <v>1.0111486999999999</v>
          </cell>
          <cell r="J338"/>
          <cell r="K338"/>
        </row>
        <row r="339">
          <cell r="B339" t="str">
            <v>CF82A</v>
          </cell>
          <cell r="C339">
            <v>6.7369719999999994E-2</v>
          </cell>
          <cell r="D339">
            <v>6.7421930000000005E-2</v>
          </cell>
          <cell r="E339">
            <v>6.7479380000000005E-2</v>
          </cell>
          <cell r="F339">
            <v>6.7626610000000004E-2</v>
          </cell>
          <cell r="G339">
            <v>1.87002E-2</v>
          </cell>
          <cell r="H339">
            <v>1.8712929999999999E-2</v>
          </cell>
          <cell r="I339">
            <v>1.8726949999999999E-2</v>
          </cell>
          <cell r="J339"/>
          <cell r="K339"/>
        </row>
        <row r="340">
          <cell r="B340" t="str">
            <v>M333A</v>
          </cell>
          <cell r="C340">
            <v>0.19060743999999999</v>
          </cell>
          <cell r="D340">
            <v>0.19076082</v>
          </cell>
          <cell r="E340">
            <v>0.19095110000000001</v>
          </cell>
          <cell r="F340">
            <v>0.19139523999999999</v>
          </cell>
          <cell r="G340">
            <v>0.19152807999999999</v>
          </cell>
          <cell r="H340">
            <v>0.19165983</v>
          </cell>
          <cell r="I340">
            <v>0.19179492000000001</v>
          </cell>
          <cell r="J340"/>
          <cell r="K340"/>
        </row>
        <row r="341">
          <cell r="B341" t="str">
            <v>M331A</v>
          </cell>
          <cell r="C341">
            <v>9.6819630000000004E-2</v>
          </cell>
          <cell r="D341">
            <v>9.6897540000000004E-2</v>
          </cell>
          <cell r="E341">
            <v>9.6994200000000003E-2</v>
          </cell>
          <cell r="F341">
            <v>9.7219799999999995E-2</v>
          </cell>
          <cell r="G341">
            <v>9.7287280000000004E-2</v>
          </cell>
          <cell r="H341">
            <v>9.7354200000000002E-2</v>
          </cell>
          <cell r="I341">
            <v>9.7422819999999993E-2</v>
          </cell>
          <cell r="J341"/>
          <cell r="K341"/>
        </row>
        <row r="342">
          <cell r="B342" t="str">
            <v>M327A</v>
          </cell>
          <cell r="C342">
            <v>2.6709210000000001E-2</v>
          </cell>
          <cell r="D342">
            <v>2.67307E-2</v>
          </cell>
          <cell r="E342">
            <v>2.6757369999999999E-2</v>
          </cell>
          <cell r="F342">
            <v>2.6819599999999999E-2</v>
          </cell>
          <cell r="G342">
            <v>2.6838219999999999E-2</v>
          </cell>
          <cell r="H342">
            <v>2.6856680000000001E-2</v>
          </cell>
          <cell r="I342">
            <v>2.6875610000000001E-2</v>
          </cell>
          <cell r="J342"/>
          <cell r="K342"/>
        </row>
        <row r="343">
          <cell r="B343" t="str">
            <v>M329A</v>
          </cell>
          <cell r="C343">
            <v>5.927528E-2</v>
          </cell>
          <cell r="D343">
            <v>5.9322979999999997E-2</v>
          </cell>
          <cell r="E343">
            <v>5.9382160000000003E-2</v>
          </cell>
          <cell r="F343">
            <v>5.9520280000000002E-2</v>
          </cell>
          <cell r="G343">
            <v>5.9561589999999998E-2</v>
          </cell>
          <cell r="H343">
            <v>5.9602559999999999E-2</v>
          </cell>
          <cell r="I343">
            <v>5.9644570000000001E-2</v>
          </cell>
          <cell r="J343"/>
          <cell r="K343"/>
        </row>
        <row r="344">
          <cell r="B344" t="str">
            <v>M322A</v>
          </cell>
          <cell r="C344">
            <v>7.8810179999999994E-2</v>
          </cell>
          <cell r="D344">
            <v>7.8873990000000005E-2</v>
          </cell>
          <cell r="E344">
            <v>7.8954440000000001E-2</v>
          </cell>
          <cell r="F344">
            <v>7.9139920000000002E-2</v>
          </cell>
          <cell r="G344">
            <v>7.9194829999999994E-2</v>
          </cell>
          <cell r="H344">
            <v>7.9249169999999994E-2</v>
          </cell>
          <cell r="I344">
            <v>7.9305139999999996E-2</v>
          </cell>
          <cell r="J344"/>
          <cell r="K344"/>
        </row>
        <row r="345">
          <cell r="B345" t="str">
            <v>M320A</v>
          </cell>
          <cell r="C345">
            <v>2.4081439999999999E-2</v>
          </cell>
          <cell r="D345">
            <v>2.4100940000000001E-2</v>
          </cell>
          <cell r="E345">
            <v>2.4125520000000001E-2</v>
          </cell>
          <cell r="F345">
            <v>2.4182200000000001E-2</v>
          </cell>
          <cell r="G345">
            <v>2.4198979999999998E-2</v>
          </cell>
          <cell r="H345">
            <v>2.421558E-2</v>
          </cell>
          <cell r="I345">
            <v>2.4232679999999999E-2</v>
          </cell>
          <cell r="J345"/>
          <cell r="K345"/>
        </row>
        <row r="346">
          <cell r="B346" t="str">
            <v>C199A</v>
          </cell>
          <cell r="C346">
            <v>2.5386100000000002E-2</v>
          </cell>
          <cell r="D346">
            <v>2.5406519999999998E-2</v>
          </cell>
          <cell r="E346">
            <v>2.5431869999999999E-2</v>
          </cell>
          <cell r="F346">
            <v>2.549102E-2</v>
          </cell>
          <cell r="G346">
            <v>2.550871E-2</v>
          </cell>
          <cell r="H346">
            <v>2.5526259999999999E-2</v>
          </cell>
          <cell r="I346">
            <v>2.5544250000000001E-2</v>
          </cell>
          <cell r="J346"/>
          <cell r="K346"/>
        </row>
        <row r="347">
          <cell r="B347" t="str">
            <v>CF83A</v>
          </cell>
          <cell r="C347">
            <v>0.24853217999999999</v>
          </cell>
          <cell r="D347">
            <v>0.24872477000000001</v>
          </cell>
          <cell r="E347">
            <v>0.24893672</v>
          </cell>
          <cell r="F347">
            <v>0.24947985</v>
          </cell>
          <cell r="G347">
            <v>0.18170379</v>
          </cell>
          <cell r="H347">
            <v>0.18182081999999999</v>
          </cell>
          <cell r="I347">
            <v>0.18195500000000001</v>
          </cell>
          <cell r="J347"/>
          <cell r="K347"/>
        </row>
        <row r="348">
          <cell r="B348" t="str">
            <v>CU57A</v>
          </cell>
          <cell r="C348">
            <v>0.21502315999999999</v>
          </cell>
          <cell r="D348">
            <v>0.21519680999999999</v>
          </cell>
          <cell r="E348">
            <v>0.21543802000000001</v>
          </cell>
          <cell r="F348">
            <v>0.21598149</v>
          </cell>
          <cell r="G348">
            <v>0.11956522999999999</v>
          </cell>
          <cell r="H348">
            <v>0.11964234</v>
          </cell>
          <cell r="I348">
            <v>0.11973072999999999</v>
          </cell>
          <cell r="J348"/>
          <cell r="K348"/>
        </row>
        <row r="349">
          <cell r="B349" t="str">
            <v>CU58A</v>
          </cell>
          <cell r="C349">
            <v>0.30277133000000001</v>
          </cell>
          <cell r="D349">
            <v>0.30302244</v>
          </cell>
          <cell r="E349">
            <v>0.30340075999999999</v>
          </cell>
          <cell r="F349">
            <v>0.30423043</v>
          </cell>
          <cell r="G349">
            <v>0.20654782999999999</v>
          </cell>
          <cell r="H349">
            <v>0.20668197999999999</v>
          </cell>
          <cell r="I349">
            <v>0.20683561</v>
          </cell>
          <cell r="J349"/>
          <cell r="K349"/>
        </row>
        <row r="350">
          <cell r="B350" t="str">
            <v>DT44A</v>
          </cell>
          <cell r="C350">
            <v>0.32175555</v>
          </cell>
          <cell r="D350">
            <v>0.16030923999999999</v>
          </cell>
          <cell r="E350">
            <v>0.16052791999999999</v>
          </cell>
          <cell r="F350">
            <v>0.16098144</v>
          </cell>
          <cell r="G350">
            <v>0.16110131</v>
          </cell>
          <cell r="H350">
            <v>0.16121506999999999</v>
          </cell>
          <cell r="I350">
            <v>0.16133057000000001</v>
          </cell>
          <cell r="J350"/>
          <cell r="K350"/>
        </row>
        <row r="351">
          <cell r="B351" t="str">
            <v>DT45A</v>
          </cell>
          <cell r="C351">
            <v>0.46192144000000002</v>
          </cell>
          <cell r="D351">
            <v>0.26520081000000001</v>
          </cell>
          <cell r="E351">
            <v>0.26557682999999999</v>
          </cell>
          <cell r="F351">
            <v>0.26636841</v>
          </cell>
          <cell r="G351">
            <v>0.26657177999999998</v>
          </cell>
          <cell r="H351">
            <v>0.26676229000000001</v>
          </cell>
          <cell r="I351">
            <v>0.26695523999999998</v>
          </cell>
          <cell r="J351"/>
          <cell r="K351"/>
        </row>
        <row r="352">
          <cell r="B352" t="str">
            <v>CU59A</v>
          </cell>
          <cell r="C352">
            <v>0.63041493000000004</v>
          </cell>
          <cell r="D352">
            <v>0.63095027999999997</v>
          </cell>
          <cell r="E352">
            <v>0.63172737000000001</v>
          </cell>
          <cell r="F352">
            <v>0.63355298999999998</v>
          </cell>
          <cell r="G352">
            <v>0.41081056999999999</v>
          </cell>
          <cell r="H352">
            <v>0.41108277999999998</v>
          </cell>
          <cell r="I352">
            <v>0.41139313999999999</v>
          </cell>
          <cell r="J352"/>
          <cell r="K352"/>
        </row>
        <row r="353">
          <cell r="B353" t="str">
            <v>M341A</v>
          </cell>
          <cell r="C353">
            <v>0.23392262</v>
          </cell>
          <cell r="D353">
            <v>0.23413233</v>
          </cell>
          <cell r="E353">
            <v>0.23469999999999999</v>
          </cell>
          <cell r="F353">
            <v>0.23520160000000001</v>
          </cell>
          <cell r="G353">
            <v>0.23529636000000001</v>
          </cell>
          <cell r="H353">
            <v>0.23546453000000001</v>
          </cell>
          <cell r="I353">
            <v>0.23563685000000001</v>
          </cell>
          <cell r="J353"/>
          <cell r="K353"/>
        </row>
        <row r="354">
          <cell r="B354" t="str">
            <v>C200A</v>
          </cell>
          <cell r="C354">
            <v>0.36378385000000002</v>
          </cell>
          <cell r="D354">
            <v>0.36410178999999998</v>
          </cell>
          <cell r="E354">
            <v>0.36456897999999999</v>
          </cell>
          <cell r="F354">
            <v>0.36565166999999998</v>
          </cell>
          <cell r="G354">
            <v>0.36593144</v>
          </cell>
          <cell r="H354">
            <v>0.36619369000000002</v>
          </cell>
          <cell r="I354">
            <v>0.36646242000000001</v>
          </cell>
          <cell r="J354"/>
          <cell r="K354"/>
        </row>
        <row r="355">
          <cell r="B355" t="str">
            <v>M343A</v>
          </cell>
          <cell r="C355">
            <v>0.35075334000000002</v>
          </cell>
          <cell r="D355">
            <v>0.35106135999999999</v>
          </cell>
          <cell r="E355">
            <v>0.35151437000000002</v>
          </cell>
          <cell r="F355">
            <v>0.35261068000000001</v>
          </cell>
          <cell r="G355">
            <v>0.35288603000000002</v>
          </cell>
          <cell r="H355">
            <v>0.35314131999999998</v>
          </cell>
          <cell r="I355">
            <v>0.35340254999999998</v>
          </cell>
          <cell r="J355"/>
          <cell r="K355"/>
        </row>
        <row r="356">
          <cell r="B356" t="str">
            <v>C201A</v>
          </cell>
          <cell r="C356">
            <v>0.40433445000000001</v>
          </cell>
          <cell r="D356">
            <v>0.40469168</v>
          </cell>
          <cell r="E356">
            <v>0.40520201</v>
          </cell>
          <cell r="F356">
            <v>0.40643519</v>
          </cell>
          <cell r="G356">
            <v>0.40675031</v>
          </cell>
          <cell r="H356">
            <v>0.40704368000000002</v>
          </cell>
          <cell r="I356">
            <v>0.40734380999999997</v>
          </cell>
          <cell r="J356"/>
          <cell r="K356"/>
        </row>
        <row r="357">
          <cell r="B357" t="str">
            <v>CF86A</v>
          </cell>
          <cell r="C357">
            <v>0.53525060999999996</v>
          </cell>
          <cell r="D357">
            <v>0.53571482000000004</v>
          </cell>
          <cell r="E357">
            <v>0.53638481999999998</v>
          </cell>
          <cell r="F357">
            <v>0.53802231</v>
          </cell>
          <cell r="G357">
            <v>0.36743710000000002</v>
          </cell>
          <cell r="H357">
            <v>0.36770594000000001</v>
          </cell>
          <cell r="I357">
            <v>0.36798687000000002</v>
          </cell>
          <cell r="J357"/>
          <cell r="K357"/>
        </row>
        <row r="358">
          <cell r="B358" t="str">
            <v>DT46A</v>
          </cell>
          <cell r="C358">
            <v>1.0167199200000001</v>
          </cell>
          <cell r="D358">
            <v>0.62513430999999997</v>
          </cell>
          <cell r="E358">
            <v>0.62601167999999996</v>
          </cell>
          <cell r="F358">
            <v>0.62804340000000003</v>
          </cell>
          <cell r="G358">
            <v>0.62854463000000005</v>
          </cell>
          <cell r="H358">
            <v>0.62900338</v>
          </cell>
          <cell r="I358">
            <v>0.62946606999999999</v>
          </cell>
          <cell r="J358"/>
          <cell r="K358"/>
        </row>
        <row r="359">
          <cell r="B359" t="str">
            <v>M345A</v>
          </cell>
          <cell r="C359">
            <v>0.42736681999999998</v>
          </cell>
          <cell r="D359">
            <v>0.42775018999999997</v>
          </cell>
          <cell r="E359">
            <v>0.42826718000000003</v>
          </cell>
          <cell r="F359">
            <v>0.42965768999999998</v>
          </cell>
          <cell r="G359">
            <v>0.43000118999999998</v>
          </cell>
          <cell r="H359">
            <v>0.43031574</v>
          </cell>
          <cell r="I359">
            <v>0.43063678999999999</v>
          </cell>
          <cell r="J359"/>
          <cell r="K359"/>
        </row>
        <row r="360">
          <cell r="B360" t="str">
            <v>CU60A</v>
          </cell>
          <cell r="C360">
            <v>1.0168219300000001</v>
          </cell>
          <cell r="D360">
            <v>1.01770268</v>
          </cell>
          <cell r="E360">
            <v>1.0188719399999999</v>
          </cell>
          <cell r="F360">
            <v>1.02192569</v>
          </cell>
          <cell r="G360">
            <v>0.70053321999999996</v>
          </cell>
          <cell r="H360">
            <v>0.70099979000000001</v>
          </cell>
          <cell r="I360">
            <v>0.70153069999999995</v>
          </cell>
          <cell r="J360"/>
          <cell r="K360"/>
        </row>
        <row r="361">
          <cell r="B361" t="str">
            <v>CU61A</v>
          </cell>
          <cell r="C361">
            <v>0.99295317999999999</v>
          </cell>
          <cell r="D361">
            <v>0.99393103000000005</v>
          </cell>
          <cell r="E361">
            <v>0.99550000000000005</v>
          </cell>
          <cell r="F361">
            <v>0.99839175000000002</v>
          </cell>
          <cell r="G361">
            <v>0.99913220999999997</v>
          </cell>
          <cell r="H361">
            <v>0.99979963999999999</v>
          </cell>
          <cell r="I361">
            <v>1.00055776</v>
          </cell>
          <cell r="J361"/>
          <cell r="K361"/>
        </row>
        <row r="362">
          <cell r="B362" t="str">
            <v>M347A</v>
          </cell>
          <cell r="C362">
            <v>0.52068219999999998</v>
          </cell>
          <cell r="D362">
            <v>0.52116324999999997</v>
          </cell>
          <cell r="E362">
            <v>0.52167286000000002</v>
          </cell>
          <cell r="F362">
            <v>0.52344632000000002</v>
          </cell>
          <cell r="G362">
            <v>0.52387894000000002</v>
          </cell>
          <cell r="H362">
            <v>0.52426865</v>
          </cell>
          <cell r="I362">
            <v>0.52466400999999996</v>
          </cell>
          <cell r="J362"/>
          <cell r="K362"/>
        </row>
        <row r="363">
          <cell r="B363" t="str">
            <v>C202A</v>
          </cell>
          <cell r="C363">
            <v>0.71849492000000004</v>
          </cell>
          <cell r="D363">
            <v>0.71918325000000005</v>
          </cell>
          <cell r="E363">
            <v>0.71952355000000001</v>
          </cell>
          <cell r="F363">
            <v>0.72199400999999996</v>
          </cell>
          <cell r="G363">
            <v>0.72260913000000004</v>
          </cell>
          <cell r="H363">
            <v>0.72315660000000004</v>
          </cell>
          <cell r="I363">
            <v>0.72370508</v>
          </cell>
          <cell r="J363"/>
          <cell r="K363"/>
        </row>
        <row r="364">
          <cell r="B364" t="str">
            <v>SK01A</v>
          </cell>
          <cell r="C364">
            <v>0.41625359000000001</v>
          </cell>
          <cell r="D364">
            <v>0.32026729999999998</v>
          </cell>
          <cell r="E364">
            <v>0.32060068000000003</v>
          </cell>
          <cell r="F364">
            <v>0.32173695000000002</v>
          </cell>
          <cell r="G364">
            <v>0.32201277</v>
          </cell>
          <cell r="H364">
            <v>0.32225827000000001</v>
          </cell>
          <cell r="I364">
            <v>0.32249972999999998</v>
          </cell>
          <cell r="J364"/>
          <cell r="K364"/>
        </row>
        <row r="365">
          <cell r="B365" t="str">
            <v>DT47A</v>
          </cell>
          <cell r="C365">
            <v>1.01311522</v>
          </cell>
          <cell r="D365">
            <v>0.99341031000000002</v>
          </cell>
          <cell r="E365">
            <v>0.99454737000000004</v>
          </cell>
          <cell r="F365">
            <v>0.99799011999999998</v>
          </cell>
          <cell r="G365">
            <v>0.99882298999999997</v>
          </cell>
          <cell r="H365">
            <v>0.99956884999999995</v>
          </cell>
          <cell r="I365">
            <v>1.0003151299999999</v>
          </cell>
          <cell r="J365"/>
          <cell r="K365"/>
        </row>
        <row r="366">
          <cell r="B366" t="str">
            <v>M349A</v>
          </cell>
          <cell r="C366">
            <v>0.63130010999999997</v>
          </cell>
          <cell r="D366">
            <v>0.63189753999999998</v>
          </cell>
          <cell r="E366">
            <v>0.63228983999999999</v>
          </cell>
          <cell r="F366">
            <v>0.63448892999999995</v>
          </cell>
          <cell r="G366">
            <v>0.63502709000000002</v>
          </cell>
          <cell r="H366">
            <v>0.63550618999999997</v>
          </cell>
          <cell r="I366">
            <v>0.63598865000000004</v>
          </cell>
          <cell r="J366"/>
          <cell r="K366"/>
        </row>
        <row r="367">
          <cell r="B367" t="str">
            <v>M351A</v>
          </cell>
          <cell r="C367">
            <v>0.69363041999999997</v>
          </cell>
          <cell r="D367">
            <v>0.69429116999999996</v>
          </cell>
          <cell r="E367">
            <v>0.69463675999999996</v>
          </cell>
          <cell r="F367">
            <v>0.69706279000000004</v>
          </cell>
          <cell r="G367">
            <v>0.69765812000000005</v>
          </cell>
          <cell r="H367">
            <v>0.69818652000000003</v>
          </cell>
          <cell r="I367">
            <v>0.69871738999999999</v>
          </cell>
          <cell r="J367"/>
          <cell r="K367"/>
        </row>
        <row r="368">
          <cell r="B368" t="str">
            <v>M353A</v>
          </cell>
          <cell r="C368">
            <v>0.78849597999999999</v>
          </cell>
          <cell r="D368">
            <v>0.78925034999999999</v>
          </cell>
          <cell r="E368">
            <v>0.78953068999999998</v>
          </cell>
          <cell r="F368">
            <v>0.79228166</v>
          </cell>
          <cell r="G368">
            <v>0.79296124000000001</v>
          </cell>
          <cell r="H368">
            <v>0.79356351000000003</v>
          </cell>
          <cell r="I368">
            <v>0.79416704000000005</v>
          </cell>
          <cell r="J368"/>
          <cell r="K368"/>
        </row>
        <row r="369">
          <cell r="B369" t="str">
            <v>M355A</v>
          </cell>
          <cell r="C369">
            <v>0.91740557</v>
          </cell>
          <cell r="D369">
            <v>0.91829477999999998</v>
          </cell>
          <cell r="E369">
            <v>0.91834532000000002</v>
          </cell>
          <cell r="F369">
            <v>0.92155686999999997</v>
          </cell>
          <cell r="G369">
            <v>0.92235787000000002</v>
          </cell>
          <cell r="H369">
            <v>0.92306387000000001</v>
          </cell>
          <cell r="I369">
            <v>0.92376754000000005</v>
          </cell>
          <cell r="J369"/>
          <cell r="K369"/>
        </row>
        <row r="370">
          <cell r="B370" t="str">
            <v>DT48A</v>
          </cell>
          <cell r="C370">
            <v>1.0111099400000001</v>
          </cell>
          <cell r="D370">
            <v>0.99144527000000005</v>
          </cell>
          <cell r="E370">
            <v>0.99227204000000002</v>
          </cell>
          <cell r="F370">
            <v>0.99597301000000005</v>
          </cell>
          <cell r="G370">
            <v>0.99684930000000005</v>
          </cell>
          <cell r="H370">
            <v>0.99761480000000002</v>
          </cell>
          <cell r="I370">
            <v>0.99837310999999995</v>
          </cell>
          <cell r="J370"/>
          <cell r="K370"/>
        </row>
        <row r="371">
          <cell r="B371" t="str">
            <v>DT49A</v>
          </cell>
          <cell r="C371">
            <v>1.00904014</v>
          </cell>
          <cell r="D371">
            <v>0.98940744000000003</v>
          </cell>
          <cell r="E371">
            <v>0.98976476999999996</v>
          </cell>
          <cell r="F371">
            <v>0.99359967000000005</v>
          </cell>
          <cell r="G371">
            <v>0.99450782999999998</v>
          </cell>
          <cell r="H371">
            <v>0.9952879</v>
          </cell>
          <cell r="I371">
            <v>0.99605297000000004</v>
          </cell>
          <cell r="J371"/>
          <cell r="K371"/>
        </row>
        <row r="372">
          <cell r="B372" t="str">
            <v>M357A</v>
          </cell>
          <cell r="C372">
            <v>1.04066547</v>
          </cell>
          <cell r="D372">
            <v>1.04169661</v>
          </cell>
          <cell r="E372">
            <v>1.04114968</v>
          </cell>
          <cell r="F372">
            <v>1.0448016600000001</v>
          </cell>
          <cell r="G372">
            <v>1.0457326300000001</v>
          </cell>
          <cell r="H372">
            <v>1.0465458999999999</v>
          </cell>
          <cell r="I372">
            <v>1.0473464100000001</v>
          </cell>
          <cell r="J372"/>
          <cell r="K372"/>
        </row>
        <row r="373">
          <cell r="B373" t="str">
            <v>DT50A</v>
          </cell>
          <cell r="C373">
            <v>1.00841636</v>
          </cell>
          <cell r="D373">
            <v>0.98878944999999996</v>
          </cell>
          <cell r="E373">
            <v>0.98895407999999996</v>
          </cell>
          <cell r="F373">
            <v>0.99277937999999999</v>
          </cell>
          <cell r="G373">
            <v>0.99369213999999995</v>
          </cell>
          <cell r="H373">
            <v>0.99447443000000002</v>
          </cell>
          <cell r="I373">
            <v>0.99523936999999996</v>
          </cell>
          <cell r="J373"/>
          <cell r="K373"/>
        </row>
        <row r="374">
          <cell r="B374" t="str">
            <v>WC08A</v>
          </cell>
          <cell r="C374">
            <v>0.91917406000000001</v>
          </cell>
          <cell r="D374">
            <v>0.81826155</v>
          </cell>
          <cell r="E374">
            <v>0.8171851</v>
          </cell>
          <cell r="F374">
            <v>0.82004131999999996</v>
          </cell>
          <cell r="G374">
            <v>0.82075540000000002</v>
          </cell>
          <cell r="H374">
            <v>0.82136439999999999</v>
          </cell>
          <cell r="I374">
            <v>0.82200236000000004</v>
          </cell>
          <cell r="J374"/>
          <cell r="K374"/>
        </row>
        <row r="375">
          <cell r="B375" t="str">
            <v>M359A</v>
          </cell>
          <cell r="C375">
            <v>1.0122099499999999</v>
          </cell>
          <cell r="D375">
            <v>1.01324367</v>
          </cell>
          <cell r="E375">
            <v>1.01241041</v>
          </cell>
          <cell r="F375">
            <v>1.0161020599999999</v>
          </cell>
          <cell r="G375">
            <v>1.01704415</v>
          </cell>
          <cell r="H375">
            <v>1.01785393</v>
          </cell>
          <cell r="I375">
            <v>1.01862981</v>
          </cell>
          <cell r="J375"/>
          <cell r="K375"/>
        </row>
        <row r="376">
          <cell r="B376" t="str">
            <v>SK02A</v>
          </cell>
          <cell r="C376">
            <v>0.76983424</v>
          </cell>
          <cell r="D376">
            <v>0.69091265999999996</v>
          </cell>
          <cell r="E376">
            <v>0.68951382000000006</v>
          </cell>
          <cell r="F376">
            <v>0.69188320999999997</v>
          </cell>
          <cell r="G376">
            <v>0.69253854999999997</v>
          </cell>
          <cell r="H376">
            <v>0.69310198999999995</v>
          </cell>
          <cell r="I376">
            <v>0.69362570999999995</v>
          </cell>
          <cell r="J376"/>
          <cell r="K376"/>
        </row>
        <row r="377">
          <cell r="B377" t="str">
            <v>DT54A</v>
          </cell>
          <cell r="C377">
            <v>0.98302480000000003</v>
          </cell>
          <cell r="D377">
            <v>0.98065654000000002</v>
          </cell>
          <cell r="E377">
            <v>0.97740302999999995</v>
          </cell>
          <cell r="F377">
            <v>0.98092436999999999</v>
          </cell>
          <cell r="G377">
            <v>0.98190966999999996</v>
          </cell>
          <cell r="H377">
            <v>0.98273295999999999</v>
          </cell>
          <cell r="I377">
            <v>0.98348944000000005</v>
          </cell>
          <cell r="J377"/>
          <cell r="K377"/>
        </row>
        <row r="378">
          <cell r="B378" t="str">
            <v>DT55A</v>
          </cell>
          <cell r="C378"/>
          <cell r="D378"/>
          <cell r="E378">
            <v>0.95487200000000005</v>
          </cell>
          <cell r="F378">
            <v>0.96048602000000005</v>
          </cell>
          <cell r="G378">
            <v>0.96142488000000004</v>
          </cell>
          <cell r="H378">
            <v>0.96220240999999995</v>
          </cell>
          <cell r="I378">
            <v>0.96295463000000003</v>
          </cell>
          <cell r="J378"/>
          <cell r="K378"/>
        </row>
        <row r="379"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</row>
        <row r="380">
          <cell r="B380" t="str">
            <v>Acciones en Pesos</v>
          </cell>
          <cell r="C380"/>
          <cell r="D380"/>
          <cell r="E380"/>
          <cell r="F380"/>
          <cell r="G380"/>
          <cell r="H380"/>
          <cell r="I380"/>
          <cell r="J380"/>
          <cell r="K380"/>
        </row>
        <row r="381"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</row>
        <row r="382">
          <cell r="B382" t="str">
            <v>GGAL</v>
          </cell>
          <cell r="C382">
            <v>5940</v>
          </cell>
          <cell r="D382">
            <v>5750</v>
          </cell>
          <cell r="E382">
            <v>5900</v>
          </cell>
          <cell r="F382">
            <v>5805</v>
          </cell>
          <cell r="G382">
            <v>5690</v>
          </cell>
          <cell r="H382">
            <v>5765</v>
          </cell>
          <cell r="I382">
            <v>6015</v>
          </cell>
          <cell r="J382"/>
          <cell r="K382"/>
        </row>
        <row r="383">
          <cell r="B383" t="str">
            <v>TXAR</v>
          </cell>
          <cell r="C383">
            <v>702.5</v>
          </cell>
          <cell r="D383">
            <v>698.5</v>
          </cell>
          <cell r="E383">
            <v>723.5</v>
          </cell>
          <cell r="F383">
            <v>709</v>
          </cell>
          <cell r="G383">
            <v>693</v>
          </cell>
          <cell r="H383">
            <v>717.5</v>
          </cell>
          <cell r="I383">
            <v>767</v>
          </cell>
          <cell r="J383"/>
          <cell r="K383"/>
        </row>
        <row r="384">
          <cell r="B384" t="str">
            <v>YPFD</v>
          </cell>
          <cell r="C384">
            <v>8330</v>
          </cell>
          <cell r="D384">
            <v>8460</v>
          </cell>
          <cell r="E384">
            <v>8270</v>
          </cell>
          <cell r="F384">
            <v>8430</v>
          </cell>
          <cell r="G384">
            <v>8235</v>
          </cell>
          <cell r="H384">
            <v>8220</v>
          </cell>
          <cell r="I384">
            <v>8240</v>
          </cell>
          <cell r="J384"/>
          <cell r="K384"/>
        </row>
        <row r="385">
          <cell r="B385" t="str">
            <v>PAMP</v>
          </cell>
          <cell r="C385">
            <v>5235</v>
          </cell>
          <cell r="D385">
            <v>5220</v>
          </cell>
          <cell r="E385">
            <v>5205</v>
          </cell>
          <cell r="F385">
            <v>5240</v>
          </cell>
          <cell r="G385">
            <v>5165</v>
          </cell>
          <cell r="H385">
            <v>5080</v>
          </cell>
          <cell r="I385">
            <v>5100</v>
          </cell>
          <cell r="J385"/>
          <cell r="K385"/>
        </row>
        <row r="386">
          <cell r="B386" t="str">
            <v>BBAR</v>
          </cell>
          <cell r="C386">
            <v>6965</v>
          </cell>
          <cell r="D386">
            <v>6760</v>
          </cell>
          <cell r="E386">
            <v>6980</v>
          </cell>
          <cell r="F386">
            <v>6950</v>
          </cell>
          <cell r="G386">
            <v>6820</v>
          </cell>
          <cell r="H386">
            <v>6785</v>
          </cell>
          <cell r="I386">
            <v>6940</v>
          </cell>
          <cell r="J386"/>
          <cell r="K386"/>
        </row>
        <row r="387">
          <cell r="B387" t="str">
            <v>ALUA</v>
          </cell>
          <cell r="C387">
            <v>849.5</v>
          </cell>
          <cell r="D387">
            <v>830</v>
          </cell>
          <cell r="E387">
            <v>845</v>
          </cell>
          <cell r="F387">
            <v>833</v>
          </cell>
          <cell r="G387">
            <v>816.5</v>
          </cell>
          <cell r="H387">
            <v>821</v>
          </cell>
          <cell r="I387">
            <v>835</v>
          </cell>
          <cell r="J387"/>
          <cell r="K387"/>
        </row>
        <row r="388">
          <cell r="B388" t="str">
            <v>LOMA</v>
          </cell>
          <cell r="C388">
            <v>3222.5</v>
          </cell>
          <cell r="D388">
            <v>3215</v>
          </cell>
          <cell r="E388">
            <v>3257.5</v>
          </cell>
          <cell r="F388">
            <v>3257.5</v>
          </cell>
          <cell r="G388">
            <v>3232.5</v>
          </cell>
          <cell r="H388">
            <v>3142.5</v>
          </cell>
          <cell r="I388">
            <v>3152.5</v>
          </cell>
          <cell r="J388"/>
          <cell r="K388"/>
        </row>
        <row r="389">
          <cell r="B389" t="str">
            <v>CEPU</v>
          </cell>
          <cell r="C389">
            <v>2119</v>
          </cell>
          <cell r="D389">
            <v>2056</v>
          </cell>
          <cell r="E389">
            <v>2071</v>
          </cell>
          <cell r="F389">
            <v>2078</v>
          </cell>
          <cell r="G389">
            <v>2034</v>
          </cell>
          <cell r="H389">
            <v>1993</v>
          </cell>
          <cell r="I389">
            <v>1995</v>
          </cell>
          <cell r="J389"/>
          <cell r="K389"/>
        </row>
        <row r="390">
          <cell r="B390" t="str">
            <v>BYMA</v>
          </cell>
          <cell r="C390">
            <v>257.75</v>
          </cell>
          <cell r="D390">
            <v>256.75</v>
          </cell>
          <cell r="E390">
            <v>257.25</v>
          </cell>
          <cell r="F390">
            <v>252</v>
          </cell>
          <cell r="G390">
            <v>242</v>
          </cell>
          <cell r="H390">
            <v>234.75</v>
          </cell>
          <cell r="I390">
            <v>240</v>
          </cell>
          <cell r="J390"/>
          <cell r="K390"/>
        </row>
        <row r="391">
          <cell r="B391" t="str">
            <v>SUPV</v>
          </cell>
          <cell r="C391">
            <v>2331</v>
          </cell>
          <cell r="D391">
            <v>2273</v>
          </cell>
          <cell r="E391">
            <v>2386</v>
          </cell>
          <cell r="F391">
            <v>2352</v>
          </cell>
          <cell r="G391">
            <v>2333</v>
          </cell>
          <cell r="H391">
            <v>2333</v>
          </cell>
          <cell r="I391">
            <v>2426</v>
          </cell>
          <cell r="J391"/>
          <cell r="K391"/>
        </row>
        <row r="392">
          <cell r="B392" t="str">
            <v>TGNO4</v>
          </cell>
          <cell r="C392">
            <v>3252.5</v>
          </cell>
          <cell r="D392">
            <v>3195</v>
          </cell>
          <cell r="E392">
            <v>3265</v>
          </cell>
          <cell r="F392">
            <v>3160</v>
          </cell>
          <cell r="G392">
            <v>3122.5</v>
          </cell>
          <cell r="H392">
            <v>3022.5</v>
          </cell>
          <cell r="I392">
            <v>2972.5</v>
          </cell>
          <cell r="J392"/>
          <cell r="K392"/>
        </row>
        <row r="393">
          <cell r="B393" t="str">
            <v>CRES</v>
          </cell>
          <cell r="C393">
            <v>1851</v>
          </cell>
          <cell r="D393">
            <v>1793</v>
          </cell>
          <cell r="E393">
            <v>1840</v>
          </cell>
          <cell r="F393">
            <v>1860</v>
          </cell>
          <cell r="G393">
            <v>1842</v>
          </cell>
          <cell r="H393">
            <v>1811</v>
          </cell>
          <cell r="I393">
            <v>1818</v>
          </cell>
          <cell r="J393"/>
          <cell r="K393"/>
        </row>
        <row r="394">
          <cell r="B394" t="str">
            <v>TECO2</v>
          </cell>
          <cell r="C394">
            <v>3977.5</v>
          </cell>
          <cell r="D394">
            <v>4017.5</v>
          </cell>
          <cell r="E394">
            <v>4052.5</v>
          </cell>
          <cell r="F394">
            <v>4042.5</v>
          </cell>
          <cell r="G394">
            <v>3960</v>
          </cell>
          <cell r="H394">
            <v>4045</v>
          </cell>
          <cell r="I394">
            <v>4275</v>
          </cell>
          <cell r="J394"/>
          <cell r="K394"/>
        </row>
        <row r="395">
          <cell r="B395" t="str">
            <v>VALO</v>
          </cell>
          <cell r="C395">
            <v>540.5</v>
          </cell>
          <cell r="D395">
            <v>529.5</v>
          </cell>
          <cell r="E395">
            <v>525</v>
          </cell>
          <cell r="F395">
            <v>529</v>
          </cell>
          <cell r="G395">
            <v>523</v>
          </cell>
          <cell r="H395">
            <v>527</v>
          </cell>
          <cell r="I395">
            <v>525</v>
          </cell>
          <cell r="J395"/>
          <cell r="K395"/>
        </row>
        <row r="396">
          <cell r="B396" t="str">
            <v>TGSU2</v>
          </cell>
          <cell r="C396">
            <v>8415</v>
          </cell>
          <cell r="D396">
            <v>8395</v>
          </cell>
          <cell r="E396">
            <v>8370</v>
          </cell>
          <cell r="F396">
            <v>8445</v>
          </cell>
          <cell r="G396">
            <v>8365</v>
          </cell>
          <cell r="H396">
            <v>8435</v>
          </cell>
          <cell r="I396">
            <v>8560</v>
          </cell>
          <cell r="J396"/>
          <cell r="K396"/>
        </row>
        <row r="397">
          <cell r="B397" t="str">
            <v>AUSO</v>
          </cell>
          <cell r="C397">
            <v>2900</v>
          </cell>
          <cell r="D397">
            <v>2855</v>
          </cell>
          <cell r="E397">
            <v>2790</v>
          </cell>
          <cell r="F397">
            <v>2760</v>
          </cell>
          <cell r="G397">
            <v>2770</v>
          </cell>
          <cell r="H397">
            <v>2740</v>
          </cell>
          <cell r="I397">
            <v>2785</v>
          </cell>
          <cell r="J397"/>
          <cell r="K397"/>
        </row>
        <row r="398">
          <cell r="B398" t="str">
            <v>METR</v>
          </cell>
          <cell r="C398">
            <v>2358</v>
          </cell>
          <cell r="D398">
            <v>2335</v>
          </cell>
          <cell r="E398">
            <v>2351</v>
          </cell>
          <cell r="F398">
            <v>2345</v>
          </cell>
          <cell r="G398">
            <v>2345</v>
          </cell>
          <cell r="H398">
            <v>2341</v>
          </cell>
          <cell r="I398">
            <v>2354</v>
          </cell>
          <cell r="J398"/>
          <cell r="K398"/>
        </row>
        <row r="399">
          <cell r="B399" t="str">
            <v>ECOG</v>
          </cell>
          <cell r="C399">
            <v>2433</v>
          </cell>
          <cell r="D399">
            <v>2391</v>
          </cell>
          <cell r="E399">
            <v>2380</v>
          </cell>
          <cell r="F399">
            <v>2370</v>
          </cell>
          <cell r="G399">
            <v>2358</v>
          </cell>
          <cell r="H399">
            <v>2292</v>
          </cell>
          <cell r="I399">
            <v>2288</v>
          </cell>
          <cell r="J399"/>
          <cell r="K399"/>
        </row>
        <row r="400">
          <cell r="B400" t="str">
            <v>COME</v>
          </cell>
          <cell r="C400">
            <v>39.07</v>
          </cell>
          <cell r="D400">
            <v>38.43</v>
          </cell>
          <cell r="E400">
            <v>38.28</v>
          </cell>
          <cell r="F400">
            <v>37.700000000000003</v>
          </cell>
          <cell r="G400">
            <v>36.33</v>
          </cell>
          <cell r="H400">
            <v>37.68</v>
          </cell>
          <cell r="I400">
            <v>37.590000000000003</v>
          </cell>
          <cell r="J400"/>
          <cell r="K400"/>
        </row>
        <row r="401">
          <cell r="B401" t="str">
            <v>MIRG</v>
          </cell>
          <cell r="C401">
            <v>1740</v>
          </cell>
          <cell r="D401">
            <v>1745</v>
          </cell>
          <cell r="E401">
            <v>1710</v>
          </cell>
          <cell r="F401">
            <v>1705</v>
          </cell>
          <cell r="G401">
            <v>1710</v>
          </cell>
          <cell r="H401">
            <v>1710</v>
          </cell>
          <cell r="I401">
            <v>1745</v>
          </cell>
          <cell r="J401"/>
          <cell r="K401"/>
        </row>
        <row r="402">
          <cell r="B402" t="str">
            <v>CVH</v>
          </cell>
          <cell r="C402">
            <v>9260</v>
          </cell>
          <cell r="D402">
            <v>9250</v>
          </cell>
          <cell r="E402">
            <v>9220</v>
          </cell>
          <cell r="F402">
            <v>9200</v>
          </cell>
          <cell r="G402">
            <v>9090</v>
          </cell>
          <cell r="H402">
            <v>9140</v>
          </cell>
          <cell r="I402">
            <v>9400</v>
          </cell>
          <cell r="J402"/>
          <cell r="K402"/>
        </row>
        <row r="403">
          <cell r="B403" t="str">
            <v>TRAN</v>
          </cell>
          <cell r="C403">
            <v>2705</v>
          </cell>
          <cell r="D403">
            <v>2682.5</v>
          </cell>
          <cell r="E403">
            <v>2700</v>
          </cell>
          <cell r="F403">
            <v>2560</v>
          </cell>
          <cell r="G403">
            <v>2419</v>
          </cell>
          <cell r="H403">
            <v>2408</v>
          </cell>
          <cell r="I403">
            <v>2415</v>
          </cell>
          <cell r="J403"/>
          <cell r="K403"/>
        </row>
        <row r="404">
          <cell r="B404" t="str">
            <v>HARG</v>
          </cell>
          <cell r="C404">
            <v>1330</v>
          </cell>
          <cell r="D404">
            <v>1340</v>
          </cell>
          <cell r="E404">
            <v>1320</v>
          </cell>
          <cell r="F404">
            <v>1300</v>
          </cell>
          <cell r="G404">
            <v>1260</v>
          </cell>
          <cell r="H404">
            <v>1260</v>
          </cell>
          <cell r="I404">
            <v>1285</v>
          </cell>
          <cell r="J404"/>
          <cell r="K404"/>
        </row>
        <row r="405">
          <cell r="B405" t="str">
            <v>EDN</v>
          </cell>
          <cell r="C405">
            <v>1653</v>
          </cell>
          <cell r="D405">
            <v>1660</v>
          </cell>
          <cell r="E405">
            <v>1672</v>
          </cell>
          <cell r="F405">
            <v>1660</v>
          </cell>
          <cell r="G405">
            <v>1575</v>
          </cell>
          <cell r="H405">
            <v>1549</v>
          </cell>
          <cell r="I405">
            <v>1542</v>
          </cell>
          <cell r="J405"/>
          <cell r="K405"/>
        </row>
        <row r="406">
          <cell r="B406" t="str">
            <v>MASU</v>
          </cell>
          <cell r="C406">
            <v>0.01</v>
          </cell>
          <cell r="D406">
            <v>0.01</v>
          </cell>
          <cell r="E406">
            <v>0.01</v>
          </cell>
          <cell r="F406">
            <v>0.01</v>
          </cell>
          <cell r="G406">
            <v>0.01</v>
          </cell>
          <cell r="H406">
            <v>0.01</v>
          </cell>
          <cell r="I406">
            <v>0.01</v>
          </cell>
          <cell r="J406"/>
          <cell r="K406"/>
        </row>
        <row r="407">
          <cell r="B407" t="str">
            <v>INVJ</v>
          </cell>
          <cell r="C407">
            <v>389.5</v>
          </cell>
          <cell r="D407">
            <v>388</v>
          </cell>
          <cell r="E407">
            <v>385.5</v>
          </cell>
          <cell r="F407">
            <v>379</v>
          </cell>
          <cell r="G407">
            <v>381</v>
          </cell>
          <cell r="H407">
            <v>369</v>
          </cell>
          <cell r="I407">
            <v>374.5</v>
          </cell>
          <cell r="J407"/>
          <cell r="K407"/>
        </row>
        <row r="408">
          <cell r="B408" t="str">
            <v>IRSA</v>
          </cell>
          <cell r="C408">
            <v>2290</v>
          </cell>
          <cell r="D408">
            <v>2225</v>
          </cell>
          <cell r="E408">
            <v>2270</v>
          </cell>
          <cell r="F408">
            <v>2285</v>
          </cell>
          <cell r="G408">
            <v>2305</v>
          </cell>
          <cell r="H408">
            <v>2270</v>
          </cell>
          <cell r="I408">
            <v>2305</v>
          </cell>
          <cell r="J408"/>
          <cell r="K408"/>
        </row>
        <row r="409">
          <cell r="B409" t="str">
            <v>DGCE</v>
          </cell>
          <cell r="C409">
            <v>1850</v>
          </cell>
          <cell r="D409">
            <v>1850</v>
          </cell>
          <cell r="E409">
            <v>1850</v>
          </cell>
          <cell r="F409">
            <v>1850</v>
          </cell>
          <cell r="G409">
            <v>1850</v>
          </cell>
          <cell r="H409">
            <v>1850</v>
          </cell>
          <cell r="I409">
            <v>1850</v>
          </cell>
          <cell r="J409"/>
          <cell r="K409"/>
        </row>
        <row r="410">
          <cell r="B410" t="str">
            <v>BHIP</v>
          </cell>
          <cell r="C410">
            <v>259</v>
          </cell>
          <cell r="D410">
            <v>251</v>
          </cell>
          <cell r="E410">
            <v>253.5</v>
          </cell>
          <cell r="F410">
            <v>246.5</v>
          </cell>
          <cell r="G410">
            <v>243.5</v>
          </cell>
          <cell r="H410">
            <v>240.5</v>
          </cell>
          <cell r="I410">
            <v>241</v>
          </cell>
          <cell r="J410"/>
          <cell r="K410"/>
        </row>
        <row r="411">
          <cell r="B411"/>
          <cell r="C411"/>
          <cell r="D411"/>
          <cell r="E411"/>
          <cell r="F411"/>
          <cell r="G411"/>
          <cell r="H411"/>
          <cell r="I411"/>
          <cell r="J411"/>
          <cell r="K411"/>
        </row>
        <row r="412">
          <cell r="B412" t="str">
            <v>Acciones en USD</v>
          </cell>
          <cell r="C412"/>
          <cell r="D412"/>
          <cell r="E412"/>
          <cell r="F412"/>
          <cell r="G412"/>
          <cell r="H412"/>
          <cell r="I412"/>
          <cell r="J412"/>
          <cell r="K412"/>
        </row>
        <row r="413"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</row>
        <row r="414">
          <cell r="B414" t="str">
            <v>YPFDD</v>
          </cell>
          <cell r="C414">
            <v>5.43</v>
          </cell>
          <cell r="D414">
            <v>5.51</v>
          </cell>
          <cell r="E414">
            <v>5.38</v>
          </cell>
          <cell r="F414">
            <v>5.48</v>
          </cell>
          <cell r="G414">
            <v>5.36</v>
          </cell>
          <cell r="H414">
            <v>5.31</v>
          </cell>
          <cell r="I414">
            <v>5.29</v>
          </cell>
          <cell r="J414"/>
          <cell r="K414"/>
        </row>
        <row r="415">
          <cell r="B415" t="str">
            <v>VALOD</v>
          </cell>
          <cell r="C415">
            <v>0.34899999999999998</v>
          </cell>
          <cell r="D415">
            <v>0.34599999999999997</v>
          </cell>
          <cell r="E415">
            <v>0.34300000000000003</v>
          </cell>
          <cell r="F415">
            <v>0.34499999999999997</v>
          </cell>
          <cell r="G415">
            <v>0.34399999999999997</v>
          </cell>
          <cell r="H415">
            <v>0.33700000000000002</v>
          </cell>
          <cell r="I415">
            <v>0.34200000000000003</v>
          </cell>
          <cell r="J415"/>
          <cell r="K415"/>
        </row>
        <row r="416">
          <cell r="B416" t="str">
            <v>LOMAD</v>
          </cell>
          <cell r="C416">
            <v>2.085</v>
          </cell>
          <cell r="D416">
            <v>2.085</v>
          </cell>
          <cell r="E416">
            <v>2.1349999999999998</v>
          </cell>
          <cell r="F416">
            <v>2.1150000000000002</v>
          </cell>
          <cell r="G416">
            <v>2.09</v>
          </cell>
          <cell r="H416">
            <v>2.0299999999999998</v>
          </cell>
          <cell r="I416">
            <v>2.0099999999999998</v>
          </cell>
          <cell r="J416"/>
          <cell r="K416"/>
        </row>
        <row r="417">
          <cell r="B417" t="str">
            <v>PAMPD</v>
          </cell>
          <cell r="C417">
            <v>3.4</v>
          </cell>
          <cell r="D417">
            <v>3.39</v>
          </cell>
          <cell r="E417">
            <v>3.4</v>
          </cell>
          <cell r="F417">
            <v>3.4049999999999998</v>
          </cell>
          <cell r="G417">
            <v>3.36</v>
          </cell>
          <cell r="H417">
            <v>3.3</v>
          </cell>
          <cell r="I417">
            <v>3.2749999999999999</v>
          </cell>
          <cell r="J417"/>
          <cell r="K417"/>
        </row>
        <row r="418">
          <cell r="B418" t="str">
            <v>EDND</v>
          </cell>
          <cell r="C418">
            <v>1.085</v>
          </cell>
          <cell r="D418">
            <v>1.07</v>
          </cell>
          <cell r="E418">
            <v>1.0900000000000001</v>
          </cell>
          <cell r="F418">
            <v>1.07</v>
          </cell>
          <cell r="G418">
            <v>1.02</v>
          </cell>
          <cell r="H418">
            <v>1.0049999999999999</v>
          </cell>
          <cell r="I418">
            <v>1</v>
          </cell>
          <cell r="J418"/>
          <cell r="K418"/>
        </row>
        <row r="419">
          <cell r="B419" t="str">
            <v>BBARD</v>
          </cell>
          <cell r="C419">
            <v>4.5350000000000001</v>
          </cell>
          <cell r="D419">
            <v>4.4050000000000002</v>
          </cell>
          <cell r="E419">
            <v>4.5449999999999999</v>
          </cell>
          <cell r="F419">
            <v>4.49</v>
          </cell>
          <cell r="G419">
            <v>4.45</v>
          </cell>
          <cell r="H419">
            <v>4.41</v>
          </cell>
          <cell r="I419">
            <v>4.4450000000000003</v>
          </cell>
          <cell r="J419"/>
          <cell r="K419"/>
        </row>
        <row r="420">
          <cell r="B420" t="str">
            <v>GGALD</v>
          </cell>
          <cell r="C420">
            <v>3.87</v>
          </cell>
          <cell r="D420">
            <v>3.75</v>
          </cell>
          <cell r="E420">
            <v>3.84</v>
          </cell>
          <cell r="F420">
            <v>3.77</v>
          </cell>
          <cell r="G420">
            <v>3.7050000000000001</v>
          </cell>
          <cell r="H420">
            <v>3.75</v>
          </cell>
          <cell r="I420">
            <v>3.8849999999999998</v>
          </cell>
          <cell r="J420"/>
          <cell r="K420"/>
        </row>
        <row r="421">
          <cell r="B421" t="str">
            <v>SUPVD</v>
          </cell>
          <cell r="C421">
            <v>1.5349999999999999</v>
          </cell>
          <cell r="D421">
            <v>1.4850000000000001</v>
          </cell>
          <cell r="E421">
            <v>1.55</v>
          </cell>
          <cell r="F421">
            <v>1.5349999999999999</v>
          </cell>
          <cell r="G421">
            <v>1.5149999999999999</v>
          </cell>
          <cell r="H421">
            <v>1.52</v>
          </cell>
          <cell r="I421">
            <v>1.57</v>
          </cell>
          <cell r="J421"/>
          <cell r="K421"/>
        </row>
        <row r="422">
          <cell r="B422"/>
          <cell r="C422"/>
          <cell r="D422"/>
          <cell r="E422"/>
          <cell r="F422"/>
          <cell r="G422"/>
          <cell r="H422"/>
          <cell r="I422"/>
          <cell r="J422"/>
          <cell r="K422"/>
        </row>
        <row r="423">
          <cell r="B423" t="str">
            <v>Cedears en Pesos</v>
          </cell>
          <cell r="C423"/>
          <cell r="D423"/>
          <cell r="E423"/>
          <cell r="F423"/>
          <cell r="G423"/>
          <cell r="H423"/>
          <cell r="I423"/>
          <cell r="J423"/>
          <cell r="K423"/>
        </row>
        <row r="424"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</row>
        <row r="425">
          <cell r="B425" t="str">
            <v>MELI</v>
          </cell>
          <cell r="C425">
            <v>25220</v>
          </cell>
          <cell r="D425">
            <v>24690</v>
          </cell>
          <cell r="E425">
            <v>24970</v>
          </cell>
          <cell r="F425">
            <v>24740</v>
          </cell>
          <cell r="G425">
            <v>24890</v>
          </cell>
          <cell r="H425">
            <v>25460</v>
          </cell>
          <cell r="I425">
            <v>25280</v>
          </cell>
          <cell r="J425"/>
          <cell r="K425"/>
        </row>
        <row r="426">
          <cell r="B426" t="str">
            <v>NU</v>
          </cell>
          <cell r="C426">
            <v>12550</v>
          </cell>
          <cell r="D426">
            <v>11990</v>
          </cell>
          <cell r="E426">
            <v>11970</v>
          </cell>
          <cell r="F426">
            <v>11820</v>
          </cell>
          <cell r="G426">
            <v>11810</v>
          </cell>
          <cell r="H426">
            <v>12300</v>
          </cell>
          <cell r="I426">
            <v>12340</v>
          </cell>
          <cell r="J426"/>
          <cell r="K426"/>
        </row>
        <row r="427">
          <cell r="B427" t="str">
            <v>VALE</v>
          </cell>
          <cell r="C427">
            <v>10800</v>
          </cell>
          <cell r="D427">
            <v>10710</v>
          </cell>
          <cell r="E427">
            <v>10540</v>
          </cell>
          <cell r="F427">
            <v>10590</v>
          </cell>
          <cell r="G427">
            <v>10680</v>
          </cell>
          <cell r="H427">
            <v>10630</v>
          </cell>
          <cell r="I427">
            <v>10400</v>
          </cell>
          <cell r="J427"/>
          <cell r="K427"/>
        </row>
        <row r="428">
          <cell r="B428" t="str">
            <v>BBDC3</v>
          </cell>
          <cell r="C428">
            <v>6100</v>
          </cell>
          <cell r="D428">
            <v>6100</v>
          </cell>
          <cell r="E428">
            <v>5995</v>
          </cell>
          <cell r="F428">
            <v>5795</v>
          </cell>
          <cell r="G428">
            <v>5725</v>
          </cell>
          <cell r="H428">
            <v>5960</v>
          </cell>
          <cell r="I428">
            <v>5870</v>
          </cell>
          <cell r="J428"/>
          <cell r="K428"/>
        </row>
        <row r="429">
          <cell r="B429" t="str">
            <v>VALE3</v>
          </cell>
          <cell r="C429">
            <v>21610</v>
          </cell>
          <cell r="D429">
            <v>21350</v>
          </cell>
          <cell r="E429">
            <v>21080</v>
          </cell>
          <cell r="F429">
            <v>21240</v>
          </cell>
          <cell r="G429">
            <v>21480</v>
          </cell>
          <cell r="H429">
            <v>21300</v>
          </cell>
          <cell r="I429">
            <v>20710</v>
          </cell>
          <cell r="J429"/>
          <cell r="K429"/>
        </row>
        <row r="430">
          <cell r="B430" t="str">
            <v>ITUB3</v>
          </cell>
          <cell r="C430">
            <v>17400</v>
          </cell>
          <cell r="D430">
            <v>17070</v>
          </cell>
          <cell r="E430">
            <v>18320</v>
          </cell>
          <cell r="F430">
            <v>16780</v>
          </cell>
          <cell r="G430">
            <v>16650</v>
          </cell>
          <cell r="H430">
            <v>17230</v>
          </cell>
          <cell r="I430">
            <v>17430</v>
          </cell>
          <cell r="J430"/>
          <cell r="K430"/>
        </row>
        <row r="431">
          <cell r="B431" t="str">
            <v>PETR3</v>
          </cell>
          <cell r="C431">
            <v>20480</v>
          </cell>
          <cell r="D431">
            <v>20890</v>
          </cell>
          <cell r="E431">
            <v>20780</v>
          </cell>
          <cell r="F431">
            <v>21240</v>
          </cell>
          <cell r="G431">
            <v>22260</v>
          </cell>
          <cell r="H431">
            <v>21090</v>
          </cell>
          <cell r="I431">
            <v>21340</v>
          </cell>
          <cell r="J431"/>
          <cell r="K431"/>
        </row>
        <row r="432">
          <cell r="B432" t="str">
            <v>SUZB3</v>
          </cell>
          <cell r="C432">
            <v>13950</v>
          </cell>
          <cell r="D432">
            <v>13830</v>
          </cell>
          <cell r="E432">
            <v>13590</v>
          </cell>
          <cell r="F432">
            <v>13590</v>
          </cell>
          <cell r="G432">
            <v>13840</v>
          </cell>
          <cell r="H432">
            <v>13830</v>
          </cell>
          <cell r="I432">
            <v>13920</v>
          </cell>
          <cell r="J432"/>
          <cell r="K432"/>
        </row>
        <row r="433">
          <cell r="B433" t="str">
            <v>SBSP3</v>
          </cell>
          <cell r="C433">
            <v>10520</v>
          </cell>
          <cell r="D433">
            <v>10540</v>
          </cell>
          <cell r="E433">
            <v>10280</v>
          </cell>
          <cell r="F433">
            <v>10140</v>
          </cell>
          <cell r="G433">
            <v>10310</v>
          </cell>
          <cell r="H433">
            <v>10650</v>
          </cell>
          <cell r="I433">
            <v>10520</v>
          </cell>
          <cell r="J433"/>
          <cell r="K433"/>
        </row>
        <row r="434">
          <cell r="B434" t="str">
            <v>ABEV3</v>
          </cell>
          <cell r="C434">
            <v>5175</v>
          </cell>
          <cell r="D434">
            <v>5320</v>
          </cell>
          <cell r="E434">
            <v>5290</v>
          </cell>
          <cell r="F434">
            <v>5390</v>
          </cell>
          <cell r="G434">
            <v>5280</v>
          </cell>
          <cell r="H434">
            <v>5500</v>
          </cell>
          <cell r="I434">
            <v>5385</v>
          </cell>
          <cell r="J434"/>
          <cell r="K434"/>
        </row>
        <row r="435">
          <cell r="B435" t="str">
            <v>MSFT</v>
          </cell>
          <cell r="C435">
            <v>29200</v>
          </cell>
          <cell r="D435">
            <v>28700</v>
          </cell>
          <cell r="E435">
            <v>29060</v>
          </cell>
          <cell r="F435">
            <v>28520</v>
          </cell>
          <cell r="G435">
            <v>28860</v>
          </cell>
          <cell r="H435">
            <v>28840</v>
          </cell>
          <cell r="I435">
            <v>29000</v>
          </cell>
          <cell r="J435"/>
          <cell r="K435"/>
        </row>
        <row r="436">
          <cell r="B436" t="str">
            <v>META</v>
          </cell>
          <cell r="C436">
            <v>51250</v>
          </cell>
          <cell r="D436">
            <v>49680</v>
          </cell>
          <cell r="E436">
            <v>49640</v>
          </cell>
          <cell r="F436">
            <v>47680</v>
          </cell>
          <cell r="G436">
            <v>47720</v>
          </cell>
          <cell r="H436">
            <v>47040</v>
          </cell>
          <cell r="I436">
            <v>47740</v>
          </cell>
          <cell r="J436"/>
          <cell r="K436"/>
        </row>
        <row r="437">
          <cell r="B437" t="str">
            <v>ITUB</v>
          </cell>
          <cell r="C437">
            <v>15980</v>
          </cell>
          <cell r="D437">
            <v>15640</v>
          </cell>
          <cell r="E437">
            <v>15370</v>
          </cell>
          <cell r="F437">
            <v>15310</v>
          </cell>
          <cell r="G437">
            <v>15380</v>
          </cell>
          <cell r="H437">
            <v>15870</v>
          </cell>
          <cell r="I437">
            <v>15870</v>
          </cell>
          <cell r="J437"/>
          <cell r="K437"/>
        </row>
        <row r="438">
          <cell r="B438" t="str">
            <v>PBR</v>
          </cell>
          <cell r="C438">
            <v>40980</v>
          </cell>
          <cell r="D438">
            <v>41800</v>
          </cell>
          <cell r="E438">
            <v>40840</v>
          </cell>
          <cell r="F438">
            <v>42160</v>
          </cell>
          <cell r="G438">
            <v>41480</v>
          </cell>
          <cell r="H438">
            <v>41900</v>
          </cell>
          <cell r="I438">
            <v>42020</v>
          </cell>
          <cell r="J438"/>
          <cell r="K438"/>
        </row>
        <row r="439">
          <cell r="B439" t="str">
            <v>VIST</v>
          </cell>
          <cell r="C439">
            <v>37120</v>
          </cell>
          <cell r="D439">
            <v>37700</v>
          </cell>
          <cell r="E439">
            <v>37760</v>
          </cell>
          <cell r="F439">
            <v>38900</v>
          </cell>
          <cell r="G439">
            <v>38420</v>
          </cell>
          <cell r="H439">
            <v>38460</v>
          </cell>
          <cell r="I439">
            <v>38940</v>
          </cell>
          <cell r="J439"/>
          <cell r="K439"/>
        </row>
        <row r="440">
          <cell r="B440" t="str">
            <v>PAGS</v>
          </cell>
          <cell r="C440"/>
          <cell r="D440"/>
          <cell r="E440">
            <v>5975</v>
          </cell>
          <cell r="F440">
            <v>5910</v>
          </cell>
          <cell r="G440">
            <v>6000</v>
          </cell>
          <cell r="H440">
            <v>6340</v>
          </cell>
          <cell r="I440">
            <v>6230</v>
          </cell>
          <cell r="J440"/>
          <cell r="K440"/>
        </row>
        <row r="441">
          <cell r="B441" t="str">
            <v>BBD</v>
          </cell>
          <cell r="C441"/>
          <cell r="D441"/>
          <cell r="E441">
            <v>6490</v>
          </cell>
          <cell r="F441">
            <v>6440</v>
          </cell>
          <cell r="G441">
            <v>6415</v>
          </cell>
          <cell r="H441">
            <v>6690</v>
          </cell>
          <cell r="I441">
            <v>6670</v>
          </cell>
          <cell r="J441"/>
          <cell r="K441"/>
        </row>
        <row r="442">
          <cell r="B442" t="str">
            <v>SID</v>
          </cell>
          <cell r="C442"/>
          <cell r="D442"/>
          <cell r="E442">
            <v>14930</v>
          </cell>
          <cell r="F442">
            <v>14440</v>
          </cell>
          <cell r="G442">
            <v>14870</v>
          </cell>
          <cell r="H442">
            <v>14950</v>
          </cell>
          <cell r="I442">
            <v>14450</v>
          </cell>
          <cell r="J442"/>
          <cell r="K442"/>
        </row>
        <row r="443">
          <cell r="B443" t="str">
            <v>SMH</v>
          </cell>
          <cell r="C443">
            <v>18930</v>
          </cell>
          <cell r="D443">
            <v>18320</v>
          </cell>
          <cell r="E443">
            <v>18080</v>
          </cell>
          <cell r="F443">
            <v>17510</v>
          </cell>
          <cell r="G443">
            <v>17880</v>
          </cell>
          <cell r="H443">
            <v>17810</v>
          </cell>
          <cell r="I443">
            <v>18220</v>
          </cell>
          <cell r="J443"/>
          <cell r="K443"/>
        </row>
        <row r="444">
          <cell r="B444" t="str">
            <v>GOOGL</v>
          </cell>
          <cell r="C444">
            <v>9870</v>
          </cell>
          <cell r="D444">
            <v>9715</v>
          </cell>
          <cell r="E444">
            <v>9755</v>
          </cell>
          <cell r="F444">
            <v>9530</v>
          </cell>
          <cell r="G444">
            <v>9670</v>
          </cell>
          <cell r="H444">
            <v>9550</v>
          </cell>
          <cell r="I444">
            <v>9460</v>
          </cell>
          <cell r="J444"/>
          <cell r="K444"/>
        </row>
        <row r="445"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</row>
        <row r="446">
          <cell r="B446" t="str">
            <v>Cedears en USD</v>
          </cell>
          <cell r="C446"/>
          <cell r="D446"/>
          <cell r="E446"/>
          <cell r="F446"/>
          <cell r="G446"/>
          <cell r="H446"/>
          <cell r="I446"/>
          <cell r="J446"/>
          <cell r="K446"/>
        </row>
        <row r="447"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</row>
        <row r="448">
          <cell r="B448" t="str">
            <v>VALED</v>
          </cell>
          <cell r="C448">
            <v>7.04</v>
          </cell>
          <cell r="D448">
            <v>6.95</v>
          </cell>
          <cell r="E448">
            <v>6.87</v>
          </cell>
          <cell r="F448">
            <v>6.86</v>
          </cell>
          <cell r="G448">
            <v>6.94</v>
          </cell>
          <cell r="H448">
            <v>6.93</v>
          </cell>
          <cell r="I448">
            <v>6.73</v>
          </cell>
          <cell r="J448"/>
          <cell r="K448"/>
        </row>
        <row r="449">
          <cell r="B449" t="str">
            <v>PBRD</v>
          </cell>
          <cell r="C449">
            <v>26.69</v>
          </cell>
          <cell r="D449">
            <v>27.27</v>
          </cell>
          <cell r="E449">
            <v>26.61</v>
          </cell>
          <cell r="F449">
            <v>27.52</v>
          </cell>
          <cell r="G449">
            <v>26.97</v>
          </cell>
          <cell r="H449">
            <v>27.06</v>
          </cell>
          <cell r="I449">
            <v>27.19</v>
          </cell>
          <cell r="J449"/>
          <cell r="K449"/>
        </row>
        <row r="450">
          <cell r="B450" t="str">
            <v>PAGSD</v>
          </cell>
          <cell r="C450">
            <v>3.855</v>
          </cell>
          <cell r="D450">
            <v>3.7749999999999999</v>
          </cell>
          <cell r="E450">
            <v>3.88</v>
          </cell>
          <cell r="F450">
            <v>3.8849999999999998</v>
          </cell>
          <cell r="G450">
            <v>3.9</v>
          </cell>
          <cell r="H450">
            <v>4.1050000000000004</v>
          </cell>
          <cell r="I450">
            <v>4.04</v>
          </cell>
          <cell r="J450"/>
          <cell r="K450"/>
        </row>
        <row r="451">
          <cell r="B451" t="str">
            <v>VISTD</v>
          </cell>
          <cell r="C451">
            <v>24.21</v>
          </cell>
          <cell r="D451">
            <v>24.48</v>
          </cell>
          <cell r="E451">
            <v>24.63</v>
          </cell>
          <cell r="F451">
            <v>25.39</v>
          </cell>
          <cell r="G451">
            <v>24.94</v>
          </cell>
          <cell r="H451">
            <v>24.9</v>
          </cell>
          <cell r="I451">
            <v>25.19</v>
          </cell>
          <cell r="J451"/>
          <cell r="K451"/>
        </row>
        <row r="452">
          <cell r="B452" t="str">
            <v>BBDD</v>
          </cell>
          <cell r="C452">
            <v>4.3899999999999997</v>
          </cell>
          <cell r="D452">
            <v>4.33</v>
          </cell>
          <cell r="E452">
            <v>4.2300000000000004</v>
          </cell>
          <cell r="F452">
            <v>4.1900000000000004</v>
          </cell>
          <cell r="G452">
            <v>4.1749999999999998</v>
          </cell>
          <cell r="H452">
            <v>4.34</v>
          </cell>
          <cell r="I452">
            <v>4.32</v>
          </cell>
          <cell r="J452"/>
          <cell r="K452"/>
        </row>
        <row r="453">
          <cell r="B453" t="str">
            <v>SIDD</v>
          </cell>
          <cell r="C453">
            <v>10.6</v>
          </cell>
          <cell r="D453">
            <v>9.99</v>
          </cell>
          <cell r="E453">
            <v>9.7799999999999994</v>
          </cell>
          <cell r="F453">
            <v>9.4600000000000009</v>
          </cell>
          <cell r="G453">
            <v>9.65</v>
          </cell>
          <cell r="H453">
            <v>9.65</v>
          </cell>
          <cell r="I453">
            <v>9.48</v>
          </cell>
          <cell r="J453"/>
          <cell r="K453"/>
        </row>
        <row r="454"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</row>
        <row r="455">
          <cell r="B455" t="str">
            <v>ADR</v>
          </cell>
          <cell r="C455"/>
          <cell r="D455"/>
          <cell r="E455"/>
          <cell r="F455"/>
          <cell r="G455"/>
          <cell r="H455"/>
          <cell r="I455"/>
          <cell r="J455"/>
          <cell r="K455"/>
        </row>
        <row r="456"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</row>
        <row r="457">
          <cell r="B457" t="str">
            <v>BBD US</v>
          </cell>
          <cell r="C457">
            <v>4.1900000000000004</v>
          </cell>
          <cell r="D457">
            <v>4.1399999999999997</v>
          </cell>
          <cell r="E457">
            <v>4.03</v>
          </cell>
          <cell r="F457">
            <v>3.96</v>
          </cell>
          <cell r="G457">
            <v>3.94</v>
          </cell>
          <cell r="H457">
            <v>4.08</v>
          </cell>
          <cell r="I457">
            <v>4.05</v>
          </cell>
          <cell r="J457"/>
          <cell r="K457"/>
        </row>
        <row r="458">
          <cell r="B458" t="str">
            <v>PAGS US</v>
          </cell>
          <cell r="C458">
            <v>10.99</v>
          </cell>
          <cell r="D458">
            <v>10.83</v>
          </cell>
          <cell r="E458">
            <v>11.12</v>
          </cell>
          <cell r="F458">
            <v>11</v>
          </cell>
          <cell r="G458">
            <v>11.13</v>
          </cell>
          <cell r="H458">
            <v>11.72</v>
          </cell>
          <cell r="I458">
            <v>11.44</v>
          </cell>
          <cell r="J458"/>
          <cell r="K458"/>
        </row>
        <row r="459">
          <cell r="B459" t="str">
            <v>NIO US</v>
          </cell>
          <cell r="C459">
            <v>3.56</v>
          </cell>
          <cell r="D459">
            <v>3.41</v>
          </cell>
          <cell r="E459">
            <v>3.5</v>
          </cell>
          <cell r="F459">
            <v>3.43</v>
          </cell>
          <cell r="G459">
            <v>3.39</v>
          </cell>
          <cell r="H459">
            <v>3.43</v>
          </cell>
          <cell r="I459">
            <v>3.36</v>
          </cell>
          <cell r="J459"/>
          <cell r="K459"/>
        </row>
        <row r="460">
          <cell r="B460" t="str">
            <v>JD US</v>
          </cell>
          <cell r="C460">
            <v>26.78</v>
          </cell>
          <cell r="D460">
            <v>26.68</v>
          </cell>
          <cell r="E460">
            <v>27.39</v>
          </cell>
          <cell r="F460">
            <v>27.01</v>
          </cell>
          <cell r="G460">
            <v>26.78</v>
          </cell>
          <cell r="H460">
            <v>26.76</v>
          </cell>
          <cell r="I460">
            <v>25.79</v>
          </cell>
          <cell r="J460"/>
          <cell r="K460"/>
        </row>
        <row r="461">
          <cell r="B461" t="str">
            <v>BDORY US</v>
          </cell>
          <cell r="C461">
            <v>4.92</v>
          </cell>
          <cell r="D461">
            <v>4.75</v>
          </cell>
          <cell r="E461">
            <v>4.6500000000000004</v>
          </cell>
          <cell r="F461">
            <v>4.68</v>
          </cell>
          <cell r="G461">
            <v>4.79</v>
          </cell>
          <cell r="H461">
            <v>4.9000000000000004</v>
          </cell>
          <cell r="I461">
            <v>4.8730000000000002</v>
          </cell>
          <cell r="J461"/>
          <cell r="K461"/>
        </row>
        <row r="462">
          <cell r="B462" t="str">
            <v>GGAL US</v>
          </cell>
          <cell r="C462">
            <v>36.79</v>
          </cell>
          <cell r="D462">
            <v>35.549999999999997</v>
          </cell>
          <cell r="E462">
            <v>36.47</v>
          </cell>
          <cell r="F462">
            <v>36.020000000000003</v>
          </cell>
          <cell r="G462">
            <v>35.090000000000003</v>
          </cell>
          <cell r="H462">
            <v>35.46</v>
          </cell>
          <cell r="I462">
            <v>36.82</v>
          </cell>
          <cell r="J462"/>
          <cell r="K462"/>
        </row>
        <row r="463">
          <cell r="B463" t="str">
            <v>VALE US</v>
          </cell>
          <cell r="C463">
            <v>13.37</v>
          </cell>
          <cell r="D463">
            <v>13.21</v>
          </cell>
          <cell r="E463">
            <v>13.02</v>
          </cell>
          <cell r="F463">
            <v>13.06</v>
          </cell>
          <cell r="G463">
            <v>13.11</v>
          </cell>
          <cell r="H463">
            <v>13.02</v>
          </cell>
          <cell r="I463">
            <v>12.7</v>
          </cell>
          <cell r="J463"/>
          <cell r="K463"/>
        </row>
        <row r="464">
          <cell r="B464" t="str">
            <v>PBR US</v>
          </cell>
          <cell r="C464">
            <v>25.5</v>
          </cell>
          <cell r="D464">
            <v>25.94</v>
          </cell>
          <cell r="E464">
            <v>25.3</v>
          </cell>
          <cell r="F464">
            <v>26</v>
          </cell>
          <cell r="G464">
            <v>25.56</v>
          </cell>
          <cell r="H464">
            <v>25.7</v>
          </cell>
          <cell r="I464">
            <v>25.66</v>
          </cell>
          <cell r="J464"/>
          <cell r="K464"/>
        </row>
        <row r="465">
          <cell r="B465" t="str">
            <v>VIST US</v>
          </cell>
          <cell r="C465">
            <v>69.02</v>
          </cell>
          <cell r="D465">
            <v>69.94</v>
          </cell>
          <cell r="E465">
            <v>69.989999999999995</v>
          </cell>
          <cell r="F465">
            <v>71.95</v>
          </cell>
          <cell r="G465">
            <v>70.86</v>
          </cell>
          <cell r="H465">
            <v>70.66</v>
          </cell>
          <cell r="I465">
            <v>71.44</v>
          </cell>
          <cell r="J465"/>
          <cell r="K465"/>
        </row>
        <row r="466">
          <cell r="B466" t="str">
            <v>AMD US</v>
          </cell>
          <cell r="C466">
            <v>605.53</v>
          </cell>
          <cell r="D466">
            <v>570.82000000000005</v>
          </cell>
          <cell r="E466">
            <v>562.23</v>
          </cell>
          <cell r="F466">
            <v>528.75</v>
          </cell>
          <cell r="G466">
            <v>538.04999999999995</v>
          </cell>
          <cell r="H466">
            <v>534.74</v>
          </cell>
          <cell r="I466">
            <v>552.72</v>
          </cell>
          <cell r="J466"/>
          <cell r="K466"/>
        </row>
        <row r="467">
          <cell r="B467" t="str">
            <v>SID US</v>
          </cell>
          <cell r="C467">
            <v>1.24</v>
          </cell>
          <cell r="D467">
            <v>1.21</v>
          </cell>
          <cell r="E467">
            <v>1.1499999999999999</v>
          </cell>
          <cell r="F467">
            <v>1.1100000000000001</v>
          </cell>
          <cell r="G467">
            <v>1.1299999999999999</v>
          </cell>
          <cell r="H467">
            <v>1.1599999999999999</v>
          </cell>
          <cell r="I467">
            <v>1.1000000000000001</v>
          </cell>
          <cell r="J467"/>
          <cell r="K467"/>
        </row>
        <row r="468">
          <cell r="B468" t="str">
            <v>MSFT US</v>
          </cell>
          <cell r="C468">
            <v>543.45000000000005</v>
          </cell>
          <cell r="D468">
            <v>533.69000000000005</v>
          </cell>
          <cell r="E468">
            <v>539.44000000000005</v>
          </cell>
          <cell r="F468">
            <v>529.04999999999995</v>
          </cell>
          <cell r="G468">
            <v>533.52</v>
          </cell>
          <cell r="H468">
            <v>531.87</v>
          </cell>
          <cell r="I468">
            <v>532.95000000000005</v>
          </cell>
          <cell r="J468"/>
          <cell r="K468"/>
        </row>
        <row r="469">
          <cell r="B469" t="str">
            <v>NU US</v>
          </cell>
          <cell r="C469">
            <v>15.58</v>
          </cell>
          <cell r="D469">
            <v>14.93</v>
          </cell>
          <cell r="E469">
            <v>14.73</v>
          </cell>
          <cell r="F469">
            <v>14.56</v>
          </cell>
          <cell r="G469">
            <v>14.51</v>
          </cell>
          <cell r="H469">
            <v>15.09</v>
          </cell>
          <cell r="I469">
            <v>15.05</v>
          </cell>
          <cell r="J469"/>
          <cell r="K469"/>
        </row>
        <row r="470">
          <cell r="B470" t="str">
            <v>YPF US</v>
          </cell>
          <cell r="C470">
            <v>51.79</v>
          </cell>
          <cell r="D470">
            <v>52.25</v>
          </cell>
          <cell r="E470">
            <v>51.11</v>
          </cell>
          <cell r="F470">
            <v>52.1</v>
          </cell>
          <cell r="G470">
            <v>50.69</v>
          </cell>
          <cell r="H470">
            <v>50.78</v>
          </cell>
          <cell r="I470">
            <v>50.37</v>
          </cell>
          <cell r="J470"/>
          <cell r="K470"/>
        </row>
        <row r="471">
          <cell r="B471" t="str">
            <v>TSLA US</v>
          </cell>
          <cell r="C471"/>
          <cell r="D471"/>
          <cell r="E471">
            <v>362.44</v>
          </cell>
          <cell r="F471">
            <v>354.72</v>
          </cell>
          <cell r="G471">
            <v>368.06</v>
          </cell>
          <cell r="H471">
            <v>373.71</v>
          </cell>
          <cell r="I471">
            <v>386.47</v>
          </cell>
          <cell r="J471"/>
          <cell r="K471"/>
        </row>
        <row r="472"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</row>
        <row r="473">
          <cell r="B473" t="str">
            <v>ETF</v>
          </cell>
          <cell r="C473"/>
          <cell r="D473"/>
          <cell r="E473"/>
          <cell r="F473"/>
          <cell r="G473"/>
          <cell r="H473"/>
          <cell r="I473"/>
          <cell r="J473"/>
          <cell r="K473"/>
        </row>
        <row r="474"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</row>
        <row r="475">
          <cell r="B475" t="str">
            <v>EWZ US</v>
          </cell>
          <cell r="C475">
            <v>42.87</v>
          </cell>
          <cell r="D475">
            <v>42.6</v>
          </cell>
          <cell r="E475">
            <v>41.58</v>
          </cell>
          <cell r="F475">
            <v>41.83</v>
          </cell>
          <cell r="G475">
            <v>41.93</v>
          </cell>
          <cell r="H475">
            <v>42.94</v>
          </cell>
          <cell r="I475">
            <v>42.51</v>
          </cell>
          <cell r="J475"/>
          <cell r="K475"/>
        </row>
        <row r="476">
          <cell r="B476" t="str">
            <v>FLRN US</v>
          </cell>
          <cell r="C476">
            <v>30.77</v>
          </cell>
          <cell r="D476">
            <v>30.77</v>
          </cell>
          <cell r="E476">
            <v>30.78</v>
          </cell>
          <cell r="F476">
            <v>30.79</v>
          </cell>
          <cell r="G476">
            <v>30.8</v>
          </cell>
          <cell r="H476">
            <v>30.79</v>
          </cell>
          <cell r="I476">
            <v>30.8</v>
          </cell>
          <cell r="J476"/>
          <cell r="K476"/>
        </row>
        <row r="477">
          <cell r="B477" t="str">
            <v>SDIA LN</v>
          </cell>
          <cell r="C477">
            <v>6.3550000000000004</v>
          </cell>
          <cell r="D477">
            <v>6.3570000000000002</v>
          </cell>
          <cell r="E477">
            <v>6.3609999999999998</v>
          </cell>
          <cell r="F477">
            <v>6.3780000000000001</v>
          </cell>
          <cell r="G477">
            <v>6.3559999999999999</v>
          </cell>
          <cell r="H477">
            <v>6.383</v>
          </cell>
          <cell r="I477">
            <v>6.3689999999999998</v>
          </cell>
          <cell r="J477"/>
          <cell r="K477"/>
        </row>
        <row r="478">
          <cell r="B478" t="str">
            <v>EMCA LN</v>
          </cell>
          <cell r="C478">
            <v>6.6779999999999999</v>
          </cell>
          <cell r="D478">
            <v>6.6630000000000003</v>
          </cell>
          <cell r="E478">
            <v>6.6929999999999996</v>
          </cell>
          <cell r="F478">
            <v>6.7039999999999997</v>
          </cell>
          <cell r="G478">
            <v>6.6859999999999999</v>
          </cell>
          <cell r="H478">
            <v>6.6950000000000003</v>
          </cell>
          <cell r="I478">
            <v>6.69</v>
          </cell>
          <cell r="J478"/>
          <cell r="K478"/>
        </row>
        <row r="479">
          <cell r="B479" t="str">
            <v>IGV US</v>
          </cell>
          <cell r="C479">
            <v>110.98</v>
          </cell>
          <cell r="D479">
            <v>107.65</v>
          </cell>
          <cell r="E479">
            <v>109.6</v>
          </cell>
          <cell r="F479">
            <v>104.34</v>
          </cell>
          <cell r="G479">
            <v>105.99</v>
          </cell>
          <cell r="H479">
            <v>106.93</v>
          </cell>
          <cell r="I479">
            <v>108.82</v>
          </cell>
          <cell r="J479"/>
          <cell r="K479"/>
        </row>
        <row r="480"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</row>
        <row r="481">
          <cell r="B481" t="str">
            <v>Funds</v>
          </cell>
          <cell r="C481"/>
          <cell r="D481"/>
          <cell r="E481"/>
          <cell r="F481"/>
          <cell r="G481"/>
          <cell r="H481"/>
          <cell r="I481"/>
          <cell r="J481"/>
          <cell r="K481"/>
        </row>
        <row r="482"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</row>
        <row r="483">
          <cell r="B483" t="str">
            <v>MUHYIU1 LX</v>
          </cell>
          <cell r="C483">
            <v>294.52999999999997</v>
          </cell>
          <cell r="D483">
            <v>294.11</v>
          </cell>
          <cell r="E483">
            <v>293.43</v>
          </cell>
          <cell r="F483">
            <v>294.02</v>
          </cell>
          <cell r="G483">
            <v>293.94</v>
          </cell>
          <cell r="H483">
            <v>293.67</v>
          </cell>
          <cell r="I483">
            <v>293.43</v>
          </cell>
          <cell r="J483"/>
          <cell r="K483"/>
        </row>
        <row r="484">
          <cell r="B484" t="str">
            <v>MGCIF1U LX</v>
          </cell>
          <cell r="C484">
            <v>151.53</v>
          </cell>
          <cell r="D484">
            <v>151.86000000000001</v>
          </cell>
          <cell r="E484">
            <v>151.75</v>
          </cell>
          <cell r="F484">
            <v>152.63</v>
          </cell>
          <cell r="G484">
            <v>152.81</v>
          </cell>
          <cell r="H484">
            <v>152.19</v>
          </cell>
          <cell r="I484">
            <v>152.52000000000001</v>
          </cell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Latam</v>
          </cell>
          <cell r="C486"/>
          <cell r="D486"/>
          <cell r="E486"/>
          <cell r="F486"/>
          <cell r="G486"/>
          <cell r="H486"/>
          <cell r="I486"/>
          <cell r="J486"/>
          <cell r="K486"/>
        </row>
        <row r="487"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</row>
        <row r="488">
          <cell r="B488" t="str">
            <v>CH27</v>
          </cell>
          <cell r="C488">
            <v>1.0004427777777778</v>
          </cell>
          <cell r="D488">
            <v>1.0001991666666668</v>
          </cell>
          <cell r="E488">
            <v>1.0006355555555555</v>
          </cell>
          <cell r="F488">
            <v>1.0006147222222221</v>
          </cell>
          <cell r="G488">
            <v>1.0005761111111111</v>
          </cell>
          <cell r="H488">
            <v>1.0006325</v>
          </cell>
          <cell r="I488">
            <v>1.0010138888888889</v>
          </cell>
          <cell r="J488"/>
          <cell r="K488"/>
        </row>
        <row r="489">
          <cell r="B489" t="str">
            <v>CH28</v>
          </cell>
          <cell r="C489">
            <v>0.98290499999999992</v>
          </cell>
          <cell r="D489">
            <v>0.98251499999999992</v>
          </cell>
          <cell r="E489">
            <v>0.9835299999999999</v>
          </cell>
          <cell r="F489">
            <v>0.98336000000000001</v>
          </cell>
          <cell r="G489">
            <v>0.98325999999999991</v>
          </cell>
          <cell r="H489">
            <v>0.9834099999999999</v>
          </cell>
          <cell r="I489">
            <v>0.98342999999999992</v>
          </cell>
          <cell r="J489"/>
          <cell r="K489"/>
        </row>
        <row r="490">
          <cell r="B490" t="str">
            <v>BR27</v>
          </cell>
          <cell r="C490">
            <v>1.0717412499999999</v>
          </cell>
          <cell r="D490">
            <v>1.0714174999999999</v>
          </cell>
          <cell r="E490">
            <v>1.0725087500000001</v>
          </cell>
          <cell r="F490">
            <v>1.0726475</v>
          </cell>
          <cell r="G490">
            <v>1.0727037500000001</v>
          </cell>
          <cell r="H490">
            <v>1.07172</v>
          </cell>
          <cell r="I490">
            <v>1.0716512499999999</v>
          </cell>
          <cell r="J490"/>
          <cell r="K490"/>
        </row>
        <row r="491">
          <cell r="B491" t="str">
            <v>BR28</v>
          </cell>
          <cell r="C491">
            <v>1.0082509722222222</v>
          </cell>
          <cell r="D491">
            <v>1.0080344444444445</v>
          </cell>
          <cell r="E491">
            <v>1.0086929166666665</v>
          </cell>
          <cell r="F491">
            <v>1.0087533333333334</v>
          </cell>
          <cell r="G491">
            <v>1.0088068055555555</v>
          </cell>
          <cell r="H491">
            <v>1.0089702777777778</v>
          </cell>
          <cell r="I491">
            <v>1.00910875</v>
          </cell>
          <cell r="J491"/>
          <cell r="K491"/>
        </row>
        <row r="492">
          <cell r="B492" t="str">
            <v>CDEL27</v>
          </cell>
          <cell r="C492">
            <v>0.99528069444444456</v>
          </cell>
          <cell r="D492">
            <v>0.9948663888888889</v>
          </cell>
          <cell r="E492">
            <v>0.9956320833333332</v>
          </cell>
          <cell r="F492">
            <v>0.99597916666666664</v>
          </cell>
          <cell r="G492">
            <v>0.99617986111111123</v>
          </cell>
          <cell r="H492">
            <v>0.99683555555555559</v>
          </cell>
          <cell r="I492">
            <v>0.99669124999999992</v>
          </cell>
          <cell r="J492"/>
          <cell r="K492"/>
        </row>
        <row r="493">
          <cell r="B493"/>
          <cell r="C493"/>
          <cell r="D493"/>
          <cell r="E493"/>
          <cell r="F493"/>
          <cell r="G493"/>
          <cell r="H493"/>
          <cell r="I493"/>
          <cell r="J493"/>
          <cell r="K493"/>
        </row>
        <row r="494">
          <cell r="B494" t="str">
            <v>Futuros</v>
          </cell>
          <cell r="C494"/>
          <cell r="D494"/>
          <cell r="E494"/>
          <cell r="F494"/>
          <cell r="G494"/>
          <cell r="H494"/>
          <cell r="I494"/>
          <cell r="J494"/>
          <cell r="K494"/>
        </row>
        <row r="495"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</row>
        <row r="496">
          <cell r="B496" t="str">
            <v>FUTDLR102026</v>
          </cell>
          <cell r="C496">
            <v>1526</v>
          </cell>
          <cell r="D496">
            <v>1527</v>
          </cell>
          <cell r="E496">
            <v>1526</v>
          </cell>
          <cell r="F496">
            <v>1531</v>
          </cell>
          <cell r="G496">
            <v>1534</v>
          </cell>
          <cell r="H496">
            <v>1533.5</v>
          </cell>
          <cell r="I496">
            <v>1533</v>
          </cell>
          <cell r="J496"/>
          <cell r="K496"/>
        </row>
        <row r="497"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 t="str">
            <v>Futuros Soja</v>
          </cell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</row>
        <row r="500">
          <cell r="B500" t="str">
            <v>FUTDLRMM1126</v>
          </cell>
          <cell r="C500">
            <v>565262.06846999994</v>
          </cell>
          <cell r="D500">
            <v>563115.45290000003</v>
          </cell>
          <cell r="E500">
            <v>561365.54064000002</v>
          </cell>
          <cell r="F500">
            <v>560389.23499999999</v>
          </cell>
          <cell r="G500">
            <v>558306.52890000003</v>
          </cell>
          <cell r="H500">
            <v>556566.63649999991</v>
          </cell>
          <cell r="I500">
            <v>556927.90272000001</v>
          </cell>
          <cell r="J500"/>
          <cell r="K500"/>
        </row>
        <row r="501">
          <cell r="B501" t="str">
            <v>FUTDLRMM0527</v>
          </cell>
          <cell r="C501">
            <v>543888.52283999999</v>
          </cell>
          <cell r="D501">
            <v>542365.90555000002</v>
          </cell>
          <cell r="E501">
            <v>539716.33020000008</v>
          </cell>
          <cell r="F501">
            <v>537670.75249999994</v>
          </cell>
          <cell r="G501">
            <v>536522.67252000002</v>
          </cell>
          <cell r="H501">
            <v>538726.00732999993</v>
          </cell>
          <cell r="I501">
            <v>539371.23912000004</v>
          </cell>
          <cell r="J501"/>
          <cell r="K501"/>
        </row>
        <row r="502">
          <cell r="B502" t="str">
            <v>FUTARSSRO1126</v>
          </cell>
          <cell r="C502">
            <v>565262.06846999994</v>
          </cell>
          <cell r="D502">
            <v>563115.45290000003</v>
          </cell>
          <cell r="E502">
            <v>561365.54064000002</v>
          </cell>
          <cell r="F502">
            <v>560389.23499999999</v>
          </cell>
          <cell r="G502">
            <v>558306.52890000003</v>
          </cell>
          <cell r="H502">
            <v>556566.63649999991</v>
          </cell>
          <cell r="I502">
            <v>556927.90272000001</v>
          </cell>
          <cell r="J502"/>
          <cell r="K502"/>
        </row>
        <row r="503">
          <cell r="B503" t="str">
            <v>FUTARSSRO0127</v>
          </cell>
          <cell r="C503">
            <v>572992.92539999995</v>
          </cell>
          <cell r="D503">
            <v>570991.19349999994</v>
          </cell>
          <cell r="E503">
            <v>568783.80156000005</v>
          </cell>
          <cell r="F503">
            <v>567962.0625</v>
          </cell>
          <cell r="G503">
            <v>565770.92723999999</v>
          </cell>
          <cell r="H503">
            <v>564190.83699999994</v>
          </cell>
          <cell r="I503">
            <v>565629.90120000008</v>
          </cell>
          <cell r="J503"/>
          <cell r="K503"/>
        </row>
        <row r="504">
          <cell r="B504" t="str">
            <v>FUTARSSRO0527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>
            <v>536522.67252000002</v>
          </cell>
          <cell r="H504">
            <v>538726.00732999993</v>
          </cell>
          <cell r="I504">
            <v>539371.23912000004</v>
          </cell>
          <cell r="J504"/>
          <cell r="K504"/>
        </row>
        <row r="505"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</row>
        <row r="506">
          <cell r="B506" t="str">
            <v>Treasury</v>
          </cell>
          <cell r="C506"/>
          <cell r="D506"/>
          <cell r="E506"/>
          <cell r="F506"/>
          <cell r="G506"/>
          <cell r="H506"/>
          <cell r="I506"/>
          <cell r="J506"/>
          <cell r="K506"/>
        </row>
        <row r="507"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</row>
        <row r="508">
          <cell r="B508" t="str">
            <v>US27102026</v>
          </cell>
          <cell r="C508">
            <v>0.99864495917499729</v>
          </cell>
          <cell r="D508">
            <v>0.99874719341093465</v>
          </cell>
          <cell r="E508">
            <v>0.99885496193024415</v>
          </cell>
          <cell r="F508">
            <v>0.99896455271444251</v>
          </cell>
          <cell r="G508">
            <v>0.99927905985570131</v>
          </cell>
          <cell r="H508">
            <v>0.99938392498787454</v>
          </cell>
          <cell r="I508">
            <v>0.99948323978193021</v>
          </cell>
          <cell r="J508"/>
          <cell r="K508"/>
        </row>
        <row r="509">
          <cell r="B509" t="str">
            <v>US03112026</v>
          </cell>
          <cell r="C509">
            <v>0.99787417260511158</v>
          </cell>
          <cell r="D509">
            <v>0.99799025542628228</v>
          </cell>
          <cell r="E509">
            <v>0.99810138147239569</v>
          </cell>
          <cell r="F509">
            <v>0.99820133417894741</v>
          </cell>
          <cell r="G509">
            <v>0.99852810391818214</v>
          </cell>
          <cell r="H509">
            <v>0.99863195903144397</v>
          </cell>
          <cell r="I509">
            <v>0.99873774871661924</v>
          </cell>
          <cell r="J509"/>
          <cell r="K509"/>
        </row>
        <row r="510">
          <cell r="B510" t="str">
            <v>US19112026</v>
          </cell>
          <cell r="C510">
            <v>0.99613488747114487</v>
          </cell>
          <cell r="D510">
            <v>0.99623042782501603</v>
          </cell>
          <cell r="E510">
            <v>0.9963480921621003</v>
          </cell>
          <cell r="F510">
            <v>0.99648465603234815</v>
          </cell>
          <cell r="G510">
            <v>0.996800924463218</v>
          </cell>
          <cell r="H510">
            <v>0.99690359830496555</v>
          </cell>
          <cell r="I510">
            <v>0.99700608632608601</v>
          </cell>
          <cell r="J510"/>
          <cell r="K510"/>
        </row>
        <row r="511">
          <cell r="B511" t="str">
            <v>US01122026</v>
          </cell>
          <cell r="C511">
            <v>0.99483557684655111</v>
          </cell>
          <cell r="D511">
            <v>0.99493510430836929</v>
          </cell>
          <cell r="E511">
            <v>0.99503834081734843</v>
          </cell>
          <cell r="F511">
            <v>0.99515459229013925</v>
          </cell>
          <cell r="G511">
            <v>0.99547900889869856</v>
          </cell>
          <cell r="H511">
            <v>0.99557504261715801</v>
          </cell>
          <cell r="I511">
            <v>0.9956959745730346</v>
          </cell>
          <cell r="J511"/>
          <cell r="K511"/>
        </row>
        <row r="512">
          <cell r="B512" t="str">
            <v>US10122026</v>
          </cell>
          <cell r="C512">
            <v>0.993862536688776</v>
          </cell>
          <cell r="D512">
            <v>0.9939403081169208</v>
          </cell>
          <cell r="E512">
            <v>0.99405784899226357</v>
          </cell>
          <cell r="F512">
            <v>0.99417812558190066</v>
          </cell>
          <cell r="G512">
            <v>0.99452535047434365</v>
          </cell>
          <cell r="H512">
            <v>0.99462507335359918</v>
          </cell>
          <cell r="I512">
            <v>0.99473373245430041</v>
          </cell>
          <cell r="J512"/>
          <cell r="K512"/>
        </row>
        <row r="513">
          <cell r="B513"/>
          <cell r="C513"/>
          <cell r="D513"/>
          <cell r="E513"/>
          <cell r="F513"/>
          <cell r="G513"/>
          <cell r="H513"/>
          <cell r="I513"/>
          <cell r="J513"/>
          <cell r="K513"/>
        </row>
        <row r="514">
          <cell r="B514" t="str">
            <v>Pagare $</v>
          </cell>
          <cell r="C514"/>
          <cell r="D514"/>
          <cell r="E514"/>
          <cell r="F514"/>
          <cell r="G514"/>
          <cell r="H514"/>
          <cell r="I514"/>
          <cell r="J514"/>
          <cell r="K514"/>
        </row>
        <row r="515">
          <cell r="B515"/>
          <cell r="C515"/>
          <cell r="D515"/>
          <cell r="E515"/>
          <cell r="F515"/>
          <cell r="G515"/>
          <cell r="H515"/>
          <cell r="I515"/>
          <cell r="J515"/>
          <cell r="K515"/>
        </row>
        <row r="516">
          <cell r="B516" t="str">
            <v>#MAV150270009</v>
          </cell>
          <cell r="C516">
            <v>0.90965732087227413</v>
          </cell>
          <cell r="D516">
            <v>0.91031524341580217</v>
          </cell>
          <cell r="E516">
            <v>0.9109741183517609</v>
          </cell>
          <cell r="F516">
            <v>0.91295647823911952</v>
          </cell>
          <cell r="G516">
            <v>0.91361918349978732</v>
          </cell>
          <cell r="H516">
            <v>0.91428285156054312</v>
          </cell>
          <cell r="I516">
            <v>0.91494748452109387</v>
          </cell>
          <cell r="J516"/>
          <cell r="K516"/>
        </row>
        <row r="517">
          <cell r="B517" t="str">
            <v>#MAV150270010</v>
          </cell>
          <cell r="C517">
            <v>0.90965732087227413</v>
          </cell>
          <cell r="D517">
            <v>0.91031524341580217</v>
          </cell>
          <cell r="E517">
            <v>0.9109741183517609</v>
          </cell>
          <cell r="F517">
            <v>0.91295647823911952</v>
          </cell>
          <cell r="G517">
            <v>0.91361918349978732</v>
          </cell>
          <cell r="H517">
            <v>0.91428285156054312</v>
          </cell>
          <cell r="I517">
            <v>0.91494748452109387</v>
          </cell>
          <cell r="J517"/>
          <cell r="K517"/>
        </row>
        <row r="518">
          <cell r="B518" t="str">
            <v>#MAV101260047</v>
          </cell>
          <cell r="C518">
            <v>0.95908012391840725</v>
          </cell>
          <cell r="D518">
            <v>0.95975724715326793</v>
          </cell>
          <cell r="E518">
            <v>0.9604353271795304</v>
          </cell>
          <cell r="F518">
            <v>0.96247532832934057</v>
          </cell>
          <cell r="G518">
            <v>0.96315725587262035</v>
          </cell>
          <cell r="H518">
            <v>0.96384015041187665</v>
          </cell>
          <cell r="I518">
            <v>0.9645240140054171</v>
          </cell>
          <cell r="J518"/>
          <cell r="K518"/>
        </row>
        <row r="519">
          <cell r="B519"/>
          <cell r="C519"/>
          <cell r="D519"/>
          <cell r="E519"/>
          <cell r="F519"/>
          <cell r="G519"/>
          <cell r="H519"/>
          <cell r="I519"/>
          <cell r="J519"/>
          <cell r="K519"/>
        </row>
        <row r="520">
          <cell r="B520" t="str">
            <v>Pagarés USD</v>
          </cell>
          <cell r="C520"/>
          <cell r="D520"/>
          <cell r="E520"/>
          <cell r="F520"/>
          <cell r="G520"/>
          <cell r="H520"/>
          <cell r="I520"/>
          <cell r="J520"/>
          <cell r="K520"/>
        </row>
        <row r="521"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</row>
        <row r="522">
          <cell r="B522" t="str">
            <v>#UMV130170010</v>
          </cell>
          <cell r="C522">
            <v>1486.1296707901279</v>
          </cell>
          <cell r="D522">
            <v>1485.1792948831612</v>
          </cell>
          <cell r="E522">
            <v>1484.870062220622</v>
          </cell>
          <cell r="F522">
            <v>1486.4332240769222</v>
          </cell>
          <cell r="G522">
            <v>1495.3668522804135</v>
          </cell>
          <cell r="H522">
            <v>1497.1489962367284</v>
          </cell>
          <cell r="I522">
            <v>1499.2587183609228</v>
          </cell>
          <cell r="J522"/>
          <cell r="K522"/>
        </row>
        <row r="523">
          <cell r="B523" t="str">
            <v>#UMV130170012</v>
          </cell>
          <cell r="C523">
            <v>1486.1296707901279</v>
          </cell>
          <cell r="D523">
            <v>1485.1792948831612</v>
          </cell>
          <cell r="E523">
            <v>1484.870062220622</v>
          </cell>
          <cell r="F523">
            <v>1486.4332240769222</v>
          </cell>
          <cell r="G523">
            <v>1495.3668522804135</v>
          </cell>
          <cell r="H523">
            <v>1497.1489962367284</v>
          </cell>
          <cell r="I523">
            <v>1499.2587183609228</v>
          </cell>
          <cell r="J523"/>
          <cell r="K523"/>
        </row>
        <row r="524">
          <cell r="B524" t="str">
            <v>#UMV150270056</v>
          </cell>
          <cell r="C524">
            <v>1476.4788343198109</v>
          </cell>
          <cell r="D524">
            <v>1475.5326092904013</v>
          </cell>
          <cell r="E524">
            <v>1475.2233639545409</v>
          </cell>
          <cell r="F524">
            <v>1476.7702953052228</v>
          </cell>
          <cell r="G524">
            <v>1485.6438092998774</v>
          </cell>
          <cell r="H524">
            <v>1487.4123233324738</v>
          </cell>
          <cell r="I524">
            <v>1489.5062789690624</v>
          </cell>
          <cell r="J524"/>
          <cell r="K524"/>
        </row>
        <row r="525">
          <cell r="B525" t="str">
            <v>#UMV150270055</v>
          </cell>
          <cell r="C525">
            <v>1476.4788343198109</v>
          </cell>
          <cell r="D525">
            <v>1475.5326092904013</v>
          </cell>
          <cell r="E525">
            <v>1475.2233639545409</v>
          </cell>
          <cell r="F525">
            <v>1476.7702953052228</v>
          </cell>
          <cell r="G525">
            <v>1485.6438092998774</v>
          </cell>
          <cell r="H525">
            <v>1487.4123233324738</v>
          </cell>
          <cell r="I525">
            <v>1489.5062789690624</v>
          </cell>
          <cell r="J525"/>
          <cell r="K525"/>
        </row>
        <row r="526">
          <cell r="B526" t="str">
            <v>#UMV150370062</v>
          </cell>
          <cell r="C526">
            <v>1467.8690572835419</v>
          </cell>
          <cell r="D526">
            <v>1466.9265576676348</v>
          </cell>
          <cell r="E526">
            <v>1466.6173233362085</v>
          </cell>
          <cell r="F526">
            <v>1468.1498421812321</v>
          </cell>
          <cell r="G526">
            <v>1476.9697498545665</v>
          </cell>
          <cell r="H526">
            <v>1478.7261270117499</v>
          </cell>
          <cell r="I526">
            <v>1480.8060397976108</v>
          </cell>
          <cell r="J526"/>
          <cell r="K526"/>
        </row>
        <row r="527">
          <cell r="B527" t="str">
            <v>#UMV150370061</v>
          </cell>
          <cell r="C527">
            <v>1467.8690572835419</v>
          </cell>
          <cell r="D527">
            <v>1466.9265576676348</v>
          </cell>
          <cell r="E527">
            <v>1466.6173233362085</v>
          </cell>
          <cell r="F527">
            <v>1468.1498421812321</v>
          </cell>
          <cell r="G527">
            <v>1476.9697498545665</v>
          </cell>
          <cell r="H527">
            <v>1478.7261270117499</v>
          </cell>
          <cell r="I527">
            <v>1480.8060397976108</v>
          </cell>
          <cell r="J527"/>
          <cell r="K527"/>
        </row>
        <row r="528">
          <cell r="B528" t="str">
            <v>#UMV150170072</v>
          </cell>
          <cell r="C528">
            <v>1484.8773182471427</v>
          </cell>
          <cell r="D528">
            <v>1483.9274794919147</v>
          </cell>
          <cell r="E528">
            <v>1483.6182436922334</v>
          </cell>
          <cell r="F528">
            <v>1485.1792948831612</v>
          </cell>
          <cell r="G528">
            <v>1494.1051207397147</v>
          </cell>
          <cell r="H528">
            <v>1495.8854944700522</v>
          </cell>
          <cell r="I528">
            <v>1497.9931691069435</v>
          </cell>
          <cell r="J528"/>
          <cell r="K528"/>
        </row>
        <row r="529">
          <cell r="B529" t="str">
            <v>#UMV150170073</v>
          </cell>
          <cell r="C529">
            <v>1484.8773182471427</v>
          </cell>
          <cell r="D529">
            <v>1483.9274794919147</v>
          </cell>
          <cell r="E529">
            <v>1483.6182436922334</v>
          </cell>
          <cell r="F529">
            <v>1485.1792948831612</v>
          </cell>
          <cell r="G529">
            <v>1494.1051207397147</v>
          </cell>
          <cell r="H529">
            <v>1495.8854944700522</v>
          </cell>
          <cell r="I529">
            <v>1497.9931691069435</v>
          </cell>
          <cell r="J529"/>
          <cell r="K529"/>
        </row>
        <row r="530">
          <cell r="B530" t="str">
            <v>#UMV150370068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>
            <v>1476.9697498545665</v>
          </cell>
          <cell r="H530">
            <v>1478.7261270117499</v>
          </cell>
          <cell r="I530">
            <v>1480.8060397976108</v>
          </cell>
          <cell r="J530"/>
          <cell r="K530"/>
        </row>
        <row r="531">
          <cell r="B531" t="str">
            <v>#UMV150370069</v>
          </cell>
          <cell r="C531">
            <v>1467.8690572835419</v>
          </cell>
          <cell r="D531">
            <v>1466.9265576676348</v>
          </cell>
          <cell r="E531">
            <v>1466.6173233362085</v>
          </cell>
          <cell r="F531">
            <v>1468.1498421812321</v>
          </cell>
          <cell r="G531">
            <v>1476.9697498545665</v>
          </cell>
          <cell r="H531">
            <v>1478.7261270117499</v>
          </cell>
          <cell r="I531">
            <v>1480.8060397976108</v>
          </cell>
          <cell r="J531"/>
          <cell r="K531"/>
        </row>
        <row r="532">
          <cell r="B532" t="str">
            <v>#UMV080470014</v>
          </cell>
          <cell r="C532">
            <v>1460.5687708544517</v>
          </cell>
          <cell r="D532">
            <v>1459.6294465163867</v>
          </cell>
          <cell r="E532">
            <v>1459.3202379977765</v>
          </cell>
          <cell r="F532">
            <v>1460.8405860101182</v>
          </cell>
          <cell r="G532">
            <v>1469.6150576854459</v>
          </cell>
          <cell r="H532">
            <v>1471.361160716056</v>
          </cell>
          <cell r="I532">
            <v>1473.4291833691179</v>
          </cell>
          <cell r="J532"/>
          <cell r="K532"/>
        </row>
        <row r="533">
          <cell r="B533" t="str">
            <v>#UMV110270016</v>
          </cell>
          <cell r="C533">
            <v>1477.7170543774371</v>
          </cell>
          <cell r="D533">
            <v>1476.7702953052228</v>
          </cell>
          <cell r="E533">
            <v>1476.4610501171637</v>
          </cell>
          <cell r="F533">
            <v>1478.0100594207645</v>
          </cell>
          <cell r="G533">
            <v>1486.8912846404189</v>
          </cell>
          <cell r="H533">
            <v>1488.6615459096131</v>
          </cell>
          <cell r="I533">
            <v>1490.7575229004365</v>
          </cell>
          <cell r="J533"/>
          <cell r="K533"/>
        </row>
        <row r="534">
          <cell r="B534" t="str">
            <v>#UMV150470068</v>
          </cell>
          <cell r="C534">
            <v>1458.4531790581905</v>
          </cell>
          <cell r="D534">
            <v>1457.5147777276836</v>
          </cell>
          <cell r="E534">
            <v>1457.2055795162821</v>
          </cell>
          <cell r="F534">
            <v>1458.7224089842812</v>
          </cell>
          <cell r="G534">
            <v>1467.4837164434955</v>
          </cell>
          <cell r="H534">
            <v>1469.2268449590301</v>
          </cell>
          <cell r="I534">
            <v>1471.2914247994984</v>
          </cell>
          <cell r="J534"/>
          <cell r="K534"/>
        </row>
        <row r="535">
          <cell r="B535" t="str">
            <v>#UMV250270018</v>
          </cell>
          <cell r="C535">
            <v>1473.3923436630369</v>
          </cell>
          <cell r="D535">
            <v>1472.4474517267049</v>
          </cell>
          <cell r="E535">
            <v>1472.1382079166247</v>
          </cell>
          <cell r="F535">
            <v>1473.6799652917082</v>
          </cell>
          <cell r="G535">
            <v>1482.5342596147693</v>
          </cell>
          <cell r="H535">
            <v>1484.2984202715154</v>
          </cell>
          <cell r="I535">
            <v>1486.3873392532764</v>
          </cell>
          <cell r="J535"/>
          <cell r="K535"/>
        </row>
        <row r="536">
          <cell r="B536" t="str">
            <v>#UMV290370010</v>
          </cell>
          <cell r="C536">
            <v>1463.6017138806076</v>
          </cell>
          <cell r="D536">
            <v>1462.6610685205151</v>
          </cell>
          <cell r="E536">
            <v>1462.3518474412106</v>
          </cell>
          <cell r="F536">
            <v>1463.8772463612686</v>
          </cell>
          <cell r="G536">
            <v>1472.6705927534697</v>
          </cell>
          <cell r="H536">
            <v>1474.4209623517972</v>
          </cell>
          <cell r="I536">
            <v>1476.4939229417892</v>
          </cell>
          <cell r="J536"/>
          <cell r="K536"/>
        </row>
        <row r="537">
          <cell r="B537" t="str">
            <v>#UMV040370018</v>
          </cell>
          <cell r="C537">
            <v>1471.2394670119938</v>
          </cell>
          <cell r="D537">
            <v>1470.2955065294291</v>
          </cell>
          <cell r="E537">
            <v>1469.9862653842727</v>
          </cell>
          <cell r="F537">
            <v>1471.5244186479838</v>
          </cell>
          <cell r="G537">
            <v>1480.3653086082845</v>
          </cell>
          <cell r="H537">
            <v>1482.1264343481953</v>
          </cell>
          <cell r="I537">
            <v>1484.2118418231385</v>
          </cell>
          <cell r="J537"/>
          <cell r="K537"/>
        </row>
        <row r="538">
          <cell r="B538" t="str">
            <v>#UMV110370016</v>
          </cell>
          <cell r="C538">
            <v>1469.09287261894</v>
          </cell>
          <cell r="D538">
            <v>1468.1498421812321</v>
          </cell>
          <cell r="E538">
            <v>1467.8406050029087</v>
          </cell>
          <cell r="F538">
            <v>1469.3751686156306</v>
          </cell>
          <cell r="G538">
            <v>1478.2026946911715</v>
          </cell>
          <cell r="H538">
            <v>1479.9607957061012</v>
          </cell>
          <cell r="I538">
            <v>1482.0427032633847</v>
          </cell>
          <cell r="J538"/>
          <cell r="K538"/>
        </row>
        <row r="539">
          <cell r="B539" t="str">
            <v>#UMV210170045</v>
          </cell>
          <cell r="C539">
            <v>1484.251933154761</v>
          </cell>
          <cell r="D539">
            <v>1483.3023628026283</v>
          </cell>
          <cell r="E539">
            <v>1482.9931256030027</v>
          </cell>
          <cell r="F539">
            <v>1484.5531232964263</v>
          </cell>
          <cell r="G539">
            <v>1493.4750530821207</v>
          </cell>
          <cell r="H539">
            <v>1495.2545429877869</v>
          </cell>
          <cell r="I539">
            <v>1497.361195345344</v>
          </cell>
          <cell r="J539"/>
          <cell r="K539"/>
        </row>
        <row r="540">
          <cell r="B540" t="str">
            <v>#UMV280170011</v>
          </cell>
          <cell r="C540">
            <v>1482.0672276673426</v>
          </cell>
          <cell r="D540">
            <v>1481.118595819072</v>
          </cell>
          <cell r="E540">
            <v>1480.8093546001223</v>
          </cell>
          <cell r="F540">
            <v>1482.3656746534525</v>
          </cell>
          <cell r="G540">
            <v>1491.273994904117</v>
          </cell>
          <cell r="H540">
            <v>1493.0503981661689</v>
          </cell>
          <cell r="I540">
            <v>1495.1534802102535</v>
          </cell>
          <cell r="J540"/>
          <cell r="K540"/>
        </row>
        <row r="541">
          <cell r="B541" t="str">
            <v>#UMV070170014</v>
          </cell>
          <cell r="C541">
            <v>1488.640724024511</v>
          </cell>
          <cell r="D541">
            <v>1487.6892724317399</v>
          </cell>
          <cell r="E541">
            <v>1487.3800474004452</v>
          </cell>
          <cell r="F541">
            <v>1488.9474453242833</v>
          </cell>
          <cell r="G541">
            <v>1497.8967191673526</v>
          </cell>
          <cell r="H541">
            <v>1499.6824139166797</v>
          </cell>
          <cell r="I541">
            <v>1501.7962427687246</v>
          </cell>
          <cell r="J541"/>
          <cell r="K541"/>
        </row>
        <row r="542">
          <cell r="B542" t="str">
            <v>#UMV010670037</v>
          </cell>
          <cell r="C542">
            <v>1443.813918927382</v>
          </cell>
          <cell r="D542">
            <v>1442.8819393240215</v>
          </cell>
          <cell r="E542">
            <v>1442.5728472412579</v>
          </cell>
          <cell r="F542">
            <v>1444.0654342320597</v>
          </cell>
          <cell r="G542">
            <v>1452.7356854896655</v>
          </cell>
          <cell r="H542">
            <v>1454.4582667494201</v>
          </cell>
          <cell r="I542">
            <v>1456.4990590301738</v>
          </cell>
          <cell r="J542"/>
          <cell r="K542"/>
        </row>
        <row r="543">
          <cell r="B543" t="str">
            <v>#UMV290670004</v>
          </cell>
          <cell r="C543">
            <v>1435.5798227861239</v>
          </cell>
          <cell r="D543">
            <v>1434.6514819058393</v>
          </cell>
          <cell r="E543">
            <v>1434.3424762428847</v>
          </cell>
          <cell r="F543">
            <v>1435.8215081132676</v>
          </cell>
          <cell r="G543">
            <v>1444.4405711034735</v>
          </cell>
          <cell r="H543">
            <v>1446.1516224709992</v>
          </cell>
          <cell r="I543">
            <v>1448.1790624301552</v>
          </cell>
          <cell r="J543"/>
          <cell r="K543"/>
        </row>
        <row r="544">
          <cell r="B544" t="str">
            <v>#UMV150470071</v>
          </cell>
          <cell r="C544">
            <v>1457.2470188672289</v>
          </cell>
          <cell r="D544">
            <v>1456.3091443383973</v>
          </cell>
          <cell r="E544">
            <v>1455.999952571982</v>
          </cell>
          <cell r="F544">
            <v>1457.5147777276836</v>
          </cell>
          <cell r="G544">
            <v>1466.2685804774947</v>
          </cell>
          <cell r="H544">
            <v>1468.0100137156119</v>
          </cell>
          <cell r="I544">
            <v>1470.0726312915265</v>
          </cell>
          <cell r="J544"/>
          <cell r="K544"/>
        </row>
        <row r="545">
          <cell r="B545" t="str">
            <v>#UMV040570009</v>
          </cell>
          <cell r="C545">
            <v>1452.1430170544913</v>
          </cell>
          <cell r="D545">
            <v>1451.207376314363</v>
          </cell>
          <cell r="E545">
            <v>1450.8982163909288</v>
          </cell>
          <cell r="F545">
            <v>1452.4045738351617</v>
          </cell>
          <cell r="G545">
            <v>1461.1266243236637</v>
          </cell>
          <cell r="H545">
            <v>1462.860888466598</v>
          </cell>
          <cell r="I545">
            <v>1464.9152071842811</v>
          </cell>
          <cell r="J545"/>
          <cell r="K545"/>
        </row>
        <row r="546">
          <cell r="B546" t="str">
            <v>#UMV140170021</v>
          </cell>
          <cell r="C546">
            <v>1485.1902084630747</v>
          </cell>
          <cell r="D546">
            <v>1484.2402354631065</v>
          </cell>
          <cell r="E546">
            <v>1483.9310004055008</v>
          </cell>
          <cell r="F546">
            <v>1485.4925788036066</v>
          </cell>
          <cell r="G546">
            <v>1494.4203539704085</v>
          </cell>
          <cell r="H546">
            <v>1496.2011699349302</v>
          </cell>
          <cell r="I546">
            <v>1498.3093560773095</v>
          </cell>
          <cell r="J546"/>
          <cell r="K546"/>
        </row>
        <row r="547">
          <cell r="B547" t="str">
            <v>#UMV200470019</v>
          </cell>
          <cell r="C547">
            <v>1456.9457904770934</v>
          </cell>
          <cell r="D547">
            <v>1456.0080475769696</v>
          </cell>
          <cell r="E547">
            <v>1455.6988574845693</v>
          </cell>
          <cell r="F547">
            <v>1457.2131822740866</v>
          </cell>
          <cell r="G547">
            <v>1465.9651108527314</v>
          </cell>
          <cell r="H547">
            <v>1467.7061207752463</v>
          </cell>
          <cell r="I547">
            <v>1469.7682483580829</v>
          </cell>
        </row>
        <row r="548">
          <cell r="B548" t="str">
            <v>#UMV200470018</v>
          </cell>
          <cell r="C548">
            <v>1456.9457904770934</v>
          </cell>
          <cell r="D548">
            <v>1456.0080475769696</v>
          </cell>
          <cell r="E548">
            <v>1455.6988574845693</v>
          </cell>
          <cell r="F548">
            <v>1457.2131822740866</v>
          </cell>
          <cell r="G548">
            <v>1465.9651108527314</v>
          </cell>
          <cell r="H548">
            <v>1467.7061207752463</v>
          </cell>
          <cell r="I548">
            <v>1469.7682483580829</v>
          </cell>
        </row>
        <row r="549">
          <cell r="B549" t="str">
            <v>#UMV200470017</v>
          </cell>
          <cell r="C549">
            <v>1456.9457904770934</v>
          </cell>
          <cell r="D549">
            <v>1456.0080475769696</v>
          </cell>
          <cell r="E549">
            <v>1455.6988574845693</v>
          </cell>
          <cell r="F549">
            <v>1457.2131822740866</v>
          </cell>
          <cell r="G549">
            <v>1465.9651108527314</v>
          </cell>
          <cell r="H549">
            <v>1467.7061207752463</v>
          </cell>
          <cell r="I549">
            <v>1469.7682483580829</v>
          </cell>
        </row>
        <row r="550">
          <cell r="B550" t="str">
            <v>#UMV200470016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  <cell r="G550">
            <v>1465.9651108527314</v>
          </cell>
          <cell r="H550">
            <v>1467.7061207752463</v>
          </cell>
          <cell r="I550">
            <v>1469.7682483580829</v>
          </cell>
        </row>
        <row r="551">
          <cell r="B551" t="str">
            <v>#UMV040570010</v>
          </cell>
          <cell r="C551">
            <v>1452.741631373455</v>
          </cell>
          <cell r="D551">
            <v>1451.8057282645948</v>
          </cell>
          <cell r="E551">
            <v>1451.4965642237983</v>
          </cell>
          <cell r="F551">
            <v>1453.0039136371461</v>
          </cell>
          <cell r="G551">
            <v>1461.7296877382446</v>
          </cell>
          <cell r="H551">
            <v>1463.4647923062257</v>
          </cell>
          <cell r="I551">
            <v>1465.5200839494096</v>
          </cell>
        </row>
        <row r="552">
          <cell r="B552" t="str">
            <v>#UMV180570011</v>
          </cell>
          <cell r="C552">
            <v>1448.5616654797934</v>
          </cell>
          <cell r="D552">
            <v>1447.6275965460127</v>
          </cell>
          <cell r="E552">
            <v>1447.3184633799458</v>
          </cell>
          <cell r="F552">
            <v>1448.8188925303389</v>
          </cell>
          <cell r="G552">
            <v>1457.5186678375298</v>
          </cell>
          <cell r="H552">
            <v>1459.247906105428</v>
          </cell>
          <cell r="I552">
            <v>1461.2964062434439</v>
          </cell>
        </row>
        <row r="553">
          <cell r="B553" t="str">
            <v>#UMV010670043</v>
          </cell>
          <cell r="C553">
            <v>1444.4056845622692</v>
          </cell>
          <cell r="D553">
            <v>1443.4734441930509</v>
          </cell>
          <cell r="E553">
            <v>1443.1643466406199</v>
          </cell>
          <cell r="F553">
            <v>1444.6579100382189</v>
          </cell>
          <cell r="G553">
            <v>1453.3318408506368</v>
          </cell>
          <cell r="H553">
            <v>1455.0552514931155</v>
          </cell>
          <cell r="I553">
            <v>1457.0970041341225</v>
          </cell>
        </row>
        <row r="554">
          <cell r="B554" t="str">
            <v>#UMV220670013</v>
          </cell>
          <cell r="C554">
            <v>1438.216235360479</v>
          </cell>
          <cell r="D554">
            <v>1437.2867273318166</v>
          </cell>
          <cell r="E554">
            <v>1436.9776919046203</v>
          </cell>
          <cell r="F554">
            <v>1438.4610575809697</v>
          </cell>
          <cell r="G554">
            <v>1447.0965079736879</v>
          </cell>
          <cell r="H554">
            <v>1448.8112488741494</v>
          </cell>
          <cell r="I554">
            <v>1450.8429618655707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67"/>
  <sheetViews>
    <sheetView tabSelected="1" topLeftCell="Y1" workbookViewId="0">
      <pane ySplit="1" topLeftCell="A2" activePane="bottomLeft" state="frozen"/>
      <selection pane="bottomLeft" activeCell="AJ22" sqref="AJ22"/>
    </sheetView>
  </sheetViews>
  <sheetFormatPr baseColWidth="10" defaultRowHeight="14.4" x14ac:dyDescent="0.3"/>
  <cols>
    <col min="5" max="6" width="11.44140625" customWidth="1"/>
    <col min="19" max="20" width="11.44140625" style="10"/>
    <col min="22" max="22" width="11.44140625" style="10"/>
    <col min="24" max="31" width="11.44140625" style="10"/>
  </cols>
  <sheetData>
    <row r="1" spans="1:31" x14ac:dyDescent="0.3">
      <c r="A1" t="s">
        <v>2</v>
      </c>
      <c r="B1" t="s">
        <v>23</v>
      </c>
      <c r="C1" t="s">
        <v>24</v>
      </c>
      <c r="D1" s="10" t="s">
        <v>15</v>
      </c>
      <c r="E1" t="s">
        <v>7</v>
      </c>
      <c r="F1" t="s">
        <v>3</v>
      </c>
      <c r="G1" s="10" t="s">
        <v>16</v>
      </c>
      <c r="H1" t="s">
        <v>11</v>
      </c>
      <c r="I1" t="s">
        <v>17</v>
      </c>
      <c r="J1" t="s">
        <v>13</v>
      </c>
      <c r="K1" t="s">
        <v>14</v>
      </c>
      <c r="L1" s="10"/>
      <c r="N1" t="s">
        <v>4</v>
      </c>
      <c r="O1" t="s">
        <v>12</v>
      </c>
      <c r="Q1" s="10" t="s">
        <v>20</v>
      </c>
      <c r="R1" t="s">
        <v>25</v>
      </c>
      <c r="S1" s="10" t="s">
        <v>13</v>
      </c>
      <c r="T1" s="10" t="s">
        <v>26</v>
      </c>
      <c r="U1" s="10" t="s">
        <v>19</v>
      </c>
      <c r="V1" s="10" t="s">
        <v>14</v>
      </c>
      <c r="W1" s="10" t="s">
        <v>18</v>
      </c>
      <c r="X1" s="10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0" t="s">
        <v>32</v>
      </c>
      <c r="AD1" s="10" t="s">
        <v>33</v>
      </c>
      <c r="AE1" s="10" t="s">
        <v>34</v>
      </c>
    </row>
    <row r="2" spans="1:31" x14ac:dyDescent="0.3">
      <c r="A2" s="8">
        <v>46072</v>
      </c>
      <c r="B2" s="10">
        <v>1.100000000000062</v>
      </c>
      <c r="C2" s="8"/>
      <c r="D2" s="10">
        <v>1.0255000000000369</v>
      </c>
      <c r="E2">
        <v>121.4499999999918</v>
      </c>
      <c r="G2" s="10">
        <v>1.0959999999939141</v>
      </c>
      <c r="H2">
        <v>103.70000000000471</v>
      </c>
      <c r="I2" s="10">
        <v>1.0525000000000342</v>
      </c>
      <c r="K2" s="10">
        <v>1.0390000000000437</v>
      </c>
      <c r="N2">
        <v>102.99999999941318</v>
      </c>
      <c r="Q2" s="10">
        <v>1.0039999999997464</v>
      </c>
      <c r="R2" s="10">
        <v>2.4369999999991161</v>
      </c>
      <c r="T2" s="10">
        <v>1.7874999999863834</v>
      </c>
      <c r="U2" s="10">
        <v>9.9499999999518845E-3</v>
      </c>
      <c r="V2" s="10">
        <v>1.0390000000000437</v>
      </c>
      <c r="W2" s="10">
        <v>3.1489999999999956E-2</v>
      </c>
      <c r="Z2" s="10">
        <v>2.2240000000000069</v>
      </c>
      <c r="AB2" s="10">
        <v>2.8734999999995483</v>
      </c>
    </row>
    <row r="3" spans="1:31" x14ac:dyDescent="0.3">
      <c r="A3" s="8">
        <v>46073</v>
      </c>
      <c r="B3" s="10">
        <v>1.1093700000000242</v>
      </c>
      <c r="C3" s="8"/>
      <c r="D3" s="10">
        <v>1.0275000000000187</v>
      </c>
      <c r="E3">
        <v>121.79999999999124</v>
      </c>
      <c r="G3" s="10">
        <v>1.10149999999524</v>
      </c>
      <c r="H3">
        <v>104.14999999893084</v>
      </c>
      <c r="I3" s="10">
        <v>1.0550000000000848</v>
      </c>
      <c r="K3" s="10">
        <v>1.0385000000000253</v>
      </c>
      <c r="N3">
        <v>104.89999999968605</v>
      </c>
      <c r="Q3" s="10">
        <v>1.0052499999997973</v>
      </c>
      <c r="R3" s="10">
        <v>2.4439999999993489</v>
      </c>
      <c r="T3" s="10">
        <v>1.792999999989261</v>
      </c>
      <c r="U3" s="10">
        <v>9.8999999999997822E-3</v>
      </c>
      <c r="V3" s="10">
        <v>1.0385000000000253</v>
      </c>
      <c r="W3" s="10">
        <v>3.1950000000001012E-2</v>
      </c>
      <c r="Z3" s="10">
        <v>2.2324999999999329</v>
      </c>
      <c r="AB3" s="10">
        <v>2.8844999999999335</v>
      </c>
    </row>
    <row r="4" spans="1:31" x14ac:dyDescent="0.3">
      <c r="A4" s="8">
        <v>46076</v>
      </c>
      <c r="B4" s="10">
        <v>1.1040000000000636</v>
      </c>
      <c r="C4" s="8"/>
      <c r="D4" s="10">
        <v>1.0294000000000267</v>
      </c>
      <c r="E4">
        <v>121.89999999998918</v>
      </c>
      <c r="G4" s="10">
        <v>1.1029999999954871</v>
      </c>
      <c r="H4">
        <v>103.50000000000973</v>
      </c>
      <c r="I4" s="10">
        <v>1.0519999999999896</v>
      </c>
      <c r="K4" s="10">
        <v>0.9999999999992718</v>
      </c>
      <c r="N4">
        <v>103.99999999937211</v>
      </c>
      <c r="Q4" s="10">
        <v>1.0084999999998279</v>
      </c>
      <c r="R4" s="10">
        <v>2.4459999999993474</v>
      </c>
      <c r="T4" s="10">
        <v>1.7919999999873619</v>
      </c>
      <c r="U4" s="10">
        <v>1.0330000000000051E-2</v>
      </c>
      <c r="V4" s="10">
        <v>0.9999999999992718</v>
      </c>
      <c r="W4" s="10">
        <v>3.1829999999999678E-2</v>
      </c>
      <c r="Z4" s="10">
        <v>2.2329999999997137</v>
      </c>
      <c r="AB4" s="10">
        <v>2.884000000000198</v>
      </c>
    </row>
    <row r="5" spans="1:31" x14ac:dyDescent="0.3">
      <c r="A5" s="8">
        <v>46077</v>
      </c>
      <c r="B5" s="10">
        <v>1.1119999999999826</v>
      </c>
      <c r="C5" s="8"/>
      <c r="D5" s="10">
        <v>1.0389499999999909</v>
      </c>
      <c r="E5">
        <v>123.55000000000049</v>
      </c>
      <c r="G5" s="10">
        <v>1.1159999999973647</v>
      </c>
      <c r="H5">
        <v>105.14999999930235</v>
      </c>
      <c r="I5" s="10">
        <v>1.0614999999999595</v>
      </c>
      <c r="K5" s="10">
        <v>1.0089999999997927</v>
      </c>
      <c r="N5">
        <v>103.50000000000152</v>
      </c>
      <c r="Q5" s="10">
        <v>1.0114999999998535</v>
      </c>
      <c r="R5" s="10">
        <v>2.451999999999344</v>
      </c>
      <c r="T5" s="10">
        <v>1.7969999999874642</v>
      </c>
      <c r="U5" s="10">
        <v>1.004999999997616E-2</v>
      </c>
      <c r="V5" s="10">
        <v>1.0089999999997927</v>
      </c>
      <c r="W5" s="10">
        <v>3.1779999999999732E-2</v>
      </c>
      <c r="Z5" s="10">
        <v>2.244000000000073</v>
      </c>
      <c r="AB5" s="10">
        <v>2.8924999999999188</v>
      </c>
    </row>
    <row r="6" spans="1:31" x14ac:dyDescent="0.3">
      <c r="A6" s="8">
        <v>46078</v>
      </c>
      <c r="B6" s="10">
        <v>1.1115000000000084</v>
      </c>
      <c r="C6" s="8"/>
      <c r="D6" s="10">
        <v>1.0409999999999873</v>
      </c>
      <c r="E6">
        <v>123.59999999999873</v>
      </c>
      <c r="G6" s="10">
        <v>1.1189999999977578</v>
      </c>
      <c r="H6">
        <v>105.49999999939821</v>
      </c>
      <c r="I6" s="10">
        <v>1.0615000000000072</v>
      </c>
      <c r="K6" s="10"/>
      <c r="N6">
        <v>104.90000000000501</v>
      </c>
      <c r="Q6" s="10">
        <v>1.0114999999998486</v>
      </c>
      <c r="R6" s="10">
        <v>2.4549999999994578</v>
      </c>
      <c r="T6" s="10">
        <v>1.7974999999866776</v>
      </c>
      <c r="U6" s="10">
        <v>1.004999999997251E-2</v>
      </c>
      <c r="V6" s="10">
        <v>1.026000000000066</v>
      </c>
      <c r="W6" s="10">
        <v>3.1705000000001766E-2</v>
      </c>
      <c r="Z6" s="10">
        <v>2.2525000000000031</v>
      </c>
      <c r="AB6" s="10">
        <v>2.8939999999996582</v>
      </c>
    </row>
    <row r="7" spans="1:31" x14ac:dyDescent="0.3">
      <c r="A7" s="8">
        <v>46079</v>
      </c>
      <c r="B7" s="10">
        <v>1.1140000000000327</v>
      </c>
      <c r="C7" s="8"/>
      <c r="D7" s="10">
        <v>1.042009999999967</v>
      </c>
      <c r="E7">
        <v>124.14999999999895</v>
      </c>
      <c r="G7" s="10">
        <v>1.1254999999983901</v>
      </c>
      <c r="H7">
        <v>105.99999999950973</v>
      </c>
      <c r="I7" s="10">
        <v>1.0749999999899797</v>
      </c>
      <c r="K7" s="10">
        <v>1.026000000000066</v>
      </c>
      <c r="N7">
        <v>103.50000000000257</v>
      </c>
      <c r="Q7" s="10">
        <v>1.0169999999999662</v>
      </c>
      <c r="R7" s="10">
        <v>2.469999999999839</v>
      </c>
      <c r="T7" s="10">
        <v>1.8069999999918676</v>
      </c>
      <c r="U7" s="10">
        <v>1.009999999998396E-2</v>
      </c>
      <c r="V7" s="10">
        <v>1.026000000000066</v>
      </c>
      <c r="W7" s="10">
        <v>3.203999999999968E-2</v>
      </c>
      <c r="Z7" s="10">
        <v>2.2640000000000535</v>
      </c>
      <c r="AB7" s="10">
        <v>2.9000000000000155</v>
      </c>
    </row>
    <row r="8" spans="1:31" x14ac:dyDescent="0.3">
      <c r="A8" s="8">
        <v>46080</v>
      </c>
      <c r="B8" s="10">
        <v>1.110099999999985</v>
      </c>
      <c r="C8" s="8"/>
      <c r="D8" s="10">
        <v>1.0489999999999859</v>
      </c>
      <c r="E8">
        <v>124.50000000000203</v>
      </c>
      <c r="G8" s="10">
        <v>1.1284999999985121</v>
      </c>
      <c r="H8">
        <v>105.99999999951297</v>
      </c>
      <c r="I8" s="10">
        <v>1.103999999997076</v>
      </c>
      <c r="K8" s="10">
        <v>1.0290000000000044</v>
      </c>
      <c r="N8">
        <v>104.89999999999642</v>
      </c>
      <c r="Q8" s="10">
        <v>1.0244999999999562</v>
      </c>
      <c r="R8" s="10">
        <v>2.4799999999998779</v>
      </c>
      <c r="T8" s="10">
        <v>1.8179999999957566</v>
      </c>
      <c r="U8" s="10">
        <v>1.0400000000001014E-2</v>
      </c>
      <c r="V8" s="10">
        <v>1.0290000000000044</v>
      </c>
      <c r="W8" s="10">
        <v>3.2499999999773217E-2</v>
      </c>
      <c r="Z8" s="10">
        <v>2.2749999999999839</v>
      </c>
      <c r="AB8" s="10">
        <v>2.9069999999999272</v>
      </c>
    </row>
    <row r="9" spans="1:31" x14ac:dyDescent="0.3">
      <c r="A9" s="8">
        <v>46083</v>
      </c>
      <c r="B9" s="10">
        <v>1.1223999999999632</v>
      </c>
      <c r="C9" s="8"/>
      <c r="D9" s="10">
        <v>1.0555000000000447</v>
      </c>
      <c r="E9">
        <v>124.79999999999687</v>
      </c>
      <c r="G9" s="10">
        <v>1.1284999999984553</v>
      </c>
      <c r="H9">
        <v>106.74999999965307</v>
      </c>
      <c r="I9" s="10">
        <v>1.0909999999948847</v>
      </c>
      <c r="K9" s="10">
        <v>1.0290000000000237</v>
      </c>
      <c r="N9">
        <v>106.99999999972248</v>
      </c>
      <c r="Q9" s="10">
        <v>1.0239999999999734</v>
      </c>
      <c r="R9" s="10">
        <v>2.4799999999997042</v>
      </c>
      <c r="T9" s="10">
        <v>1.8244999999969738</v>
      </c>
      <c r="U9" s="10">
        <v>1.0199999999993842E-2</v>
      </c>
      <c r="V9" s="10">
        <v>1.0290000000000237</v>
      </c>
      <c r="W9" s="10">
        <v>3.2554999999793027E-2</v>
      </c>
      <c r="Z9" s="10">
        <v>2.275000000000186</v>
      </c>
      <c r="AB9" s="10">
        <v>2.9100000000002035</v>
      </c>
    </row>
    <row r="10" spans="1:31" x14ac:dyDescent="0.3">
      <c r="A10" s="8">
        <v>46084</v>
      </c>
      <c r="B10" s="10">
        <v>1.119999999999977</v>
      </c>
      <c r="C10" s="8"/>
      <c r="D10" s="10">
        <v>1.0584999999999973</v>
      </c>
      <c r="E10">
        <v>124.30000000000105</v>
      </c>
      <c r="G10" s="10">
        <v>1.1219999999980719</v>
      </c>
      <c r="H10">
        <v>106.6999999996502</v>
      </c>
      <c r="I10" s="10">
        <v>1.0839999999930721</v>
      </c>
      <c r="K10" s="10">
        <v>1.0290000000000428</v>
      </c>
      <c r="N10">
        <v>106.79999999978268</v>
      </c>
      <c r="Q10" s="10">
        <v>1.0269999999999477</v>
      </c>
      <c r="R10" s="10">
        <v>2.4819999999995495</v>
      </c>
      <c r="T10" s="10">
        <v>1.8199999999923318</v>
      </c>
      <c r="U10" s="10">
        <v>1.0299999999997192E-2</v>
      </c>
      <c r="V10" s="10">
        <v>1.0290000000000428</v>
      </c>
      <c r="W10" s="10">
        <v>3.2324999999997717E-2</v>
      </c>
      <c r="Z10" s="10">
        <v>2.274000000000008</v>
      </c>
      <c r="AB10" s="10">
        <v>2.9100000000006103</v>
      </c>
    </row>
    <row r="11" spans="1:31" x14ac:dyDescent="0.3">
      <c r="A11" s="8">
        <v>46085</v>
      </c>
      <c r="B11" s="10">
        <v>1.1234899999999748</v>
      </c>
      <c r="C11" s="8"/>
      <c r="D11" s="10">
        <v>1.0574999999999493</v>
      </c>
      <c r="E11">
        <v>124.59999999999923</v>
      </c>
      <c r="G11" s="10">
        <v>1.1249999999983304</v>
      </c>
      <c r="H11">
        <v>106.74999999964984</v>
      </c>
      <c r="I11" s="10">
        <v>1.0849999999935449</v>
      </c>
      <c r="K11" s="10">
        <v>0.99799999999567179</v>
      </c>
      <c r="N11">
        <v>106.79999999987135</v>
      </c>
      <c r="Q11" s="10">
        <v>1.0299999999999416</v>
      </c>
      <c r="R11" s="10">
        <v>2.4979999999997498</v>
      </c>
      <c r="T11" s="10">
        <v>1.8319999999961294</v>
      </c>
      <c r="U11" s="10">
        <v>1.0399999999999417E-2</v>
      </c>
      <c r="V11" s="10">
        <v>0.99799999999567179</v>
      </c>
      <c r="W11" s="10">
        <v>3.2490000000001837E-2</v>
      </c>
      <c r="Z11" s="10">
        <v>2.282000000000258</v>
      </c>
      <c r="AB11" s="10">
        <v>2.9289999999996548</v>
      </c>
    </row>
    <row r="12" spans="1:31" x14ac:dyDescent="0.3">
      <c r="A12" s="8">
        <v>46086</v>
      </c>
      <c r="B12" s="10">
        <v>1.1188500000000026</v>
      </c>
      <c r="C12" s="8"/>
      <c r="D12" s="10">
        <v>1.0523600000000179</v>
      </c>
      <c r="E12">
        <v>124.60000000000102</v>
      </c>
      <c r="G12" s="10">
        <v>1.1244999999982772</v>
      </c>
      <c r="H12">
        <v>106.49999999960409</v>
      </c>
      <c r="I12" s="10">
        <v>1.0774999999910853</v>
      </c>
      <c r="K12" s="10">
        <v>1.0390000000000099</v>
      </c>
      <c r="N12">
        <v>105.19999999983145</v>
      </c>
      <c r="Q12" s="10">
        <v>1.032000000000004</v>
      </c>
      <c r="R12" s="10">
        <v>2.5049999999999666</v>
      </c>
      <c r="T12" s="10">
        <v>1.8344999999963159</v>
      </c>
      <c r="U12" s="11">
        <v>1.0675000000000372E-2</v>
      </c>
      <c r="V12" s="10">
        <v>1.0390000000000099</v>
      </c>
      <c r="W12" s="10">
        <v>3.2459999999998955E-2</v>
      </c>
      <c r="Z12" s="10">
        <v>2.2900000000001266</v>
      </c>
      <c r="AB12" s="10">
        <v>2.928999999999887</v>
      </c>
    </row>
    <row r="13" spans="1:31" x14ac:dyDescent="0.3">
      <c r="A13" s="8">
        <v>46087</v>
      </c>
      <c r="B13" s="10">
        <v>1.1189999999999869</v>
      </c>
      <c r="C13" s="8"/>
      <c r="D13" s="10">
        <v>1.0480000000000138</v>
      </c>
      <c r="E13">
        <v>124.64999999999526</v>
      </c>
      <c r="G13" s="10">
        <v>1.123999999998156</v>
      </c>
      <c r="H13">
        <v>105.9999999995149</v>
      </c>
      <c r="I13" s="10">
        <v>1.0749999999900617</v>
      </c>
      <c r="K13" s="10">
        <v>1.045499999999989</v>
      </c>
      <c r="N13">
        <v>104.99999999984149</v>
      </c>
      <c r="Q13" s="10">
        <v>1.0349999999999961</v>
      </c>
      <c r="R13" s="10">
        <v>2.5099999999998319</v>
      </c>
      <c r="T13" s="10">
        <v>1.836999999995421</v>
      </c>
      <c r="U13" s="10"/>
      <c r="V13" s="10">
        <v>1.045499999999989</v>
      </c>
      <c r="W13" s="10">
        <v>3.2410000000000661E-2</v>
      </c>
      <c r="Z13" s="10">
        <v>2.2900000000000902</v>
      </c>
      <c r="AB13" s="10">
        <v>2.9289999999997236</v>
      </c>
    </row>
    <row r="14" spans="1:31" x14ac:dyDescent="0.3">
      <c r="A14" s="8">
        <v>46090</v>
      </c>
      <c r="B14" s="10">
        <v>1.1174999999999917</v>
      </c>
      <c r="C14" s="8"/>
      <c r="D14" s="10">
        <v>1.044999999999999</v>
      </c>
      <c r="E14">
        <v>124.99999999999638</v>
      </c>
      <c r="G14" s="10">
        <v>1.1249999999982796</v>
      </c>
      <c r="H14">
        <v>105.74999999945535</v>
      </c>
      <c r="I14" s="10">
        <v>1.0744999999898392</v>
      </c>
      <c r="K14" s="10">
        <v>1.0395000000000292</v>
      </c>
      <c r="N14">
        <v>104.54999999980792</v>
      </c>
      <c r="Q14" s="10">
        <v>1.0358999999999625</v>
      </c>
      <c r="R14" s="10">
        <v>2.5119999999999494</v>
      </c>
      <c r="T14" s="10">
        <v>1.8389999999954856</v>
      </c>
      <c r="U14" s="11">
        <v>1.0675000000000372E-2</v>
      </c>
      <c r="V14" s="10">
        <v>1.0395000000000292</v>
      </c>
      <c r="W14" s="10">
        <v>3.2499999999997503E-2</v>
      </c>
      <c r="Z14" s="10">
        <v>2.2970000000001205</v>
      </c>
      <c r="AB14" s="10">
        <v>2.9319999999999555</v>
      </c>
    </row>
    <row r="15" spans="1:31" x14ac:dyDescent="0.3">
      <c r="A15" s="8">
        <v>46091</v>
      </c>
      <c r="B15" s="10">
        <v>1.1199800000000204</v>
      </c>
      <c r="C15" s="8"/>
      <c r="D15" s="10">
        <v>1.0494000000000043</v>
      </c>
      <c r="E15">
        <v>125.50000000000064</v>
      </c>
      <c r="G15" s="10">
        <v>1.1294999999985909</v>
      </c>
      <c r="H15">
        <v>106.64999999963499</v>
      </c>
      <c r="I15" s="10">
        <v>1.0749999999900226</v>
      </c>
      <c r="K15" s="10">
        <v>1.0099999999979161</v>
      </c>
      <c r="N15">
        <v>106.04999999990095</v>
      </c>
      <c r="Q15" s="10">
        <v>1.0378999999999534</v>
      </c>
      <c r="R15" s="10">
        <v>2.5139999999999203</v>
      </c>
      <c r="T15" s="10">
        <v>1.8409999999954139</v>
      </c>
      <c r="U15" s="10">
        <v>1.0679999999999417E-2</v>
      </c>
      <c r="V15" s="10">
        <v>1.0099999999979161</v>
      </c>
      <c r="W15" s="10">
        <v>3.2500000000001597E-2</v>
      </c>
      <c r="Z15" s="10">
        <v>2.2985000000001521</v>
      </c>
      <c r="AB15" s="10">
        <v>2.9390000000002732</v>
      </c>
    </row>
    <row r="16" spans="1:31" x14ac:dyDescent="0.3">
      <c r="A16" s="8">
        <v>46092</v>
      </c>
      <c r="B16" s="10">
        <v>1.1230000000000144</v>
      </c>
      <c r="C16" s="8"/>
      <c r="D16" s="10">
        <v>1.0500000000000074</v>
      </c>
      <c r="E16">
        <v>126.00000000000557</v>
      </c>
      <c r="G16" s="10">
        <v>1.1354999999988609</v>
      </c>
      <c r="H16">
        <v>106.79999999966773</v>
      </c>
      <c r="I16" s="10">
        <v>1.0829999999929263</v>
      </c>
      <c r="K16" s="10">
        <v>1.0199999999994018</v>
      </c>
      <c r="N16">
        <v>106.7999999999403</v>
      </c>
      <c r="Q16" s="10">
        <v>1.0384999999999893</v>
      </c>
      <c r="R16" s="10">
        <v>2.5174999999999406</v>
      </c>
      <c r="T16" s="10">
        <v>1.8409999999948243</v>
      </c>
      <c r="U16" s="10">
        <v>1.0675000000000372E-2</v>
      </c>
      <c r="V16" s="10">
        <v>1.0199999999994018</v>
      </c>
      <c r="W16" s="10">
        <v>3.2540000000000034E-2</v>
      </c>
      <c r="Z16" s="10">
        <v>2.3009999999999926</v>
      </c>
      <c r="AB16" s="10">
        <v>2.9414999999998472</v>
      </c>
    </row>
    <row r="17" spans="1:29" x14ac:dyDescent="0.3">
      <c r="A17" s="8">
        <v>46093</v>
      </c>
      <c r="B17" s="10">
        <v>1.1184999999999874</v>
      </c>
      <c r="C17" s="8"/>
      <c r="D17" s="10">
        <v>1.0455000000000034</v>
      </c>
      <c r="E17">
        <v>124.49999999999011</v>
      </c>
      <c r="G17" s="10">
        <v>1.1284999999984682</v>
      </c>
      <c r="H17">
        <v>106.44999999960689</v>
      </c>
      <c r="I17" s="10">
        <v>1.0824999999927818</v>
      </c>
      <c r="K17" s="10">
        <v>1.0099999999971798</v>
      </c>
      <c r="N17">
        <v>106.19999999991859</v>
      </c>
      <c r="Q17" s="10">
        <v>1.0409899999999972</v>
      </c>
      <c r="R17" s="10">
        <v>2.5239999999999365</v>
      </c>
      <c r="T17" s="10">
        <v>1.84449999999526</v>
      </c>
      <c r="U17" s="10">
        <v>1.0159999999945137E-2</v>
      </c>
      <c r="V17" s="10">
        <v>1.0099999999971798</v>
      </c>
      <c r="W17" s="10">
        <v>3.2504999999999493E-2</v>
      </c>
      <c r="Z17" s="10">
        <v>2.315000000000099</v>
      </c>
      <c r="AB17" s="10">
        <v>2.9419999999998363</v>
      </c>
    </row>
    <row r="18" spans="1:29" x14ac:dyDescent="0.3">
      <c r="A18" s="8">
        <v>46094</v>
      </c>
      <c r="B18" s="10">
        <v>1.1269900000000022</v>
      </c>
      <c r="C18" s="8"/>
      <c r="D18" s="10">
        <v>1.0590000000000477</v>
      </c>
      <c r="E18">
        <v>125.90000000000032</v>
      </c>
      <c r="G18" s="10">
        <v>1.1354999999988571</v>
      </c>
      <c r="H18">
        <v>106.54999999961852</v>
      </c>
      <c r="I18" s="10">
        <v>1.0874999999940276</v>
      </c>
      <c r="K18" s="10">
        <v>1.0369999999998949</v>
      </c>
      <c r="N18">
        <v>107.94999999996216</v>
      </c>
      <c r="Q18" s="10">
        <v>1.0540000000000018</v>
      </c>
      <c r="R18" s="10">
        <v>2.5544999999999027</v>
      </c>
      <c r="T18" s="10">
        <v>1.8709999999988403</v>
      </c>
      <c r="U18" s="10">
        <v>1.0379999999994793E-2</v>
      </c>
      <c r="V18" s="10">
        <v>1.0369999999998949</v>
      </c>
      <c r="W18" s="10">
        <v>3.2999999999691103E-2</v>
      </c>
      <c r="Z18" s="10">
        <v>2.3420000000002403</v>
      </c>
      <c r="AB18" s="10">
        <v>2.9735000000000658</v>
      </c>
    </row>
    <row r="19" spans="1:29" x14ac:dyDescent="0.3">
      <c r="A19" s="8">
        <v>46097</v>
      </c>
      <c r="B19" s="10">
        <v>1.1309999999999658</v>
      </c>
      <c r="C19" s="8"/>
      <c r="D19" s="10">
        <v>1.0609000000000328</v>
      </c>
      <c r="E19">
        <v>127.15000000000043</v>
      </c>
      <c r="G19" s="10">
        <v>1.1419999999992334</v>
      </c>
      <c r="H19">
        <v>107.09999999969627</v>
      </c>
      <c r="I19" s="10">
        <v>1.0869999999939537</v>
      </c>
      <c r="K19" s="10">
        <v>1.0484999999999984</v>
      </c>
      <c r="N19">
        <v>107.74999999996066</v>
      </c>
      <c r="Q19" s="10">
        <v>1.0660000000000289</v>
      </c>
      <c r="R19" s="10">
        <v>2.586999999999898</v>
      </c>
      <c r="T19" s="10">
        <v>1.8974999999999467</v>
      </c>
      <c r="U19" s="10">
        <v>1.0479999999998857E-2</v>
      </c>
      <c r="V19" s="10">
        <v>1.0484999999999984</v>
      </c>
      <c r="W19" s="10">
        <v>3.3429999999920426E-2</v>
      </c>
      <c r="Z19" s="10">
        <v>2.3779999999999863</v>
      </c>
      <c r="AB19" s="10">
        <v>3.0149999999996697</v>
      </c>
    </row>
    <row r="20" spans="1:29" x14ac:dyDescent="0.3">
      <c r="A20" s="8">
        <v>46098</v>
      </c>
      <c r="B20" s="10">
        <v>1.1339999999999888</v>
      </c>
      <c r="C20" s="8"/>
      <c r="D20" s="10">
        <v>1.0616999999999854</v>
      </c>
      <c r="E20">
        <v>127.39999999999571</v>
      </c>
      <c r="G20" s="10">
        <v>1.1439999999992656</v>
      </c>
      <c r="H20">
        <v>107.74999999977079</v>
      </c>
      <c r="I20" s="10">
        <v>1.0949999999957478</v>
      </c>
      <c r="K20" s="10">
        <v>1.0449999999999871</v>
      </c>
      <c r="N20">
        <v>107.24999999994462</v>
      </c>
      <c r="Q20" s="10">
        <v>1.0664999999999933</v>
      </c>
      <c r="R20" s="10">
        <v>2.5874999999999746</v>
      </c>
      <c r="T20" s="10">
        <v>1.9059999999999206</v>
      </c>
      <c r="U20" s="10">
        <v>1.0484999999998044E-2</v>
      </c>
      <c r="V20" s="10">
        <v>1.0449999999999871</v>
      </c>
      <c r="W20" s="10">
        <v>3.3899999999988314E-2</v>
      </c>
      <c r="Z20" s="10">
        <v>2.387500000000081</v>
      </c>
      <c r="AB20" s="10">
        <v>3.0315000000004635</v>
      </c>
    </row>
    <row r="21" spans="1:29" x14ac:dyDescent="0.3">
      <c r="A21" s="8">
        <v>46099</v>
      </c>
      <c r="B21" s="10">
        <v>1.1380000000000072</v>
      </c>
      <c r="C21" s="8"/>
      <c r="D21" s="10">
        <v>1.0629999999999746</v>
      </c>
      <c r="E21">
        <v>127.60000000000218</v>
      </c>
      <c r="G21" s="10">
        <v>1.1464999999993757</v>
      </c>
      <c r="H21">
        <v>107.5499999997611</v>
      </c>
      <c r="I21" s="10">
        <v>1.0979999999962837</v>
      </c>
      <c r="K21" s="10">
        <v>1.0499999999999998</v>
      </c>
      <c r="N21">
        <v>106.94999999994322</v>
      </c>
      <c r="Q21" s="10">
        <v>1.0692999999999977</v>
      </c>
      <c r="R21" s="10">
        <v>2.5874999999998392</v>
      </c>
      <c r="T21" s="10">
        <v>1.9064999999999299</v>
      </c>
      <c r="U21" s="10">
        <v>1.0699999999999621E-2</v>
      </c>
      <c r="V21" s="10">
        <v>1.0499999999999998</v>
      </c>
      <c r="W21" s="10">
        <v>3.4044999999992415E-2</v>
      </c>
      <c r="Z21" s="10">
        <v>2.381500000000047</v>
      </c>
      <c r="AB21" s="10">
        <v>3.0290000000002202</v>
      </c>
    </row>
    <row r="22" spans="1:29" x14ac:dyDescent="0.3">
      <c r="A22" s="8">
        <v>46100</v>
      </c>
      <c r="B22" s="10">
        <v>1.1400000000000057</v>
      </c>
      <c r="C22" s="8"/>
      <c r="D22" s="10">
        <v>1.0674999999999857</v>
      </c>
      <c r="E22">
        <v>128.10000000000068</v>
      </c>
      <c r="G22" s="10">
        <v>1.1554999999995572</v>
      </c>
      <c r="H22">
        <v>108.79999999986161</v>
      </c>
      <c r="I22" s="10">
        <v>1.0999999999966026</v>
      </c>
      <c r="K22" s="10">
        <v>1.0489999999999784</v>
      </c>
      <c r="N22">
        <v>106.64999999994774</v>
      </c>
      <c r="Q22" s="10">
        <v>1.0664999999999885</v>
      </c>
      <c r="R22" s="10">
        <v>2.5850000000000448</v>
      </c>
      <c r="T22" s="10">
        <v>1.9069999999998197</v>
      </c>
      <c r="U22" s="10">
        <v>1.0689999999999892E-2</v>
      </c>
      <c r="V22" s="10">
        <v>1.0489999999999784</v>
      </c>
      <c r="W22" s="10">
        <v>3.3599999999937548E-2</v>
      </c>
      <c r="Z22" s="10">
        <v>2.3840000000002957</v>
      </c>
      <c r="AB22" s="10">
        <v>3.0329999999998689</v>
      </c>
    </row>
    <row r="23" spans="1:29" x14ac:dyDescent="0.3">
      <c r="A23" s="8">
        <v>46101</v>
      </c>
      <c r="B23" s="10">
        <v>1.1486499999999762</v>
      </c>
      <c r="C23" s="8"/>
      <c r="D23" s="10">
        <v>1.0739999999999919</v>
      </c>
      <c r="E23">
        <v>128.15000000000097</v>
      </c>
      <c r="G23" s="10">
        <v>1.1624999999996561</v>
      </c>
      <c r="H23">
        <v>109.19999999988559</v>
      </c>
      <c r="I23" s="10">
        <v>1.1049999999972795</v>
      </c>
      <c r="K23" s="10">
        <v>1.0399999999998564</v>
      </c>
      <c r="N23">
        <v>107.49999999997884</v>
      </c>
      <c r="Q23" s="10">
        <v>1.0725000000000322</v>
      </c>
      <c r="R23" s="10">
        <v>2.595999999999985</v>
      </c>
      <c r="T23" s="10">
        <v>1.9064999999999899</v>
      </c>
      <c r="U23" s="10">
        <v>1.0599999999999089E-2</v>
      </c>
      <c r="V23" s="10">
        <v>1.0399999999998564</v>
      </c>
      <c r="W23" s="10">
        <v>3.3689999999934946E-2</v>
      </c>
      <c r="Z23" s="10">
        <v>2.3899999999999619</v>
      </c>
      <c r="AB23" s="10">
        <v>3.0429999999999935</v>
      </c>
    </row>
    <row r="24" spans="1:29" x14ac:dyDescent="0.3">
      <c r="A24" s="8">
        <v>46104</v>
      </c>
      <c r="B24" s="10">
        <v>1.1598000000000139</v>
      </c>
      <c r="C24" s="8"/>
      <c r="D24" s="10">
        <v>1.0859999999999976</v>
      </c>
      <c r="E24">
        <v>128.49999999999977</v>
      </c>
      <c r="G24" s="10">
        <v>1.1669999999997267</v>
      </c>
      <c r="H24">
        <v>109.79999999990882</v>
      </c>
      <c r="I24" s="10">
        <v>1.1194999999985551</v>
      </c>
      <c r="K24" s="10">
        <v>1.0500000000000116</v>
      </c>
      <c r="N24">
        <v>108.14999999998879</v>
      </c>
      <c r="Q24" s="10">
        <v>1.0794999999999879</v>
      </c>
      <c r="R24" s="10">
        <v>2.6299999999998374</v>
      </c>
      <c r="T24" s="10">
        <v>1.9350000000000611</v>
      </c>
      <c r="U24" s="10">
        <v>1.0695000000000225E-2</v>
      </c>
      <c r="V24" s="10">
        <v>1.0500000000000116</v>
      </c>
      <c r="W24" s="10">
        <v>3.4214999999995256E-2</v>
      </c>
      <c r="Z24" s="10">
        <v>2.4000000000000545</v>
      </c>
      <c r="AB24" s="10">
        <v>3.0550000000004873</v>
      </c>
    </row>
    <row r="25" spans="1:29" x14ac:dyDescent="0.3">
      <c r="A25" s="8">
        <v>46106</v>
      </c>
      <c r="B25" s="10">
        <v>1.1454899999999986</v>
      </c>
      <c r="C25" s="8"/>
      <c r="D25" s="10">
        <v>1.0759900000000158</v>
      </c>
      <c r="E25">
        <v>128.65000000000057</v>
      </c>
      <c r="G25" s="10">
        <v>1.1669999999997076</v>
      </c>
      <c r="H25">
        <v>110.09999999992448</v>
      </c>
      <c r="I25" s="10">
        <v>1.1089999999977271</v>
      </c>
      <c r="K25" s="10">
        <v>1.065000000000027</v>
      </c>
      <c r="N25">
        <v>106.19999999997103</v>
      </c>
      <c r="Q25" s="10">
        <v>1.0744999999999723</v>
      </c>
      <c r="R25" s="10">
        <v>2.6055000000000166</v>
      </c>
      <c r="T25" s="10">
        <v>1.9160000000000459</v>
      </c>
      <c r="U25" s="10">
        <v>1.0674999999999714E-2</v>
      </c>
      <c r="V25" s="10">
        <v>1.065000000000027</v>
      </c>
      <c r="W25" s="10">
        <v>3.4099999999984677E-2</v>
      </c>
      <c r="Z25" s="10">
        <v>2.3999999999998276</v>
      </c>
      <c r="AB25" s="10">
        <v>3.045999999999903</v>
      </c>
    </row>
    <row r="26" spans="1:29" x14ac:dyDescent="0.3">
      <c r="A26" s="8">
        <v>46107</v>
      </c>
      <c r="B26" s="10">
        <v>1.1570000000000069</v>
      </c>
      <c r="C26" s="8"/>
      <c r="D26" s="10">
        <v>1.0848999999999733</v>
      </c>
      <c r="E26">
        <v>130.10000000000147</v>
      </c>
      <c r="G26" s="10">
        <v>1.1799999999998176</v>
      </c>
      <c r="H26">
        <v>110.99999999994621</v>
      </c>
      <c r="I26" s="10">
        <v>1.1399999999995172</v>
      </c>
      <c r="K26" s="10">
        <v>1.1574999999987605</v>
      </c>
      <c r="N26">
        <v>106.64999999998584</v>
      </c>
      <c r="Q26" s="10">
        <v>1.0950000000000129</v>
      </c>
      <c r="R26" s="10">
        <v>2.6469999999999492</v>
      </c>
      <c r="T26" s="10">
        <v>1.9369999999999872</v>
      </c>
      <c r="U26" s="10">
        <v>1.0800000000000391E-2</v>
      </c>
      <c r="V26" s="10">
        <v>1.1574999999987605</v>
      </c>
      <c r="W26" s="10">
        <v>3.4399999999993505E-2</v>
      </c>
      <c r="Z26" s="10">
        <v>2.4350000000000067</v>
      </c>
      <c r="AB26" s="10">
        <v>3.0735000000000383</v>
      </c>
    </row>
    <row r="27" spans="1:29" x14ac:dyDescent="0.3">
      <c r="A27" s="8">
        <v>46108</v>
      </c>
      <c r="B27" s="10">
        <v>1.1599999999999973</v>
      </c>
      <c r="C27" s="8"/>
      <c r="D27" s="10">
        <v>1.0909699999999889</v>
      </c>
      <c r="E27">
        <v>130.60000000000019</v>
      </c>
      <c r="G27" s="10">
        <v>1.1819999999998494</v>
      </c>
      <c r="H27">
        <v>111.44999999995258</v>
      </c>
      <c r="I27" s="10">
        <v>1.1299999999990507</v>
      </c>
      <c r="K27" s="10">
        <v>1.1310000000000431</v>
      </c>
      <c r="N27">
        <v>107.59999999999323</v>
      </c>
      <c r="Q27" s="10">
        <v>1.1019999999999992</v>
      </c>
      <c r="R27" s="10">
        <v>2.6724999999999532</v>
      </c>
      <c r="T27" s="10">
        <v>1.9625000000000963</v>
      </c>
      <c r="U27" s="10">
        <v>1.1049999999944762E-2</v>
      </c>
      <c r="V27" s="10">
        <v>1.1310000000000431</v>
      </c>
      <c r="W27" s="10">
        <v>3.4849999999995836E-2</v>
      </c>
      <c r="Z27" s="10">
        <v>2.4619999999723334</v>
      </c>
      <c r="AB27" s="10">
        <v>3.0840000000000458</v>
      </c>
    </row>
    <row r="28" spans="1:29" x14ac:dyDescent="0.3">
      <c r="A28" s="8">
        <v>46111</v>
      </c>
      <c r="B28" s="10">
        <v>1.1571900000000255</v>
      </c>
      <c r="C28" s="8"/>
      <c r="D28" s="10">
        <v>1.0865100000000272</v>
      </c>
      <c r="E28">
        <v>129.79999999999887</v>
      </c>
      <c r="G28" s="10">
        <v>1.172999999999808</v>
      </c>
      <c r="H28">
        <v>110.34999999992765</v>
      </c>
      <c r="I28" s="10">
        <v>1.1289999999990359</v>
      </c>
      <c r="K28" s="10">
        <v>1.0800000000000565</v>
      </c>
      <c r="N28">
        <v>107.44999999998809</v>
      </c>
      <c r="Q28" s="10">
        <v>1.0964999999986789</v>
      </c>
      <c r="R28" s="10">
        <v>2.6579999999999631</v>
      </c>
      <c r="T28" s="10">
        <v>1.9639999999999496</v>
      </c>
      <c r="U28" s="10">
        <v>1.1099999999976306E-2</v>
      </c>
      <c r="V28" s="10">
        <v>1.0800000000000565</v>
      </c>
      <c r="W28" s="10">
        <v>3.4835000000001934E-2</v>
      </c>
      <c r="Z28" s="10">
        <v>2.456499999961451</v>
      </c>
      <c r="AB28" s="10">
        <v>3.0740000000003112</v>
      </c>
    </row>
    <row r="29" spans="1:29" x14ac:dyDescent="0.3">
      <c r="A29" s="8">
        <v>46112</v>
      </c>
      <c r="B29" s="10">
        <v>1.1600000000000099</v>
      </c>
      <c r="C29" s="8"/>
      <c r="D29" s="10">
        <v>1.0915000000000348</v>
      </c>
      <c r="E29">
        <v>130.300000000002</v>
      </c>
      <c r="G29" s="10">
        <v>1.1744999999998007</v>
      </c>
      <c r="H29">
        <v>110.29999999993643</v>
      </c>
      <c r="I29" s="10">
        <v>1.1339999999992059</v>
      </c>
      <c r="K29" s="10">
        <v>1.0690000000000301</v>
      </c>
      <c r="N29">
        <v>108.29999999999424</v>
      </c>
      <c r="Q29" s="10">
        <v>1.1023500000000188</v>
      </c>
      <c r="R29" s="10">
        <v>2.6724999999999648</v>
      </c>
      <c r="T29" s="10">
        <v>1.98550000000008</v>
      </c>
      <c r="U29" s="10">
        <v>1.0950000000000111E-2</v>
      </c>
      <c r="V29" s="10">
        <v>1.0690000000000301</v>
      </c>
      <c r="W29" s="10">
        <v>3.5300000000003467E-2</v>
      </c>
      <c r="X29" s="10">
        <v>0.93999999999804729</v>
      </c>
      <c r="Z29" s="10">
        <v>2.4799999999805795</v>
      </c>
      <c r="AB29" s="10">
        <v>3.1170000000002904</v>
      </c>
      <c r="AC29" s="10">
        <v>0.83750000000008029</v>
      </c>
    </row>
    <row r="30" spans="1:29" x14ac:dyDescent="0.3">
      <c r="A30" s="8">
        <v>46113</v>
      </c>
      <c r="B30" s="10">
        <v>1.1688499999999729</v>
      </c>
      <c r="C30" s="8"/>
      <c r="D30" s="10">
        <v>1.0966900000000166</v>
      </c>
      <c r="E30">
        <v>131.04999999999836</v>
      </c>
      <c r="G30" s="10">
        <v>1.178499999999858</v>
      </c>
      <c r="H30">
        <v>110.7999999999457</v>
      </c>
      <c r="I30" s="10">
        <v>1.1294999999990731</v>
      </c>
      <c r="K30" s="10">
        <v>1.0999999999998211</v>
      </c>
      <c r="N30">
        <v>109.10000000000069</v>
      </c>
      <c r="Q30" s="10">
        <v>1.1049999999999873</v>
      </c>
      <c r="R30" s="10">
        <v>2.6894999999999567</v>
      </c>
      <c r="T30" s="10">
        <v>1.9959999999910565</v>
      </c>
      <c r="U30" s="10">
        <v>1.0980000000000233E-2</v>
      </c>
      <c r="V30" s="10">
        <v>1.0999999999998211</v>
      </c>
      <c r="W30" s="10">
        <v>3.5690000000000416E-2</v>
      </c>
      <c r="X30" s="10">
        <v>0.9459999999990627</v>
      </c>
      <c r="Z30" s="10">
        <v>2.4899999999860101</v>
      </c>
      <c r="AB30" s="10">
        <v>3.1334999999998199</v>
      </c>
      <c r="AC30" s="10">
        <v>0.84849999999998216</v>
      </c>
    </row>
    <row r="31" spans="1:29" x14ac:dyDescent="0.3">
      <c r="A31" s="8">
        <v>46118</v>
      </c>
      <c r="B31" s="10">
        <v>1.1689800000000024</v>
      </c>
      <c r="C31" s="8"/>
      <c r="D31" s="10">
        <v>1.0989999999999649</v>
      </c>
      <c r="E31">
        <v>130.90000000000182</v>
      </c>
      <c r="G31" s="10">
        <v>1.177499999999831</v>
      </c>
      <c r="H31">
        <v>110.89999999994644</v>
      </c>
      <c r="I31" s="10">
        <v>1.1374999999993509</v>
      </c>
      <c r="K31" s="10">
        <v>1.1150000000000633</v>
      </c>
      <c r="N31">
        <v>109.74999999999665</v>
      </c>
      <c r="Q31" s="10">
        <v>1.1079999999999852</v>
      </c>
      <c r="R31" s="10">
        <v>2.6995000000000262</v>
      </c>
      <c r="T31" s="10">
        <v>1.9989999999992549</v>
      </c>
      <c r="U31" s="10">
        <v>1.1055000000000108E-2</v>
      </c>
      <c r="V31" s="10">
        <v>1.1150000000000633</v>
      </c>
      <c r="W31" s="10">
        <v>3.6124999999959634E-2</v>
      </c>
      <c r="X31" s="10">
        <v>0.94799999999911411</v>
      </c>
      <c r="Z31" s="10">
        <v>2.4999999999905</v>
      </c>
      <c r="AB31" s="10">
        <v>3.1615000000001516</v>
      </c>
      <c r="AC31" s="10">
        <v>0.85400000000000176</v>
      </c>
    </row>
    <row r="32" spans="1:29" x14ac:dyDescent="0.3">
      <c r="A32" s="8">
        <v>46119</v>
      </c>
      <c r="B32" s="10">
        <v>1.1637799999999938</v>
      </c>
      <c r="C32" s="8"/>
      <c r="D32" s="10">
        <v>1.094800000000018</v>
      </c>
      <c r="E32">
        <v>130.79999999999762</v>
      </c>
      <c r="G32" s="10">
        <v>1.1774999999997859</v>
      </c>
      <c r="H32">
        <v>110.79999999994259</v>
      </c>
      <c r="I32" s="10">
        <v>1.1409999999994735</v>
      </c>
      <c r="K32" s="10">
        <v>1.09000000000007</v>
      </c>
      <c r="N32">
        <v>110.25000000000263</v>
      </c>
      <c r="Q32" s="10">
        <v>1.1080000000000125</v>
      </c>
      <c r="R32" s="10">
        <v>2.6934999999999856</v>
      </c>
      <c r="T32" s="10">
        <v>2.0049999999884243</v>
      </c>
      <c r="U32" s="10">
        <v>1.126000000000011E-2</v>
      </c>
      <c r="V32" s="10">
        <v>1.09000000000007</v>
      </c>
      <c r="W32" s="10">
        <v>3.5800000000000887E-2</v>
      </c>
      <c r="X32" s="10">
        <v>0.94649999999883083</v>
      </c>
      <c r="Z32" s="10">
        <v>2.5009999999896415</v>
      </c>
      <c r="AB32" s="10">
        <v>3.1595000000000515</v>
      </c>
      <c r="AC32" s="10">
        <v>0.85449999999997095</v>
      </c>
    </row>
    <row r="33" spans="1:31" x14ac:dyDescent="0.3">
      <c r="A33" s="8">
        <v>46120</v>
      </c>
      <c r="B33" s="10">
        <v>1.1680000000000204</v>
      </c>
      <c r="C33" s="8"/>
      <c r="D33" s="10">
        <v>1.0964900000000091</v>
      </c>
      <c r="E33">
        <v>131.30000000000334</v>
      </c>
      <c r="G33" s="10">
        <v>1.1819999999999284</v>
      </c>
      <c r="H33">
        <v>110.89999999995108</v>
      </c>
      <c r="I33" s="10">
        <v>1.1319999999991799</v>
      </c>
      <c r="K33" s="10">
        <v>1.0999999999960908</v>
      </c>
      <c r="N33">
        <v>109.79999999999788</v>
      </c>
      <c r="Q33" s="10">
        <v>1.1107600000000233</v>
      </c>
      <c r="R33" s="10">
        <v>2.6964999999999621</v>
      </c>
      <c r="T33" s="10">
        <v>2.0109999999886856</v>
      </c>
      <c r="U33" s="10">
        <v>1.1300000000000011E-2</v>
      </c>
      <c r="V33" s="10">
        <v>1.0999999999960908</v>
      </c>
      <c r="W33" s="10">
        <v>3.560000000000102E-2</v>
      </c>
      <c r="X33" s="10">
        <v>0.94799999999886064</v>
      </c>
      <c r="Z33" s="10">
        <v>2.4999999999878546</v>
      </c>
      <c r="AB33" s="10">
        <v>3.1690000000001244</v>
      </c>
      <c r="AC33" s="10">
        <v>0.85450000000000415</v>
      </c>
    </row>
    <row r="34" spans="1:31" x14ac:dyDescent="0.3">
      <c r="A34" s="8">
        <v>46121</v>
      </c>
      <c r="B34" s="10">
        <v>1.1799000000000182</v>
      </c>
      <c r="C34" s="8"/>
      <c r="D34" s="10">
        <v>1.0979999999999808</v>
      </c>
      <c r="E34">
        <v>131.5000000000027</v>
      </c>
      <c r="G34" s="10">
        <v>1.1869999999998699</v>
      </c>
      <c r="H34">
        <v>111.59999999995959</v>
      </c>
      <c r="I34" s="10">
        <v>1.1384999999992957</v>
      </c>
      <c r="K34" s="10">
        <v>1.1099999999904933</v>
      </c>
      <c r="N34">
        <v>109.44999999999936</v>
      </c>
      <c r="Q34" s="10">
        <v>1.1159999999999803</v>
      </c>
      <c r="R34" s="10">
        <v>2.7149999999999976</v>
      </c>
      <c r="T34" s="10">
        <v>2.0219999999956291</v>
      </c>
      <c r="U34" s="10">
        <v>1.1199999999956616E-2</v>
      </c>
      <c r="V34" s="10">
        <v>1.1099999999904933</v>
      </c>
      <c r="W34" s="10">
        <v>3.5404999999998604E-2</v>
      </c>
      <c r="X34" s="10">
        <v>0.95249999999902457</v>
      </c>
      <c r="Z34" s="10">
        <v>2.5034999999827994</v>
      </c>
      <c r="AB34" s="10">
        <v>3.1745000000000436</v>
      </c>
      <c r="AC34" s="10">
        <v>0.85899999999997889</v>
      </c>
    </row>
    <row r="35" spans="1:31" x14ac:dyDescent="0.3">
      <c r="A35" s="8">
        <v>46122</v>
      </c>
      <c r="B35" s="10">
        <v>1.1754899999999884</v>
      </c>
      <c r="C35" s="8"/>
      <c r="D35" s="10">
        <v>1.1035999999999915</v>
      </c>
      <c r="E35">
        <v>131.79999999999504</v>
      </c>
      <c r="G35" s="10">
        <v>1.1914999999999114</v>
      </c>
      <c r="H35">
        <v>112.39999999997204</v>
      </c>
      <c r="I35" s="10">
        <v>1.137999999999294</v>
      </c>
      <c r="K35" s="10">
        <v>1.1749999999987069</v>
      </c>
      <c r="N35">
        <v>109.49999999999973</v>
      </c>
      <c r="Q35" s="10">
        <v>1.1175000000000006</v>
      </c>
      <c r="R35" s="10">
        <v>2.7175000000000962</v>
      </c>
      <c r="T35" s="10">
        <v>2.0309999999998776</v>
      </c>
      <c r="U35" s="10">
        <v>1.1280000000000576E-2</v>
      </c>
      <c r="V35" s="10">
        <v>1.1749999999987069</v>
      </c>
      <c r="W35" s="10">
        <v>3.5589999999997131E-2</v>
      </c>
      <c r="X35" s="10">
        <v>0.95299999999886775</v>
      </c>
      <c r="Z35" s="10">
        <v>2.5074999999838865</v>
      </c>
      <c r="AB35" s="10">
        <v>3.1799999999999353</v>
      </c>
      <c r="AC35" s="10">
        <v>0.861500000000055</v>
      </c>
    </row>
    <row r="36" spans="1:31" x14ac:dyDescent="0.3">
      <c r="A36" s="8">
        <v>46125</v>
      </c>
      <c r="B36" s="10">
        <v>1.1755000000000104</v>
      </c>
      <c r="C36" s="8"/>
      <c r="D36" s="10">
        <v>1.104999999999996</v>
      </c>
      <c r="E36">
        <v>132.19999999999791</v>
      </c>
      <c r="G36" s="10">
        <v>1.1964999999999282</v>
      </c>
      <c r="H36">
        <v>112.94999999998629</v>
      </c>
      <c r="I36" s="10">
        <v>1.1384999999994561</v>
      </c>
      <c r="K36" s="10">
        <v>1.0959999999999455</v>
      </c>
      <c r="N36">
        <v>109.54999999999784</v>
      </c>
      <c r="Q36" s="10">
        <v>1.1199999999999819</v>
      </c>
      <c r="R36" s="10">
        <v>2.7204999999999591</v>
      </c>
      <c r="T36" s="10">
        <v>2.021000000000023</v>
      </c>
      <c r="U36" s="10">
        <v>1.128000000000029E-2</v>
      </c>
      <c r="V36" s="10">
        <v>1.0959999999999455</v>
      </c>
      <c r="W36" s="10">
        <v>3.5579999999997454E-2</v>
      </c>
      <c r="X36" s="10">
        <v>0.9524999999986552</v>
      </c>
      <c r="Z36" s="10">
        <v>2.509999999984065</v>
      </c>
      <c r="AB36" s="10">
        <v>3.1780000000001207</v>
      </c>
      <c r="AC36" s="10">
        <v>0.86449999999994842</v>
      </c>
    </row>
    <row r="37" spans="1:31" x14ac:dyDescent="0.3">
      <c r="A37" s="8">
        <v>46126</v>
      </c>
      <c r="B37" s="10">
        <v>1.1775000000000213</v>
      </c>
      <c r="C37" s="8"/>
      <c r="D37" s="10">
        <v>1.1105000000000222</v>
      </c>
      <c r="E37">
        <v>132.7500000000073</v>
      </c>
      <c r="G37" s="10">
        <v>1.2059999999999242</v>
      </c>
      <c r="H37">
        <v>113.29999999998589</v>
      </c>
      <c r="I37" s="10">
        <v>1.1429999999995082</v>
      </c>
      <c r="K37" s="10">
        <v>1.0949999999999471</v>
      </c>
      <c r="N37">
        <v>109.30000000000398</v>
      </c>
      <c r="Q37" s="10">
        <v>1.1265000000000049</v>
      </c>
      <c r="R37" s="10">
        <v>2.7389999999999075</v>
      </c>
      <c r="T37" s="10">
        <v>2.0334999999999188</v>
      </c>
      <c r="U37" s="10">
        <v>1.1099999999999815E-2</v>
      </c>
      <c r="V37" s="10">
        <v>1.0949999999999471</v>
      </c>
      <c r="W37" s="10">
        <v>3.5725000000001533E-2</v>
      </c>
      <c r="X37" s="10">
        <v>0.96249999999949398</v>
      </c>
      <c r="Z37" s="10">
        <v>2.5224999999876019</v>
      </c>
      <c r="AB37" s="10">
        <v>3.1844999999997894</v>
      </c>
      <c r="AC37" s="10">
        <v>0.86499999999995525</v>
      </c>
    </row>
    <row r="38" spans="1:31" x14ac:dyDescent="0.3">
      <c r="A38" s="8">
        <v>46127</v>
      </c>
      <c r="B38" s="10">
        <v>1.1855100000000005</v>
      </c>
      <c r="C38" s="8"/>
      <c r="D38" s="10">
        <v>1.1136000000000235</v>
      </c>
      <c r="E38">
        <v>133.99999999999946</v>
      </c>
      <c r="G38" s="10">
        <v>1.2144999999999788</v>
      </c>
      <c r="H38">
        <v>114.59999999998804</v>
      </c>
      <c r="I38" s="10">
        <v>1.1609999999997871</v>
      </c>
      <c r="K38" s="10">
        <v>1.120000000000039</v>
      </c>
      <c r="N38">
        <v>109.00000000000314</v>
      </c>
      <c r="Q38" s="10">
        <v>1.1313000000000115</v>
      </c>
      <c r="R38" s="10">
        <v>2.751500000000028</v>
      </c>
      <c r="T38" s="10">
        <v>2.0549999999999136</v>
      </c>
      <c r="U38" s="10">
        <v>1.1399999999999366E-2</v>
      </c>
      <c r="V38" s="10">
        <v>1.120000000000039</v>
      </c>
      <c r="W38" s="10">
        <v>3.6049999999999922E-2</v>
      </c>
      <c r="X38" s="10">
        <v>0.97349999999995063</v>
      </c>
      <c r="Z38" s="10">
        <v>2.529999999990054</v>
      </c>
      <c r="AB38" s="10">
        <v>3.1899999999996358</v>
      </c>
      <c r="AC38" s="10">
        <v>0.86499999999990107</v>
      </c>
    </row>
    <row r="39" spans="1:31" x14ac:dyDescent="0.3">
      <c r="A39" s="8">
        <v>46128</v>
      </c>
      <c r="B39" s="10">
        <v>1.1906999999999943</v>
      </c>
      <c r="C39" s="8"/>
      <c r="D39" s="10">
        <v>1.1198999999999806</v>
      </c>
      <c r="E39">
        <v>134.04999999999671</v>
      </c>
      <c r="G39" s="10">
        <v>1.2180000000000542</v>
      </c>
      <c r="H39">
        <v>114.74999999999494</v>
      </c>
      <c r="I39" s="10">
        <v>1.1649999999997898</v>
      </c>
      <c r="K39" s="10">
        <v>1.1020000000000651</v>
      </c>
      <c r="N39">
        <v>109.24999999999714</v>
      </c>
      <c r="Q39" s="10">
        <v>1.1339999999999877</v>
      </c>
      <c r="R39" s="10">
        <v>2.75449999999995</v>
      </c>
      <c r="T39" s="10">
        <v>2.0574999999999131</v>
      </c>
      <c r="U39" s="10">
        <v>1.1199999999999937E-2</v>
      </c>
      <c r="V39" s="10">
        <v>1.1020000000000651</v>
      </c>
      <c r="W39" s="10">
        <v>3.6260000000001485E-2</v>
      </c>
      <c r="X39" s="10">
        <v>0.98249999999996296</v>
      </c>
      <c r="Z39" s="10">
        <v>2.544999999994594</v>
      </c>
      <c r="AB39" s="10">
        <v>3.2039999999999527</v>
      </c>
      <c r="AC39" s="10">
        <v>0.86200000000004284</v>
      </c>
      <c r="AE39" s="10">
        <v>0.824999999999948</v>
      </c>
    </row>
    <row r="40" spans="1:31" x14ac:dyDescent="0.3">
      <c r="A40" s="8">
        <v>46129</v>
      </c>
      <c r="B40" s="10">
        <v>1.1985000000000086</v>
      </c>
      <c r="C40" s="8"/>
      <c r="D40" s="10">
        <v>1.1299999999999839</v>
      </c>
      <c r="E40">
        <v>135.29999999999822</v>
      </c>
      <c r="G40" s="10">
        <v>1.226499999999993</v>
      </c>
      <c r="H40">
        <v>115.74999999999098</v>
      </c>
      <c r="I40" s="10">
        <v>1.1819999999999331</v>
      </c>
      <c r="K40" s="10">
        <v>1.1169999999962306</v>
      </c>
      <c r="N40">
        <v>110.19999999999675</v>
      </c>
      <c r="Q40" s="10">
        <v>1.1479999999999899</v>
      </c>
      <c r="R40" s="10">
        <v>2.7749999999999786</v>
      </c>
      <c r="T40" s="10">
        <v>2.0800000000000436</v>
      </c>
      <c r="U40" s="10">
        <v>1.1299999999948867E-2</v>
      </c>
      <c r="V40" s="10">
        <v>1.1169999999962306</v>
      </c>
      <c r="W40" s="10">
        <v>3.6799999999879859E-2</v>
      </c>
      <c r="X40" s="10">
        <v>0.99599999999993893</v>
      </c>
      <c r="Z40" s="10">
        <v>2.5799999999981544</v>
      </c>
      <c r="AB40" s="10">
        <v>3.2264999999998936</v>
      </c>
      <c r="AC40" s="10">
        <v>0.87009999999992771</v>
      </c>
      <c r="AE40" s="10">
        <v>0.83499999999982777</v>
      </c>
    </row>
    <row r="41" spans="1:31" x14ac:dyDescent="0.3">
      <c r="A41" s="8">
        <v>46132</v>
      </c>
      <c r="B41" s="10">
        <v>1.1986100000000024</v>
      </c>
      <c r="C41" s="8"/>
      <c r="D41" s="10">
        <v>1.1294000000000219</v>
      </c>
      <c r="E41">
        <v>136.04999999999694</v>
      </c>
      <c r="G41" s="10">
        <v>1.2284999999999924</v>
      </c>
      <c r="H41">
        <v>115.84999999999677</v>
      </c>
      <c r="I41" s="10">
        <v>1.1780000000000383</v>
      </c>
      <c r="K41" s="10">
        <v>1.116999999999146</v>
      </c>
      <c r="N41">
        <v>110.40000000000272</v>
      </c>
      <c r="Q41" s="10">
        <v>1.1478999999999802</v>
      </c>
      <c r="R41" s="10">
        <v>2.7839999999999723</v>
      </c>
      <c r="T41" s="10">
        <v>2.0835000000000292</v>
      </c>
      <c r="U41" s="10">
        <v>1.1349999999997947E-2</v>
      </c>
      <c r="V41" s="10">
        <v>1.116999999999146</v>
      </c>
      <c r="W41" s="10">
        <v>3.670000000000119E-2</v>
      </c>
      <c r="X41" s="10">
        <v>0.99300000000002842</v>
      </c>
      <c r="Z41" s="10">
        <v>2.578999999997964</v>
      </c>
      <c r="AB41" s="10">
        <v>3.2299999999999986</v>
      </c>
      <c r="AC41" s="10">
        <v>0.87000000000002131</v>
      </c>
      <c r="AE41" s="10">
        <v>0.82999999999997043</v>
      </c>
    </row>
    <row r="42" spans="1:31" x14ac:dyDescent="0.3">
      <c r="A42" s="8">
        <v>46133</v>
      </c>
      <c r="B42" s="10">
        <v>1.2002499999999972</v>
      </c>
      <c r="C42" s="8"/>
      <c r="D42" s="10">
        <v>1.125499999999974</v>
      </c>
      <c r="E42">
        <v>135.69999999999905</v>
      </c>
      <c r="G42" s="10">
        <v>1.2284999999999893</v>
      </c>
      <c r="H42">
        <v>116.09999999999697</v>
      </c>
      <c r="I42" s="10">
        <v>1.1794999999999423</v>
      </c>
      <c r="K42" s="10">
        <v>1.1159999999922972</v>
      </c>
      <c r="N42">
        <v>110.50000000000686</v>
      </c>
      <c r="Q42" s="10">
        <v>1.1485000000000216</v>
      </c>
      <c r="R42" s="10">
        <v>2.7870000000000026</v>
      </c>
      <c r="T42" s="10">
        <v>2.0839999999999907</v>
      </c>
      <c r="U42" s="10">
        <v>1.1374999999934998E-2</v>
      </c>
      <c r="V42" s="10">
        <v>1.1159999999922972</v>
      </c>
      <c r="W42" s="10">
        <v>3.6600000000000577E-2</v>
      </c>
      <c r="X42" s="10">
        <v>0.99509999999999976</v>
      </c>
      <c r="Z42" s="10">
        <v>2.5839999999984173</v>
      </c>
      <c r="AB42" s="10">
        <v>3.2274999999997425</v>
      </c>
      <c r="AC42" s="10">
        <v>0.86649999999993954</v>
      </c>
      <c r="AE42" s="10">
        <v>0.82949999999992297</v>
      </c>
    </row>
    <row r="43" spans="1:31" x14ac:dyDescent="0.3">
      <c r="A43" s="8">
        <v>46134</v>
      </c>
      <c r="B43" s="10">
        <v>1.2017500000000139</v>
      </c>
      <c r="C43" s="8"/>
      <c r="D43" s="10">
        <v>1.128399999999997</v>
      </c>
      <c r="E43">
        <v>135.99999999999736</v>
      </c>
      <c r="G43" s="10">
        <v>1.2300000000000901</v>
      </c>
      <c r="H43">
        <v>115.94999999999833</v>
      </c>
      <c r="I43" s="10">
        <v>1.1824999999998469</v>
      </c>
      <c r="K43" s="10">
        <v>1.110000000000021</v>
      </c>
      <c r="N43">
        <v>110.79999999999932</v>
      </c>
      <c r="Q43" s="10">
        <v>1.1477499999999956</v>
      </c>
      <c r="R43" s="10">
        <v>2.7880000000000633</v>
      </c>
      <c r="T43" s="10">
        <v>2.0845000000000731</v>
      </c>
      <c r="U43" s="10">
        <v>1.1299999999934777E-2</v>
      </c>
      <c r="V43" s="10">
        <v>1.110000000000021</v>
      </c>
      <c r="W43" s="10">
        <v>3.6674999999999597E-2</v>
      </c>
      <c r="X43" s="10">
        <v>0.99299999999996669</v>
      </c>
      <c r="Z43" s="10">
        <v>2.5809999999975846</v>
      </c>
      <c r="AB43" s="10">
        <v>3.2340000000004294</v>
      </c>
      <c r="AC43" s="10">
        <v>0.86709999999994058</v>
      </c>
      <c r="AE43" s="10">
        <v>0.82999999999992868</v>
      </c>
    </row>
    <row r="44" spans="1:31" x14ac:dyDescent="0.3">
      <c r="A44" s="8">
        <v>46135</v>
      </c>
      <c r="B44" s="10">
        <v>1.1964999999999995</v>
      </c>
      <c r="C44" s="8"/>
      <c r="D44" s="10">
        <v>1.1240000000000174</v>
      </c>
      <c r="E44">
        <v>135.29999999999785</v>
      </c>
      <c r="G44" s="10">
        <v>1.2254999999999314</v>
      </c>
      <c r="H44">
        <v>115.64999999999405</v>
      </c>
      <c r="I44" s="10">
        <v>1.1749999999999348</v>
      </c>
      <c r="K44" s="10">
        <v>1.1109999999999829</v>
      </c>
      <c r="N44">
        <v>110.69999999999899</v>
      </c>
      <c r="Q44" s="10">
        <v>1.137999999999977</v>
      </c>
      <c r="R44" s="10">
        <v>2.7744999999999975</v>
      </c>
      <c r="T44" s="10">
        <v>2.0805000000000735</v>
      </c>
      <c r="U44" s="10">
        <v>1.1299999999999444E-2</v>
      </c>
      <c r="V44" s="10">
        <v>1.1109999999999829</v>
      </c>
      <c r="W44" s="10">
        <v>3.643499999999833E-2</v>
      </c>
      <c r="X44" s="10">
        <v>0.987499999999913</v>
      </c>
      <c r="Z44" s="10">
        <v>2.5649999999942583</v>
      </c>
      <c r="AB44" s="10">
        <v>3.2225000000004043</v>
      </c>
      <c r="AC44" s="10">
        <v>0.86199999999994592</v>
      </c>
      <c r="AE44" s="10">
        <v>0.82499999999988116</v>
      </c>
    </row>
    <row r="45" spans="1:31" x14ac:dyDescent="0.3">
      <c r="A45" s="8">
        <v>46136</v>
      </c>
      <c r="B45" s="10">
        <v>1.2009900000000258</v>
      </c>
      <c r="C45" s="8"/>
      <c r="D45" s="10">
        <v>1.1254999999999793</v>
      </c>
      <c r="E45">
        <v>135.25000000000549</v>
      </c>
      <c r="G45" s="10">
        <v>1.2264999999999966</v>
      </c>
      <c r="H45">
        <v>115.49999999999206</v>
      </c>
      <c r="I45" s="10">
        <v>1.1654999999998201</v>
      </c>
      <c r="K45" s="10">
        <v>1.1125000000000396</v>
      </c>
      <c r="N45">
        <v>110.29999999999556</v>
      </c>
      <c r="Q45" s="10">
        <v>1.1409999999999791</v>
      </c>
      <c r="R45" s="10">
        <v>2.7750000000000181</v>
      </c>
      <c r="T45" s="10">
        <v>2.077500000000073</v>
      </c>
      <c r="U45" s="10">
        <v>1.1289999999999941E-2</v>
      </c>
      <c r="V45" s="10">
        <v>1.1125000000000396</v>
      </c>
      <c r="W45" s="10">
        <v>3.6394999999999594E-2</v>
      </c>
      <c r="X45" s="10">
        <v>0.98509999999996778</v>
      </c>
      <c r="Z45" s="10">
        <v>2.5674999999927683</v>
      </c>
      <c r="AB45" s="10">
        <v>3.218999999999768</v>
      </c>
      <c r="AC45" s="10">
        <v>0.86099999999988341</v>
      </c>
      <c r="AE45" s="10">
        <v>0.82400000000005946</v>
      </c>
    </row>
    <row r="46" spans="1:31" x14ac:dyDescent="0.3">
      <c r="A46" s="8">
        <v>46139</v>
      </c>
      <c r="B46" s="10">
        <v>1.198000000000029</v>
      </c>
      <c r="C46" s="8"/>
      <c r="D46" s="10">
        <v>1.1253900000000177</v>
      </c>
      <c r="E46">
        <v>134.50000000000492</v>
      </c>
      <c r="G46" s="10">
        <v>1.2215000000000216</v>
      </c>
      <c r="H46">
        <v>115.2499999999949</v>
      </c>
      <c r="I46" s="10">
        <v>1.1649999999999527</v>
      </c>
      <c r="K46" s="10">
        <v>1.109500000000043</v>
      </c>
      <c r="N46">
        <v>110.4999999999927</v>
      </c>
      <c r="Q46" s="10">
        <v>1.1399599999999728</v>
      </c>
      <c r="R46" s="10">
        <v>2.7714999999999388</v>
      </c>
      <c r="T46" s="10">
        <v>2.0650000000000737</v>
      </c>
      <c r="U46" s="10">
        <v>1.1300000000000365E-2</v>
      </c>
      <c r="V46" s="10">
        <v>1.109500000000043</v>
      </c>
      <c r="W46" s="10">
        <v>3.6289999999999233E-2</v>
      </c>
      <c r="X46" s="10">
        <v>0.97849999999968162</v>
      </c>
      <c r="Z46" s="10">
        <v>2.5399999999729506</v>
      </c>
      <c r="AB46" s="10">
        <v>3.1730000000001457</v>
      </c>
      <c r="AC46" s="10">
        <v>0.85500000000003373</v>
      </c>
      <c r="AE46" s="10">
        <v>0.82299999999987561</v>
      </c>
    </row>
    <row r="47" spans="1:31" x14ac:dyDescent="0.3">
      <c r="A47" s="8">
        <v>46140</v>
      </c>
      <c r="B47" s="10">
        <v>1.199250000000011</v>
      </c>
      <c r="C47" s="8"/>
      <c r="D47" s="10">
        <v>1.1280000000000185</v>
      </c>
      <c r="E47">
        <v>135.00000000000173</v>
      </c>
      <c r="G47" s="10">
        <v>1.2250000000000234</v>
      </c>
      <c r="H47">
        <v>115.44999999999435</v>
      </c>
      <c r="I47" s="10">
        <v>1.1899999999998958</v>
      </c>
      <c r="K47" s="10">
        <v>1.1129999999999858</v>
      </c>
      <c r="N47">
        <v>110.29999999999545</v>
      </c>
      <c r="Q47" s="10">
        <v>1.1374999999999995</v>
      </c>
      <c r="R47" s="10">
        <v>2.7569999999999752</v>
      </c>
      <c r="T47" s="10">
        <v>2.0619999999967105</v>
      </c>
      <c r="U47" s="10">
        <v>1.1320000000000489E-2</v>
      </c>
      <c r="V47" s="10">
        <v>1.1129999999999858</v>
      </c>
      <c r="W47" s="10">
        <v>3.6325000000001537E-2</v>
      </c>
      <c r="X47" s="10">
        <v>0.9700999999987614</v>
      </c>
      <c r="Z47" s="10">
        <v>2.5284999999999469</v>
      </c>
      <c r="AB47" s="10">
        <v>3.1790000000000425</v>
      </c>
      <c r="AC47" s="10">
        <v>0.85300000000009324</v>
      </c>
      <c r="AE47" s="10">
        <v>0.81889999999997409</v>
      </c>
    </row>
    <row r="48" spans="1:31" x14ac:dyDescent="0.3">
      <c r="A48" s="8">
        <v>46141</v>
      </c>
      <c r="B48" s="10">
        <v>1.1950999999999907</v>
      </c>
      <c r="C48" s="8"/>
      <c r="D48" s="10">
        <v>1.1274999999999979</v>
      </c>
      <c r="E48">
        <v>134.39000000000016</v>
      </c>
      <c r="G48" s="10">
        <v>1.2154999999999605</v>
      </c>
      <c r="H48">
        <v>115.34999999999246</v>
      </c>
      <c r="I48" s="10">
        <v>1.1704999999999357</v>
      </c>
      <c r="K48" s="10">
        <v>1.1289999999945186</v>
      </c>
      <c r="N48">
        <v>110.4000000000002</v>
      </c>
      <c r="Q48" s="10">
        <v>1.1289999999999949</v>
      </c>
      <c r="R48" s="10">
        <v>2.7449999999999215</v>
      </c>
      <c r="T48" s="10">
        <v>2.0369999999999728</v>
      </c>
      <c r="U48" s="10">
        <v>1.1289999999999845E-2</v>
      </c>
      <c r="V48" s="10">
        <v>1.1289999999945186</v>
      </c>
      <c r="W48" s="10">
        <v>3.5849999999999931E-2</v>
      </c>
      <c r="X48" s="10">
        <v>0.95499999999111196</v>
      </c>
      <c r="Z48" s="10">
        <v>2.4995000000002907</v>
      </c>
      <c r="AB48" s="10">
        <v>3.1634999999996221</v>
      </c>
      <c r="AC48" s="10">
        <v>0.8411999999998625</v>
      </c>
      <c r="AE48" s="10">
        <v>0.81449999999992129</v>
      </c>
    </row>
    <row r="49" spans="1:31" x14ac:dyDescent="0.3">
      <c r="A49" s="8">
        <v>46142</v>
      </c>
      <c r="B49" s="10">
        <v>1.2009900000000209</v>
      </c>
      <c r="C49" s="8"/>
      <c r="D49" s="10">
        <v>1.133000000000002</v>
      </c>
      <c r="E49">
        <v>134.99999999999784</v>
      </c>
      <c r="G49" s="10">
        <v>1.2245000000000259</v>
      </c>
      <c r="H49">
        <v>116.39999999999311</v>
      </c>
      <c r="I49" s="10">
        <v>1.195000000000052</v>
      </c>
      <c r="K49" s="10">
        <v>1.1249999999999212</v>
      </c>
      <c r="N49">
        <v>110.99999999999972</v>
      </c>
      <c r="Q49" s="10">
        <v>1.1309999999999985</v>
      </c>
      <c r="R49" s="10">
        <v>2.7504999999999562</v>
      </c>
      <c r="T49" s="10">
        <v>2.0519999999999019</v>
      </c>
      <c r="U49" s="10">
        <v>1.1345000000000405E-2</v>
      </c>
      <c r="V49" s="10">
        <v>1.1249999999999212</v>
      </c>
      <c r="W49" s="10">
        <v>3.590999999999675E-2</v>
      </c>
      <c r="X49" s="10">
        <v>0.97249999999890802</v>
      </c>
      <c r="Z49" s="10">
        <v>2.5125000000000859</v>
      </c>
      <c r="AB49" s="10">
        <v>3.1654999999998017</v>
      </c>
      <c r="AC49" s="10">
        <v>0.85220000000012108</v>
      </c>
      <c r="AE49" s="10">
        <v>0.81980000000007114</v>
      </c>
    </row>
    <row r="50" spans="1:31" x14ac:dyDescent="0.3">
      <c r="A50" s="8">
        <v>46146</v>
      </c>
      <c r="B50" s="10">
        <v>1.2008799999999946</v>
      </c>
      <c r="C50" s="8"/>
      <c r="D50" s="10">
        <v>1.1294999999999791</v>
      </c>
      <c r="E50">
        <v>135.28999999999888</v>
      </c>
      <c r="G50" s="10">
        <v>1.2262000000000133</v>
      </c>
      <c r="H50">
        <v>115.94999999999341</v>
      </c>
      <c r="I50" s="10">
        <v>1.1890000000000018</v>
      </c>
      <c r="K50" s="10">
        <v>1.1250000000000029</v>
      </c>
      <c r="N50">
        <v>110.44999999999776</v>
      </c>
      <c r="Q50" s="10">
        <v>1.1348999999999807</v>
      </c>
      <c r="R50" s="10">
        <v>2.7569999999999193</v>
      </c>
      <c r="T50" s="10">
        <v>2.0649999999902811</v>
      </c>
      <c r="U50" s="10">
        <v>1.1350000000000476E-2</v>
      </c>
      <c r="V50" s="10">
        <v>1.1250000000000029</v>
      </c>
      <c r="W50" s="10">
        <v>3.6185000000002E-2</v>
      </c>
      <c r="X50" s="10">
        <v>0.97899999999931619</v>
      </c>
      <c r="Z50" s="10">
        <v>2.524499999999966</v>
      </c>
      <c r="AB50" s="10">
        <v>3.1755000000000222</v>
      </c>
      <c r="AC50" s="10">
        <v>0.8544999999999735</v>
      </c>
      <c r="AE50" s="10">
        <v>0.82139999999994029</v>
      </c>
    </row>
    <row r="51" spans="1:31" x14ac:dyDescent="0.3">
      <c r="A51" s="8">
        <v>46147</v>
      </c>
      <c r="B51" s="10">
        <v>1.1989600000000151</v>
      </c>
      <c r="C51" s="8"/>
      <c r="D51" s="10">
        <v>1.1270100000000043</v>
      </c>
      <c r="E51">
        <v>135.14000000000161</v>
      </c>
      <c r="G51" s="10">
        <v>1.2269999999999843</v>
      </c>
      <c r="H51">
        <v>115.40999999998883</v>
      </c>
      <c r="I51" s="10">
        <v>1.1834999999999101</v>
      </c>
      <c r="K51" s="10">
        <v>1.1104999999999505</v>
      </c>
      <c r="N51">
        <v>110.7999999999989</v>
      </c>
      <c r="Q51" s="10">
        <v>1.1387999999999905</v>
      </c>
      <c r="R51" s="10">
        <v>2.76600000000002</v>
      </c>
      <c r="T51" s="10">
        <v>2.0749999999921549</v>
      </c>
      <c r="U51" s="10">
        <v>1.1409999999999991E-2</v>
      </c>
      <c r="V51" s="10">
        <v>1.1104999999999505</v>
      </c>
      <c r="W51" s="10">
        <v>3.6385000000000195E-2</v>
      </c>
      <c r="X51" s="10">
        <v>0.98699999999974874</v>
      </c>
      <c r="Z51" s="10">
        <v>2.53550000000011</v>
      </c>
      <c r="AB51" s="10">
        <v>3.1915000000000604</v>
      </c>
      <c r="AC51" s="10">
        <v>0.85699999999999832</v>
      </c>
      <c r="AE51" s="10">
        <v>0.82000000000000017</v>
      </c>
    </row>
    <row r="52" spans="1:31" x14ac:dyDescent="0.3">
      <c r="A52" s="8">
        <v>46148</v>
      </c>
      <c r="B52" s="10">
        <v>1.2025000000000103</v>
      </c>
      <c r="C52" s="8"/>
      <c r="D52" s="10">
        <v>1.1375000000000077</v>
      </c>
      <c r="E52">
        <v>135.70000000000155</v>
      </c>
      <c r="G52" s="10">
        <v>1.2323999999999626</v>
      </c>
      <c r="H52">
        <v>115.79999999999897</v>
      </c>
      <c r="I52" s="10">
        <v>1.1829999999998806</v>
      </c>
      <c r="K52" s="10">
        <v>1.1124999999999903</v>
      </c>
      <c r="N52">
        <v>110.90000000000208</v>
      </c>
      <c r="Q52" s="10">
        <v>1.1409999999999989</v>
      </c>
      <c r="R52" s="10">
        <v>2.7745000000000575</v>
      </c>
      <c r="T52" s="10">
        <v>2.0804999999979144</v>
      </c>
      <c r="U52" s="10">
        <v>1.1385000000000417E-2</v>
      </c>
      <c r="V52" s="10">
        <v>1.1124999999999903</v>
      </c>
      <c r="W52" s="10">
        <v>3.6814999999997433E-2</v>
      </c>
      <c r="X52" s="10">
        <v>0.99199999999982691</v>
      </c>
      <c r="Z52" s="10">
        <v>2.5424999999999787</v>
      </c>
      <c r="AB52" s="10">
        <v>3.1989999999997645</v>
      </c>
      <c r="AC52" s="10">
        <v>0.85839999999993766</v>
      </c>
      <c r="AE52" s="10">
        <v>0.82130000000012715</v>
      </c>
    </row>
    <row r="53" spans="1:31" x14ac:dyDescent="0.3">
      <c r="A53" s="8">
        <v>46149</v>
      </c>
      <c r="B53" s="10">
        <v>1.2080000000000171</v>
      </c>
      <c r="C53" s="8"/>
      <c r="D53" s="10">
        <v>1.1385000000000032</v>
      </c>
      <c r="E53">
        <v>136.19999999999476</v>
      </c>
      <c r="G53" s="10">
        <v>1.2345000000000192</v>
      </c>
      <c r="H53">
        <v>116.4999999999971</v>
      </c>
      <c r="I53" s="10">
        <v>1.1814999999999736</v>
      </c>
      <c r="K53" s="10">
        <v>1.1150000000000697</v>
      </c>
      <c r="N53">
        <v>111.15000000000531</v>
      </c>
      <c r="Q53" s="10">
        <v>1.1470099999999774</v>
      </c>
      <c r="R53" s="10">
        <v>2.787500000000001</v>
      </c>
      <c r="T53" s="10">
        <v>2.0850000000000066</v>
      </c>
      <c r="U53" s="10">
        <v>1.1445000000000323E-2</v>
      </c>
      <c r="V53" s="10">
        <v>1.1150000000000697</v>
      </c>
      <c r="W53" s="10">
        <v>3.6824999999999303E-2</v>
      </c>
      <c r="X53" s="10">
        <v>0.98799999999967525</v>
      </c>
      <c r="Z53" s="10">
        <v>2.5425000000003042</v>
      </c>
      <c r="AB53" s="10">
        <v>3.193999999999753</v>
      </c>
      <c r="AC53" s="10">
        <v>0.85800000000009957</v>
      </c>
      <c r="AE53" s="10">
        <v>0.8215000000000644</v>
      </c>
    </row>
    <row r="54" spans="1:31" x14ac:dyDescent="0.3">
      <c r="A54" s="8">
        <v>46150</v>
      </c>
      <c r="B54" s="10">
        <v>1.2100000000000291</v>
      </c>
      <c r="C54" s="8"/>
      <c r="D54" s="10">
        <v>1.1410000000000238</v>
      </c>
      <c r="E54">
        <v>136.59999999999917</v>
      </c>
      <c r="G54" s="10">
        <v>1.2383899999999399</v>
      </c>
      <c r="H54">
        <v>116.89999999999712</v>
      </c>
      <c r="I54" s="10">
        <v>1.2050000000000294</v>
      </c>
      <c r="K54" s="10">
        <v>1.1230000000000686</v>
      </c>
      <c r="N54">
        <v>111.50000000000003</v>
      </c>
      <c r="Q54" s="10">
        <v>1.1539999999999726</v>
      </c>
      <c r="R54" s="10">
        <v>2.8009999999999722</v>
      </c>
      <c r="T54" s="10">
        <v>2.0940000000000434</v>
      </c>
      <c r="U54" s="10">
        <v>1.1524999999999681E-2</v>
      </c>
      <c r="V54" s="10">
        <v>1.1230000000000686</v>
      </c>
      <c r="W54" s="10">
        <v>3.6849999999998759E-2</v>
      </c>
      <c r="X54" s="10">
        <v>0.9919999999998268</v>
      </c>
      <c r="Z54" s="10">
        <v>2.5540000000001157</v>
      </c>
      <c r="AB54" s="10">
        <v>3.1964999999997015</v>
      </c>
      <c r="AC54" s="10">
        <v>0.85920000000004093</v>
      </c>
      <c r="AE54" s="10">
        <v>0.82299999999986528</v>
      </c>
    </row>
    <row r="55" spans="1:31" x14ac:dyDescent="0.3">
      <c r="A55" s="8">
        <v>46153</v>
      </c>
      <c r="B55" s="10">
        <v>1.2105100000000018</v>
      </c>
      <c r="C55" s="8"/>
      <c r="D55" s="10">
        <v>1.1460000000000159</v>
      </c>
      <c r="E55">
        <v>137.1300000000023</v>
      </c>
      <c r="G55" s="10">
        <v>1.2444999999999686</v>
      </c>
      <c r="H55">
        <v>117.2799999999897</v>
      </c>
      <c r="I55" s="10">
        <v>1.19399999999994</v>
      </c>
      <c r="K55" s="10">
        <v>1.1349999999999283</v>
      </c>
      <c r="N55">
        <v>111.80000000000103</v>
      </c>
      <c r="Q55" s="10">
        <v>1.1534999999999949</v>
      </c>
      <c r="R55" s="10">
        <v>2.803499999999977</v>
      </c>
      <c r="T55" s="10">
        <v>2.1004999999999465</v>
      </c>
      <c r="U55" s="10">
        <v>1.1645000000000526E-2</v>
      </c>
      <c r="V55" s="10">
        <v>1.1349999999999283</v>
      </c>
      <c r="W55" s="10">
        <v>3.7349999999999939E-2</v>
      </c>
      <c r="X55" s="10">
        <v>0.99249999999963645</v>
      </c>
      <c r="Z55" s="10">
        <v>2.5604999999998448</v>
      </c>
      <c r="AB55" s="10">
        <v>3.1980000000001705</v>
      </c>
      <c r="AC55" s="10">
        <v>0.86100000000001431</v>
      </c>
      <c r="AE55" s="10">
        <v>0.82250000000001322</v>
      </c>
    </row>
    <row r="56" spans="1:31" x14ac:dyDescent="0.3">
      <c r="A56" s="8">
        <v>46154</v>
      </c>
      <c r="B56" s="10">
        <v>1.2119899999999943</v>
      </c>
      <c r="C56" s="8"/>
      <c r="D56" s="10">
        <v>1.143049999999999</v>
      </c>
      <c r="E56">
        <v>137.11000000000124</v>
      </c>
      <c r="G56" s="10">
        <v>1.244400000000033</v>
      </c>
      <c r="H56">
        <v>117.19999999999644</v>
      </c>
      <c r="I56" s="10">
        <v>1.1960000000000077</v>
      </c>
      <c r="K56" s="10">
        <v>1.1449999999956426</v>
      </c>
      <c r="N56">
        <v>112.20000000000037</v>
      </c>
      <c r="Q56" s="10">
        <v>1.1540000000000215</v>
      </c>
      <c r="R56" s="10">
        <v>2.8024999999999651</v>
      </c>
      <c r="T56" s="10">
        <v>2.0959999999999912</v>
      </c>
      <c r="U56" s="10">
        <v>1.1645000000000121E-2</v>
      </c>
      <c r="V56" s="10">
        <v>1.1449999999956426</v>
      </c>
      <c r="W56" s="10">
        <v>3.7299999999998057E-2</v>
      </c>
      <c r="X56" s="10">
        <v>0.98499999999896559</v>
      </c>
      <c r="Z56" s="10">
        <v>2.5529999999998187</v>
      </c>
      <c r="AB56" s="10">
        <v>3.2000000000002284</v>
      </c>
      <c r="AC56" s="10">
        <v>0.86499999999996846</v>
      </c>
      <c r="AE56" s="10">
        <v>0.82250000000003676</v>
      </c>
    </row>
    <row r="57" spans="1:31" x14ac:dyDescent="0.3">
      <c r="A57" s="8">
        <v>46155</v>
      </c>
      <c r="B57" s="10">
        <v>1.2150000000000061</v>
      </c>
      <c r="C57" s="8"/>
      <c r="D57" s="10">
        <v>1.1475000000000135</v>
      </c>
      <c r="E57">
        <v>137.4979999999918</v>
      </c>
      <c r="G57" s="10">
        <v>1.2449999999999917</v>
      </c>
      <c r="H57">
        <v>117.49999999999643</v>
      </c>
      <c r="I57" s="10">
        <v>1.1940000000000046</v>
      </c>
      <c r="K57" s="10">
        <v>1.1395000000000084</v>
      </c>
      <c r="N57">
        <v>112.15000000000126</v>
      </c>
      <c r="Q57" s="10">
        <v>1.1549999999999958</v>
      </c>
      <c r="R57" s="10">
        <v>2.8029999999999546</v>
      </c>
      <c r="T57" s="10">
        <v>2.0914999999998587</v>
      </c>
      <c r="U57" s="10">
        <v>1.1644999999999777E-2</v>
      </c>
      <c r="V57" s="10">
        <v>1.1395000000000084</v>
      </c>
      <c r="W57" s="10">
        <v>3.7284999999997119E-2</v>
      </c>
      <c r="X57" s="10">
        <v>0.98299999999835064</v>
      </c>
      <c r="Z57" s="10">
        <v>2.5479999999997798</v>
      </c>
      <c r="AB57" s="10">
        <v>3.2164999999999164</v>
      </c>
      <c r="AC57" s="10">
        <v>0.86799999999991462</v>
      </c>
      <c r="AE57" s="10">
        <v>0.82799999999998863</v>
      </c>
    </row>
    <row r="58" spans="1:31" x14ac:dyDescent="0.3">
      <c r="A58" s="8">
        <v>46156</v>
      </c>
      <c r="B58" s="10">
        <v>1.2180000000000109</v>
      </c>
      <c r="C58" s="8"/>
      <c r="D58" s="10">
        <v>1.1519999999999697</v>
      </c>
      <c r="E58">
        <v>138.00000000000119</v>
      </c>
      <c r="G58" s="10">
        <v>1.2516100000000099</v>
      </c>
      <c r="H58">
        <v>118.48000000000083</v>
      </c>
      <c r="I58" s="10">
        <v>1.209999999999964</v>
      </c>
      <c r="K58" s="10">
        <v>1.135999999999932</v>
      </c>
      <c r="N58">
        <v>112.60000000000352</v>
      </c>
      <c r="Q58" s="10">
        <v>1.1555000000000009</v>
      </c>
      <c r="R58" s="10">
        <v>2.8039999999999732</v>
      </c>
      <c r="T58" s="10">
        <v>2.0959999999923111</v>
      </c>
      <c r="U58" s="10">
        <v>1.1599999999999886E-2</v>
      </c>
      <c r="V58" s="10">
        <v>1.135999999999932</v>
      </c>
      <c r="W58" s="10">
        <v>3.7360000000002211E-2</v>
      </c>
      <c r="X58" s="10">
        <v>0.99299999999962563</v>
      </c>
      <c r="Z58" s="10">
        <v>2.5714999999999502</v>
      </c>
      <c r="AB58" s="10">
        <v>3.2560000000002662</v>
      </c>
      <c r="AC58" s="10">
        <v>0.88199999999996603</v>
      </c>
      <c r="AE58" s="10">
        <v>0.83999999999991859</v>
      </c>
    </row>
    <row r="59" spans="1:31" x14ac:dyDescent="0.3">
      <c r="A59" s="8">
        <v>46157</v>
      </c>
      <c r="B59" s="10">
        <v>1.2237899999999835</v>
      </c>
      <c r="C59" s="8"/>
      <c r="D59" s="10">
        <v>1.1564899999999947</v>
      </c>
      <c r="E59">
        <v>138.10000000000443</v>
      </c>
      <c r="G59" s="10">
        <v>1.2545000000000366</v>
      </c>
      <c r="H59">
        <v>118.64999999999289</v>
      </c>
      <c r="I59" s="10">
        <v>1.2139999999999558</v>
      </c>
      <c r="K59" s="10">
        <v>1.1350000000000104</v>
      </c>
      <c r="N59">
        <v>112.6499999999979</v>
      </c>
      <c r="Q59" s="10">
        <v>1.1584999999999721</v>
      </c>
      <c r="R59" s="10">
        <v>2.8119999999999736</v>
      </c>
      <c r="T59" s="10">
        <v>2.1000000000000245</v>
      </c>
      <c r="U59" s="10">
        <v>1.1609999999994895E-2</v>
      </c>
      <c r="V59" s="10">
        <v>1.1350000000000104</v>
      </c>
      <c r="W59" s="10">
        <v>3.7454999999997067E-2</v>
      </c>
      <c r="X59" s="10">
        <v>0.99599999999946687</v>
      </c>
      <c r="Z59" s="10">
        <v>2.5724999999999358</v>
      </c>
      <c r="AB59" s="10">
        <v>3.2720000000004319</v>
      </c>
      <c r="AC59" s="10">
        <v>0.88379999999982251</v>
      </c>
      <c r="AE59" s="10">
        <v>0.85249999999989068</v>
      </c>
    </row>
    <row r="60" spans="1:31" x14ac:dyDescent="0.3">
      <c r="A60" s="8">
        <v>46160</v>
      </c>
      <c r="B60" s="10">
        <v>1.2235100000000017</v>
      </c>
      <c r="C60" s="8"/>
      <c r="D60" s="10">
        <v>1.1559800000000222</v>
      </c>
      <c r="E60">
        <v>138.4000000000035</v>
      </c>
      <c r="G60" s="10">
        <v>1.2525000000000128</v>
      </c>
      <c r="H60">
        <v>118.4499999999957</v>
      </c>
      <c r="I60" s="10">
        <v>1.2149999999999803</v>
      </c>
      <c r="K60" s="10">
        <v>1.1325000000000338</v>
      </c>
      <c r="N60">
        <v>112.84999999999911</v>
      </c>
      <c r="Q60" s="10">
        <v>1.1604000000000068</v>
      </c>
      <c r="R60" s="10">
        <v>2.8170000000000486</v>
      </c>
      <c r="T60" s="10">
        <v>2.0984999999935963</v>
      </c>
      <c r="U60" s="10">
        <v>1.1600000000000166E-2</v>
      </c>
      <c r="V60" s="10">
        <v>1.1325000000000338</v>
      </c>
      <c r="W60" s="10">
        <v>3.7479999999999652E-2</v>
      </c>
      <c r="X60" s="10">
        <v>0.99599999999930688</v>
      </c>
      <c r="Z60" s="10">
        <v>2.5759999999999836</v>
      </c>
      <c r="AB60" s="10">
        <v>3.2779999999998988</v>
      </c>
      <c r="AC60" s="10">
        <v>0.88549999999997342</v>
      </c>
      <c r="AE60" s="10">
        <v>0.84900000000004183</v>
      </c>
    </row>
    <row r="61" spans="1:31" x14ac:dyDescent="0.3">
      <c r="A61" s="8">
        <v>46161</v>
      </c>
      <c r="B61" s="10">
        <v>1.2226000000000317</v>
      </c>
      <c r="C61" s="8"/>
      <c r="D61" s="10">
        <v>1.1531000000000042</v>
      </c>
      <c r="E61">
        <v>138.41199999999841</v>
      </c>
      <c r="G61" s="10">
        <v>1.2519999999999556</v>
      </c>
      <c r="H61">
        <v>118.54999999999771</v>
      </c>
      <c r="I61" s="10">
        <v>1.2174899999999971</v>
      </c>
      <c r="K61" s="10">
        <v>1.1349999999999771</v>
      </c>
      <c r="N61">
        <v>112.95000000000435</v>
      </c>
      <c r="Q61" s="10">
        <v>1.164499999999993</v>
      </c>
      <c r="R61" s="10">
        <v>2.8274999999999562</v>
      </c>
      <c r="T61" s="10">
        <v>2.1009999999926139</v>
      </c>
      <c r="U61" s="10">
        <v>1.1619999999999263E-2</v>
      </c>
      <c r="V61" s="10">
        <v>1.1349999999999771</v>
      </c>
      <c r="W61" s="10">
        <v>3.7389999999999354E-2</v>
      </c>
      <c r="X61" s="10">
        <v>0.99539999999916662</v>
      </c>
      <c r="Z61" s="10">
        <v>2.5769999999999298</v>
      </c>
      <c r="AB61" s="10">
        <v>3.2770000000004291</v>
      </c>
      <c r="AC61" s="10">
        <v>0.88600000000002677</v>
      </c>
      <c r="AE61" s="10">
        <v>0.84989999999991728</v>
      </c>
    </row>
    <row r="62" spans="1:31" x14ac:dyDescent="0.3">
      <c r="A62" s="8">
        <v>46162</v>
      </c>
      <c r="B62" s="10">
        <v>1.223499999999994</v>
      </c>
      <c r="C62" s="8"/>
      <c r="D62" s="10">
        <v>1.1544999999999981</v>
      </c>
      <c r="E62">
        <v>138.47000000000398</v>
      </c>
      <c r="G62" s="10">
        <v>1.2520000000000089</v>
      </c>
      <c r="H62">
        <v>118.49999999999639</v>
      </c>
      <c r="I62" s="10">
        <v>1.2200000000000226</v>
      </c>
      <c r="K62" s="10">
        <v>1.1349999999999849</v>
      </c>
      <c r="N62">
        <v>113.44999999999901</v>
      </c>
      <c r="Q62" s="10">
        <v>1.1655000000000131</v>
      </c>
      <c r="R62" s="10">
        <v>2.8315000000000108</v>
      </c>
      <c r="T62" s="10">
        <v>2.0999999999961427</v>
      </c>
      <c r="U62" s="10">
        <v>1.1630000000000579E-2</v>
      </c>
      <c r="V62" s="10">
        <v>1.1349999999999849</v>
      </c>
      <c r="W62" s="10">
        <v>3.7240000000002202E-2</v>
      </c>
      <c r="X62" s="10">
        <v>0.9959999999990703</v>
      </c>
      <c r="Z62" s="10">
        <v>2.5815000000000299</v>
      </c>
      <c r="AB62" s="10">
        <v>3.2819999999999978</v>
      </c>
      <c r="AC62" s="10">
        <v>0.8864999999998866</v>
      </c>
      <c r="AE62" s="10">
        <v>0.85099999999995457</v>
      </c>
    </row>
    <row r="63" spans="1:31" x14ac:dyDescent="0.3">
      <c r="A63" s="8">
        <v>46163</v>
      </c>
      <c r="B63" s="10">
        <v>1.2250000000000041</v>
      </c>
      <c r="C63" s="8"/>
      <c r="D63" s="10">
        <v>1.1572000000000076</v>
      </c>
      <c r="E63">
        <v>138.61800000000457</v>
      </c>
      <c r="G63" s="10">
        <v>1.252900000000003</v>
      </c>
      <c r="H63">
        <v>118.14999999999787</v>
      </c>
      <c r="I63" s="10">
        <v>1.2225000000000454</v>
      </c>
      <c r="K63" s="10">
        <v>1.1349999999999929</v>
      </c>
      <c r="N63">
        <v>113.99999999999595</v>
      </c>
      <c r="Q63" s="10">
        <v>1.1669999999999983</v>
      </c>
      <c r="R63" s="10">
        <v>2.8349999999999573</v>
      </c>
      <c r="T63" s="10">
        <v>2.099999999999874</v>
      </c>
      <c r="U63" s="10">
        <v>1.154999999999996E-2</v>
      </c>
      <c r="V63" s="10">
        <v>1.1349999999999929</v>
      </c>
      <c r="W63" s="10">
        <v>3.7234999999998485E-2</v>
      </c>
      <c r="X63" s="10">
        <v>0.99899999999934597</v>
      </c>
      <c r="Z63" s="10">
        <v>2.5909999999998119</v>
      </c>
      <c r="AB63" s="10">
        <v>3.2770000000003505</v>
      </c>
      <c r="AC63" s="10">
        <v>0.8874999999999027</v>
      </c>
      <c r="AE63" s="10">
        <v>0.84899999999995956</v>
      </c>
    </row>
    <row r="64" spans="1:31" x14ac:dyDescent="0.3">
      <c r="A64" s="8">
        <v>46164</v>
      </c>
      <c r="B64" s="10">
        <v>1.2279700000000124</v>
      </c>
      <c r="C64" s="8"/>
      <c r="D64" s="10">
        <v>1.1585000000000016</v>
      </c>
      <c r="E64">
        <v>138.94999999999541</v>
      </c>
      <c r="G64" s="10">
        <v>1.2575000000000129</v>
      </c>
      <c r="H64">
        <v>118.7989999999967</v>
      </c>
      <c r="I64" s="10">
        <v>1.2184999999999764</v>
      </c>
      <c r="K64" s="10">
        <v>1.1360000000000046</v>
      </c>
      <c r="N64">
        <v>114.35000000000058</v>
      </c>
      <c r="Q64" s="10">
        <v>1.1699999999999939</v>
      </c>
      <c r="R64" s="10">
        <v>2.8419999999999765</v>
      </c>
      <c r="T64" s="10">
        <v>2.1019999999999985</v>
      </c>
      <c r="U64" s="10">
        <v>1.1604999999999952E-2</v>
      </c>
      <c r="V64" s="10">
        <v>1.1360000000000046</v>
      </c>
      <c r="W64" s="10">
        <v>3.7205000000000529E-2</v>
      </c>
      <c r="X64" s="10">
        <v>1.0004999999991064</v>
      </c>
      <c r="Z64" s="10">
        <v>2.5915000000000856</v>
      </c>
      <c r="AB64" s="10">
        <v>3.2800000000001925</v>
      </c>
      <c r="AC64" s="10">
        <v>0.88750000000007423</v>
      </c>
      <c r="AE64" s="10">
        <v>0.86000000000006338</v>
      </c>
    </row>
    <row r="65" spans="1:31" x14ac:dyDescent="0.3">
      <c r="A65" s="8">
        <v>46168</v>
      </c>
      <c r="B65" s="10">
        <v>1.2299999999999798</v>
      </c>
      <c r="C65" s="8"/>
      <c r="D65" s="10">
        <v>1.1595000000000015</v>
      </c>
      <c r="E65">
        <v>139.18599999999876</v>
      </c>
      <c r="G65" s="10">
        <v>1.2599999999999236</v>
      </c>
      <c r="H65">
        <v>118.94999999999614</v>
      </c>
      <c r="I65" s="10">
        <v>1.2199999999999536</v>
      </c>
      <c r="K65" s="10">
        <v>1.1370000000000622</v>
      </c>
      <c r="N65">
        <v>114.50000000000176</v>
      </c>
      <c r="Q65" s="10">
        <v>1.1714999999999955</v>
      </c>
      <c r="R65" s="10">
        <v>2.8445000000000458</v>
      </c>
      <c r="T65" s="10">
        <v>2.0965000000000291</v>
      </c>
      <c r="U65" s="10">
        <v>1.1640000000000211E-2</v>
      </c>
      <c r="V65" s="10">
        <v>1.1370000000000622</v>
      </c>
      <c r="W65" s="10">
        <v>3.7319999999998923E-2</v>
      </c>
      <c r="X65" s="10">
        <v>0.99749999999831407</v>
      </c>
      <c r="Z65" s="10">
        <v>2.5960000000000383</v>
      </c>
      <c r="AB65" s="10">
        <v>3.3024999999996627</v>
      </c>
      <c r="AC65" s="10">
        <v>0.89600000000000346</v>
      </c>
      <c r="AE65" s="10">
        <v>0.86199999999998977</v>
      </c>
    </row>
    <row r="66" spans="1:31" x14ac:dyDescent="0.3">
      <c r="A66" s="8">
        <v>46169</v>
      </c>
      <c r="B66" s="10">
        <v>1.2265099999999731</v>
      </c>
      <c r="C66" s="8"/>
      <c r="D66" s="10">
        <v>1.1571299999999836</v>
      </c>
      <c r="E66">
        <v>138.88000000000235</v>
      </c>
      <c r="G66" s="10">
        <v>1.2605000000000148</v>
      </c>
      <c r="H66">
        <v>119.19999999999833</v>
      </c>
      <c r="I66" s="10">
        <v>1.2273000000000012</v>
      </c>
      <c r="K66" s="10">
        <v>1.1370000000000469</v>
      </c>
      <c r="N66">
        <v>114.6000000000034</v>
      </c>
      <c r="Q66" s="10">
        <v>1.172499999999995</v>
      </c>
      <c r="R66" s="10">
        <v>2.8450000000000655</v>
      </c>
      <c r="T66" s="10">
        <v>2.1010000000000373</v>
      </c>
      <c r="U66" s="10">
        <v>1.1535000000000286E-2</v>
      </c>
      <c r="V66" s="10">
        <v>1.1370000000000469</v>
      </c>
      <c r="W66" s="10">
        <v>3.7365000000002209E-2</v>
      </c>
      <c r="X66" s="10">
        <v>0.99649999999786243</v>
      </c>
      <c r="Z66" s="10">
        <v>2.6050000000000311</v>
      </c>
      <c r="AB66" s="10">
        <v>3.3145000000003169</v>
      </c>
      <c r="AC66" s="10">
        <v>0.89849999999994101</v>
      </c>
      <c r="AE66" s="10">
        <v>0.86300000000004251</v>
      </c>
    </row>
    <row r="67" spans="1:31" x14ac:dyDescent="0.3">
      <c r="A67" s="8">
        <v>46170</v>
      </c>
      <c r="B67" s="10">
        <v>1.2295000000000114</v>
      </c>
      <c r="C67" s="8"/>
      <c r="D67" s="10">
        <v>1.1600000000000212</v>
      </c>
      <c r="E67">
        <v>139.53999999999965</v>
      </c>
      <c r="G67" s="10">
        <v>1.2629999999999006</v>
      </c>
      <c r="H67">
        <v>119.1899999999993</v>
      </c>
      <c r="I67" s="10">
        <v>1.2263100000000533</v>
      </c>
      <c r="K67" s="10">
        <v>1.1399999999999935</v>
      </c>
      <c r="N67">
        <v>114.55000000000256</v>
      </c>
      <c r="Q67" s="10">
        <v>1.172950000000003</v>
      </c>
      <c r="R67" s="10">
        <v>2.8454999999999497</v>
      </c>
      <c r="T67" s="10">
        <v>2.0989999999999283</v>
      </c>
      <c r="U67" s="10">
        <v>1.1595000000000197E-2</v>
      </c>
      <c r="V67" s="10">
        <v>1.1399999999999935</v>
      </c>
      <c r="W67" s="10">
        <v>3.7380000000000906E-2</v>
      </c>
      <c r="X67" s="10">
        <v>0.99899999999815436</v>
      </c>
      <c r="Z67" s="10">
        <v>2.6109999999997324</v>
      </c>
      <c r="AB67" s="10">
        <v>3.3240000000001348</v>
      </c>
      <c r="AC67" s="10">
        <v>0.89910000000002754</v>
      </c>
      <c r="AE67" s="10">
        <v>0.8649999999999487</v>
      </c>
    </row>
    <row r="68" spans="1:31" x14ac:dyDescent="0.3">
      <c r="A68" s="8">
        <v>46171</v>
      </c>
      <c r="B68" s="10">
        <v>1.2329000000000234</v>
      </c>
      <c r="C68" s="8"/>
      <c r="D68" s="10">
        <v>1.1654899999999877</v>
      </c>
      <c r="E68">
        <v>139.8499999999988</v>
      </c>
      <c r="G68" s="10">
        <v>1.2688999999999759</v>
      </c>
      <c r="H68">
        <v>119.89000000000529</v>
      </c>
      <c r="I68" s="10">
        <v>1.2289999999999006</v>
      </c>
      <c r="K68" s="10">
        <v>1.1434999999999684</v>
      </c>
      <c r="N68">
        <v>114.8499999999985</v>
      </c>
      <c r="Q68" s="10">
        <v>1.176999999999998</v>
      </c>
      <c r="R68" s="10">
        <v>2.8574999999999728</v>
      </c>
      <c r="T68" s="10">
        <v>2.1020000000001193</v>
      </c>
      <c r="U68" s="10">
        <v>1.1699999999999424E-2</v>
      </c>
      <c r="V68" s="10">
        <v>1.1434999999999684</v>
      </c>
      <c r="W68" s="10">
        <v>3.7754999999998859E-2</v>
      </c>
      <c r="X68" s="10">
        <v>1.0039999999989013</v>
      </c>
      <c r="Z68" s="10">
        <v>2.6214999999636364</v>
      </c>
      <c r="AB68" s="10">
        <v>3.3424999999997835</v>
      </c>
      <c r="AC68" s="10">
        <v>0.90380000000003047</v>
      </c>
      <c r="AE68" s="10">
        <v>0.86490000000010281</v>
      </c>
    </row>
    <row r="69" spans="1:31" x14ac:dyDescent="0.3">
      <c r="A69" s="8">
        <v>46174</v>
      </c>
      <c r="B69" s="10">
        <v>1.2354000000000105</v>
      </c>
      <c r="C69" s="8"/>
      <c r="D69" s="10">
        <v>1.1649999999999878</v>
      </c>
      <c r="E69">
        <v>139.99000000000018</v>
      </c>
      <c r="G69" s="10">
        <v>1.2689999999999975</v>
      </c>
      <c r="H69">
        <v>119.83999999999679</v>
      </c>
      <c r="I69" s="10">
        <v>1.2309999999999655</v>
      </c>
      <c r="K69" s="10">
        <v>1.1460000000000592</v>
      </c>
      <c r="N69">
        <v>115.09999999999874</v>
      </c>
      <c r="Q69" s="10">
        <v>1.1780000000000241</v>
      </c>
      <c r="R69" s="10">
        <v>2.8605000000000107</v>
      </c>
      <c r="T69" s="10">
        <v>2.1109999999999176</v>
      </c>
      <c r="U69" s="10">
        <v>1.1680000000000126E-2</v>
      </c>
      <c r="V69" s="10">
        <v>1.1460000000000592</v>
      </c>
      <c r="W69" s="10">
        <v>3.8094999999998845E-2</v>
      </c>
      <c r="X69" s="10">
        <v>1.0094999999993588</v>
      </c>
      <c r="Z69" s="10">
        <v>2.6434999999801421</v>
      </c>
      <c r="AB69" s="10">
        <v>3.3524999999996852</v>
      </c>
      <c r="AC69" s="10">
        <v>0.90599999999995728</v>
      </c>
      <c r="AE69" s="10">
        <v>0.87050000000010641</v>
      </c>
    </row>
    <row r="70" spans="1:31" x14ac:dyDescent="0.3">
      <c r="A70" s="8">
        <v>46175</v>
      </c>
      <c r="B70" s="10">
        <v>1.2359899999999895</v>
      </c>
      <c r="C70" s="8"/>
      <c r="D70" s="10">
        <v>1.168000000000009</v>
      </c>
      <c r="E70">
        <v>139.74999999999656</v>
      </c>
      <c r="G70" s="10">
        <v>1.2655500000000262</v>
      </c>
      <c r="H70">
        <v>119.60500000000064</v>
      </c>
      <c r="I70" s="10">
        <v>1.232999999999971</v>
      </c>
      <c r="K70" s="10">
        <v>1.1509999999999945</v>
      </c>
      <c r="N70">
        <v>115.10000000000218</v>
      </c>
      <c r="Q70" s="10">
        <v>1.1781500000000222</v>
      </c>
      <c r="R70" s="10">
        <v>2.8634999999999882</v>
      </c>
      <c r="T70" s="10">
        <v>2.1155000000000017</v>
      </c>
      <c r="U70" s="10">
        <v>1.1690000000000797E-2</v>
      </c>
      <c r="V70" s="10">
        <v>1.1509999999999945</v>
      </c>
      <c r="W70" s="10">
        <v>3.7665000000001614E-2</v>
      </c>
      <c r="X70" s="10">
        <v>1.0129999999995725</v>
      </c>
      <c r="Z70" s="10">
        <v>2.6539999999859964</v>
      </c>
      <c r="AA70" s="10">
        <v>0.94999999999996332</v>
      </c>
      <c r="AB70" s="10">
        <v>3.3575000000001851</v>
      </c>
      <c r="AC70" s="10">
        <v>0.91500000000002624</v>
      </c>
      <c r="AE70" s="10">
        <v>0.87499999999992528</v>
      </c>
    </row>
    <row r="71" spans="1:31" x14ac:dyDescent="0.3">
      <c r="A71" s="8">
        <v>46176</v>
      </c>
      <c r="B71" s="10">
        <v>1.2329999999999992</v>
      </c>
      <c r="C71" s="8"/>
      <c r="D71" s="10">
        <v>1.1629999999999938</v>
      </c>
      <c r="E71">
        <v>138.8509999999967</v>
      </c>
      <c r="G71" s="10">
        <v>1.2624900000000039</v>
      </c>
      <c r="H71">
        <v>119.18000000000302</v>
      </c>
      <c r="I71" s="10">
        <v>1.232889999999998</v>
      </c>
      <c r="K71" s="10">
        <v>1.1495000000000184</v>
      </c>
      <c r="N71">
        <v>114.84999999999847</v>
      </c>
      <c r="Q71" s="10">
        <v>1.1769999999999967</v>
      </c>
      <c r="R71" s="10">
        <v>2.8620000000000463</v>
      </c>
      <c r="T71" s="10">
        <v>2.1135000000000148</v>
      </c>
      <c r="U71" s="10">
        <v>1.1674999999999774E-2</v>
      </c>
      <c r="V71" s="10">
        <v>1.1495000000000184</v>
      </c>
      <c r="W71" s="10">
        <v>3.7630000000000344E-2</v>
      </c>
      <c r="X71" s="10">
        <v>1.0124999999994257</v>
      </c>
      <c r="Z71" s="10">
        <v>2.6544999999847265</v>
      </c>
      <c r="AA71" s="10">
        <v>0.95010000000004524</v>
      </c>
      <c r="AB71" s="10">
        <v>3.355000000000087</v>
      </c>
      <c r="AC71" s="10">
        <v>0.91099999999995573</v>
      </c>
      <c r="AE71" s="10">
        <v>0.87399999999990186</v>
      </c>
    </row>
    <row r="72" spans="1:31" x14ac:dyDescent="0.3">
      <c r="A72" s="8">
        <v>46177</v>
      </c>
      <c r="B72" s="10">
        <v>1.2354999999999887</v>
      </c>
      <c r="C72" s="8"/>
      <c r="D72" s="10">
        <v>1.1669999999999974</v>
      </c>
      <c r="E72">
        <v>139.34999999999917</v>
      </c>
      <c r="G72" s="10">
        <v>1.2662000000000624</v>
      </c>
      <c r="H72">
        <v>119.5000000000032</v>
      </c>
      <c r="I72" s="10">
        <v>1.2265000000000104</v>
      </c>
      <c r="K72" s="10">
        <v>1.1510000000000309</v>
      </c>
      <c r="N72">
        <v>114.79999999999721</v>
      </c>
      <c r="Q72" s="10">
        <v>1.1776000000000135</v>
      </c>
      <c r="R72" s="10">
        <v>2.8650000000000073</v>
      </c>
      <c r="T72" s="10">
        <v>2.1174999999999367</v>
      </c>
      <c r="U72" s="10">
        <v>1.1709999999999228E-2</v>
      </c>
      <c r="V72" s="10">
        <v>1.1510000000000309</v>
      </c>
      <c r="W72" s="10">
        <v>3.8200000000000414E-2</v>
      </c>
      <c r="X72" s="10">
        <v>1.014499999999475</v>
      </c>
      <c r="Z72" s="10">
        <v>2.6579999999856092</v>
      </c>
      <c r="AA72" s="10">
        <v>0.96290000000000076</v>
      </c>
      <c r="AB72" s="10">
        <v>3.3594999999998469</v>
      </c>
      <c r="AC72" s="10">
        <v>0.91010000000009039</v>
      </c>
      <c r="AE72" s="10">
        <v>0.88200000000000134</v>
      </c>
    </row>
    <row r="73" spans="1:31" x14ac:dyDescent="0.3">
      <c r="A73" s="8">
        <v>46178</v>
      </c>
      <c r="B73" s="10">
        <v>1.2374899999999744</v>
      </c>
      <c r="C73" s="8"/>
      <c r="D73" s="10">
        <v>1.1695499999999952</v>
      </c>
      <c r="E73">
        <v>139.60000000000204</v>
      </c>
      <c r="G73" s="10">
        <v>1.2672000000000052</v>
      </c>
      <c r="H73">
        <v>119.74999999999282</v>
      </c>
      <c r="I73" s="10">
        <v>1.2299999999999534</v>
      </c>
      <c r="K73" s="10">
        <v>1.1530000000000376</v>
      </c>
      <c r="N73">
        <v>114.99999999999977</v>
      </c>
      <c r="Q73" s="10">
        <v>1.1820000000000008</v>
      </c>
      <c r="R73" s="10">
        <v>2.8719999999999648</v>
      </c>
      <c r="T73" s="10">
        <v>2.1209999999999356</v>
      </c>
      <c r="U73" s="10">
        <v>1.1675000000000128E-2</v>
      </c>
      <c r="V73" s="10">
        <v>1.1530000000000376</v>
      </c>
      <c r="W73" s="10">
        <v>3.7960000000003331E-2</v>
      </c>
      <c r="X73" s="10">
        <v>1.0159999999995832</v>
      </c>
      <c r="Z73" s="10">
        <v>2.6659999999889914</v>
      </c>
      <c r="AA73" s="10">
        <v>0.97499999999999676</v>
      </c>
      <c r="AB73" s="10">
        <v>3.3610000000003581</v>
      </c>
      <c r="AC73" s="10">
        <v>0.91099999999998871</v>
      </c>
      <c r="AE73" s="10">
        <v>0.88680000000005221</v>
      </c>
    </row>
    <row r="74" spans="1:31" x14ac:dyDescent="0.3">
      <c r="A74" s="8">
        <v>46181</v>
      </c>
      <c r="B74" s="10">
        <v>1.2379999999999953</v>
      </c>
      <c r="C74" s="8"/>
      <c r="D74" s="10">
        <v>1.1724999999999737</v>
      </c>
      <c r="E74">
        <v>139.64999999999506</v>
      </c>
      <c r="G74" s="10">
        <v>1.2705000000000379</v>
      </c>
      <c r="H74">
        <v>119.90000000000431</v>
      </c>
      <c r="I74" s="10">
        <v>1.2350000000000501</v>
      </c>
      <c r="K74" s="10">
        <v>1.1574999999999891</v>
      </c>
      <c r="N74">
        <v>115.10000000000066</v>
      </c>
      <c r="Q74" s="10">
        <v>1.1833999999999674</v>
      </c>
      <c r="R74" s="10">
        <v>2.8734999999999702</v>
      </c>
      <c r="T74" s="10">
        <v>2.1240000000000951</v>
      </c>
      <c r="U74" s="10">
        <v>1.1714999999999707E-2</v>
      </c>
      <c r="V74" s="10">
        <v>1.1574999999999891</v>
      </c>
      <c r="W74" s="10">
        <v>3.7875000000000408E-2</v>
      </c>
      <c r="X74" s="10">
        <v>1.0164999999992965</v>
      </c>
      <c r="Z74" s="10">
        <v>2.6619999999807002</v>
      </c>
      <c r="AA74" s="11">
        <v>0.97499999999999676</v>
      </c>
      <c r="AB74" s="10">
        <v>3.3559999999998587</v>
      </c>
      <c r="AC74" s="10">
        <v>0.90799999999996917</v>
      </c>
      <c r="AE74" s="10">
        <v>0.88499999999996382</v>
      </c>
    </row>
    <row r="75" spans="1:31" x14ac:dyDescent="0.3">
      <c r="A75" s="8">
        <v>46182</v>
      </c>
      <c r="B75" s="10">
        <v>1.2449999999999921</v>
      </c>
      <c r="C75" s="8"/>
      <c r="D75" s="10">
        <v>1.1725000000000083</v>
      </c>
      <c r="E75">
        <v>140.34899999999513</v>
      </c>
      <c r="G75" s="10">
        <v>1.2738799999999886</v>
      </c>
      <c r="H75">
        <v>120.35000000000215</v>
      </c>
      <c r="I75" s="10">
        <v>1.2389999999999979</v>
      </c>
      <c r="K75" s="10">
        <v>1.160000000000077</v>
      </c>
      <c r="N75">
        <v>115.09999999999559</v>
      </c>
      <c r="Q75" s="10">
        <v>1.1875000000000007</v>
      </c>
      <c r="R75" s="10">
        <v>2.8800000000000079</v>
      </c>
      <c r="T75" s="10">
        <v>2.1290000000000662</v>
      </c>
      <c r="U75" s="10">
        <v>1.1729999999999661E-2</v>
      </c>
      <c r="V75" s="10">
        <v>1.160000000000077</v>
      </c>
      <c r="W75" s="10">
        <v>3.7910000000000589E-2</v>
      </c>
      <c r="X75" s="10">
        <v>1.0209999999995418</v>
      </c>
      <c r="Z75" s="10">
        <v>2.6639999999807515</v>
      </c>
      <c r="AA75" s="10">
        <v>0.97500000000014664</v>
      </c>
      <c r="AB75" s="10">
        <v>3.3650000000002378</v>
      </c>
      <c r="AC75" s="10">
        <v>0.91050000000009779</v>
      </c>
      <c r="AE75" s="10">
        <v>0.88150000000002149</v>
      </c>
    </row>
    <row r="76" spans="1:31" x14ac:dyDescent="0.3">
      <c r="A76" s="8">
        <v>46183</v>
      </c>
      <c r="B76" s="10">
        <v>1.2473999999999892</v>
      </c>
      <c r="C76" s="8"/>
      <c r="D76" s="10">
        <v>1.1712999999999791</v>
      </c>
      <c r="E76">
        <v>140.9499999999947</v>
      </c>
      <c r="G76" s="10">
        <v>1.2775000000000216</v>
      </c>
      <c r="H76">
        <v>120.64899999999818</v>
      </c>
      <c r="I76" s="10">
        <v>1.2474999999999925</v>
      </c>
      <c r="K76" s="10">
        <v>1.1620000000000075</v>
      </c>
      <c r="N76">
        <v>114.95000000000061</v>
      </c>
      <c r="Q76" s="10">
        <v>1.1877500000000092</v>
      </c>
      <c r="R76" s="10">
        <v>2.8820000000000476</v>
      </c>
      <c r="T76" s="10">
        <v>2.1340000000000394</v>
      </c>
      <c r="U76" s="10">
        <v>1.1840000000000152E-2</v>
      </c>
      <c r="V76" s="10">
        <v>1.1620000000000075</v>
      </c>
      <c r="W76" s="10">
        <v>3.7980000000002352E-2</v>
      </c>
      <c r="X76" s="10">
        <v>1.022999999999664</v>
      </c>
      <c r="Z76" s="10">
        <v>2.6684999999821555</v>
      </c>
      <c r="AA76" s="10">
        <v>0.96999999999998221</v>
      </c>
      <c r="AB76" s="10">
        <v>3.3810000000002343</v>
      </c>
      <c r="AC76" s="10">
        <v>0.9154999999999347</v>
      </c>
      <c r="AE76" s="10">
        <v>0.87999999999990808</v>
      </c>
    </row>
    <row r="77" spans="1:31" x14ac:dyDescent="0.3">
      <c r="A77" s="8">
        <v>46184</v>
      </c>
      <c r="B77" s="10">
        <v>1.2477100000000128</v>
      </c>
      <c r="C77" s="8"/>
      <c r="D77" s="10">
        <v>1.1789999999999983</v>
      </c>
      <c r="E77">
        <v>141.50900000000058</v>
      </c>
      <c r="G77" s="10">
        <v>1.2854999999999455</v>
      </c>
      <c r="H77">
        <v>120.95999999999762</v>
      </c>
      <c r="I77" s="10">
        <v>1.2495000000000385</v>
      </c>
      <c r="K77" s="10">
        <v>1.1630000000000167</v>
      </c>
      <c r="N77">
        <v>115.10000000000477</v>
      </c>
      <c r="Q77" s="10">
        <v>1.1880000000000044</v>
      </c>
      <c r="R77" s="10">
        <v>2.8830000000000275</v>
      </c>
      <c r="T77" s="10">
        <v>2.1345000000000347</v>
      </c>
      <c r="U77" s="10">
        <v>1.1755000000000832E-2</v>
      </c>
      <c r="V77" s="10">
        <v>1.1630000000000167</v>
      </c>
      <c r="W77" s="10">
        <v>3.7954999999997907E-2</v>
      </c>
      <c r="X77" s="10">
        <v>1.0259999999997402</v>
      </c>
      <c r="Z77" s="10">
        <v>2.6749999999853289</v>
      </c>
      <c r="AA77" s="10">
        <v>0.97049999999986614</v>
      </c>
      <c r="AB77" s="10">
        <v>3.4029999999997336</v>
      </c>
      <c r="AC77" s="10">
        <v>0.9214999999999427</v>
      </c>
      <c r="AE77" s="10">
        <v>0.88070000000012372</v>
      </c>
    </row>
    <row r="78" spans="1:31" x14ac:dyDescent="0.3">
      <c r="A78" s="8">
        <v>46185</v>
      </c>
      <c r="B78" s="10">
        <v>1.253999999999988</v>
      </c>
      <c r="C78" s="8"/>
      <c r="D78" s="10">
        <v>1.1820100000000295</v>
      </c>
      <c r="E78">
        <v>141.94999999999959</v>
      </c>
      <c r="G78" s="10">
        <v>1.287450000000018</v>
      </c>
      <c r="H78">
        <v>121.34999999999832</v>
      </c>
      <c r="I78" s="10">
        <v>1.2500000000000171</v>
      </c>
      <c r="K78" s="10">
        <v>1.1690000000000722</v>
      </c>
      <c r="N78">
        <v>115.30000000000229</v>
      </c>
      <c r="Q78" s="10">
        <v>1.1865000000000112</v>
      </c>
      <c r="R78" s="10">
        <v>2.8825000000000518</v>
      </c>
      <c r="T78" s="10">
        <v>2.1324999999999319</v>
      </c>
      <c r="U78" s="10">
        <v>1.1849999999999507E-2</v>
      </c>
      <c r="V78" s="10">
        <v>1.1690000000000722</v>
      </c>
      <c r="W78" s="10">
        <v>3.8235000000002899E-2</v>
      </c>
      <c r="X78" s="10">
        <v>1.0249999999995552</v>
      </c>
      <c r="Z78" s="10">
        <v>2.6749999999806904</v>
      </c>
      <c r="AA78" s="10">
        <v>0.97699999999990372</v>
      </c>
      <c r="AB78" s="10">
        <v>3.4050000000003284</v>
      </c>
      <c r="AC78" s="10">
        <v>0.91949999999993526</v>
      </c>
      <c r="AE78" s="10">
        <v>0.88309999999992539</v>
      </c>
    </row>
    <row r="79" spans="1:31" x14ac:dyDescent="0.3">
      <c r="A79" s="8">
        <v>46189</v>
      </c>
      <c r="B79" s="10">
        <v>1.2549899999999974</v>
      </c>
      <c r="C79" s="8"/>
      <c r="D79" s="10">
        <v>1.1847999999999781</v>
      </c>
      <c r="E79">
        <v>141.76200000000665</v>
      </c>
      <c r="G79" s="10">
        <v>1.2905000000000069</v>
      </c>
      <c r="H79">
        <v>121.79999999999784</v>
      </c>
      <c r="I79" s="10">
        <v>1.2365000000000157</v>
      </c>
      <c r="K79" s="10">
        <v>1.1679999999999808</v>
      </c>
      <c r="N79">
        <v>115.35000000000197</v>
      </c>
      <c r="Q79" s="10">
        <v>1.1845000000000103</v>
      </c>
      <c r="R79" s="10">
        <v>2.8785000000000172</v>
      </c>
      <c r="T79" s="10">
        <v>2.1325000000000625</v>
      </c>
      <c r="U79" s="10">
        <v>1.1835000000000291E-2</v>
      </c>
      <c r="V79" s="10">
        <v>1.1679999999999808</v>
      </c>
      <c r="W79" s="10">
        <v>3.8140000000000965E-2</v>
      </c>
      <c r="X79" s="10">
        <v>1.0229999999993029</v>
      </c>
      <c r="Z79" s="10">
        <v>2.6814999999835765</v>
      </c>
      <c r="AA79" s="10">
        <v>0.97300000000004228</v>
      </c>
      <c r="AB79" s="10">
        <v>3.406999999999599</v>
      </c>
      <c r="AC79" s="10">
        <v>0.92099999999992965</v>
      </c>
      <c r="AE79" s="10">
        <v>0.88149999999998574</v>
      </c>
    </row>
    <row r="80" spans="1:31" x14ac:dyDescent="0.3">
      <c r="A80" s="8">
        <v>46190</v>
      </c>
      <c r="B80" s="10">
        <v>1.251249999999992</v>
      </c>
      <c r="C80" s="8"/>
      <c r="D80" s="10">
        <v>1.1799999999999968</v>
      </c>
      <c r="E80">
        <v>141.75000000000176</v>
      </c>
      <c r="G80" s="10">
        <v>1.2883999999999463</v>
      </c>
      <c r="H80">
        <v>121.65599999999712</v>
      </c>
      <c r="I80" s="10">
        <v>1.2409999999999612</v>
      </c>
      <c r="K80" s="10">
        <v>1.1680000000000101</v>
      </c>
      <c r="N80">
        <v>115.5000000000004</v>
      </c>
      <c r="Q80" s="10">
        <v>1.1819999999999902</v>
      </c>
      <c r="R80" s="10">
        <v>2.8729999999999558</v>
      </c>
      <c r="T80" s="10">
        <v>2.1289999999999898</v>
      </c>
      <c r="U80" s="10">
        <v>1.1849999999999887E-2</v>
      </c>
      <c r="V80" s="10">
        <v>1.1680000000000101</v>
      </c>
      <c r="W80" s="10">
        <v>3.8065000000000286E-2</v>
      </c>
      <c r="X80" s="10">
        <v>1.0214999999991479</v>
      </c>
      <c r="Z80" s="10">
        <v>2.6799999999808786</v>
      </c>
      <c r="AA80" s="10">
        <v>0.97800000000001686</v>
      </c>
      <c r="AB80" s="10">
        <v>3.4050000000002614</v>
      </c>
      <c r="AC80" s="10">
        <v>0.92100000000006288</v>
      </c>
      <c r="AE80" s="10">
        <v>0.88290000000012669</v>
      </c>
    </row>
    <row r="81" spans="1:31" x14ac:dyDescent="0.3">
      <c r="A81" s="8">
        <v>46191</v>
      </c>
      <c r="B81" s="10">
        <v>1.2519000000000005</v>
      </c>
      <c r="C81" s="8"/>
      <c r="D81" s="10">
        <v>1.1798899999999848</v>
      </c>
      <c r="E81">
        <v>141.9799999999982</v>
      </c>
      <c r="G81" s="10">
        <v>1.2885000000000004</v>
      </c>
      <c r="H81">
        <v>121.74999999999589</v>
      </c>
      <c r="I81" s="10">
        <v>1.2400000000000091</v>
      </c>
      <c r="K81" s="10">
        <v>1.1600000000000243</v>
      </c>
      <c r="N81">
        <v>115.8499999999955</v>
      </c>
      <c r="Q81" s="10">
        <v>1.183500000000018</v>
      </c>
      <c r="R81" s="10">
        <v>2.8700000000000498</v>
      </c>
      <c r="T81" s="10">
        <v>2.1310000000000882</v>
      </c>
      <c r="U81" s="10">
        <v>1.1890000000000815E-2</v>
      </c>
      <c r="V81" s="10">
        <v>1.1600000000000243</v>
      </c>
      <c r="W81" s="10">
        <v>3.8024999999995701E-2</v>
      </c>
      <c r="X81" s="10">
        <v>1.0209999999989099</v>
      </c>
      <c r="Z81" s="10">
        <v>2.6724999999719539</v>
      </c>
      <c r="AA81" s="10">
        <v>0.97000000000006292</v>
      </c>
      <c r="AB81" s="10">
        <v>3.4059999999995596</v>
      </c>
      <c r="AC81" s="10">
        <v>0.9220000000000137</v>
      </c>
      <c r="AE81" s="10">
        <v>0.88499999999998058</v>
      </c>
    </row>
    <row r="82" spans="1:31" x14ac:dyDescent="0.3">
      <c r="A82" s="8">
        <v>46192</v>
      </c>
      <c r="B82" s="10">
        <v>1.2524700000000077</v>
      </c>
      <c r="C82" s="8"/>
      <c r="D82" s="10">
        <v>1.1814999999999976</v>
      </c>
      <c r="E82">
        <v>142.20000000000212</v>
      </c>
      <c r="G82" s="10">
        <v>1.2919999999999319</v>
      </c>
      <c r="H82">
        <v>122.0999999999971</v>
      </c>
      <c r="I82" s="10">
        <v>1.2499999999999445</v>
      </c>
      <c r="K82" s="10">
        <v>1.1599999999999582</v>
      </c>
      <c r="N82">
        <v>115.99999999999871</v>
      </c>
      <c r="Q82" s="10">
        <v>1.1830099999999724</v>
      </c>
      <c r="R82" s="10">
        <v>2.8744999999999532</v>
      </c>
      <c r="T82" s="10">
        <v>2.13250000000003</v>
      </c>
      <c r="U82" s="10">
        <v>1.1819999999999333E-2</v>
      </c>
      <c r="V82" s="10">
        <v>1.1599999999999582</v>
      </c>
      <c r="W82" s="10">
        <v>3.8040000000000386E-2</v>
      </c>
      <c r="X82" s="10">
        <v>1.0199999999986502</v>
      </c>
      <c r="Z82" s="10">
        <v>2.6739999999712483</v>
      </c>
      <c r="AA82" s="10">
        <v>0.97900000000012644</v>
      </c>
      <c r="AB82" s="10">
        <v>3.4095000000004005</v>
      </c>
      <c r="AC82" s="10">
        <v>0.92300000000000293</v>
      </c>
      <c r="AE82" s="10">
        <v>0.88499999999991308</v>
      </c>
    </row>
    <row r="83" spans="1:31" x14ac:dyDescent="0.3">
      <c r="A83" s="8">
        <v>46195</v>
      </c>
      <c r="B83" s="10">
        <v>1.2529999999999974</v>
      </c>
      <c r="C83" s="8"/>
      <c r="D83" s="10">
        <v>1.1820000000000173</v>
      </c>
      <c r="E83">
        <v>141.9000000000014</v>
      </c>
      <c r="G83" s="10">
        <v>1.2920000000000176</v>
      </c>
      <c r="H83">
        <v>122.21000000000063</v>
      </c>
      <c r="I83" s="10">
        <v>1.2499999999999964</v>
      </c>
      <c r="K83" s="10">
        <v>1.1650000000000262</v>
      </c>
      <c r="N83">
        <v>115.89999999999915</v>
      </c>
      <c r="Q83" s="10">
        <v>1.1850000000000214</v>
      </c>
      <c r="R83" s="10">
        <v>2.8750000000000346</v>
      </c>
      <c r="T83" s="10">
        <v>2.1339999999999573</v>
      </c>
      <c r="U83" s="10">
        <v>1.1900000000000242E-2</v>
      </c>
      <c r="V83" s="10">
        <v>1.1650000000000262</v>
      </c>
      <c r="W83" s="10">
        <v>3.8054999999997466E-2</v>
      </c>
      <c r="X83" s="10">
        <v>1.0204999999983138</v>
      </c>
      <c r="Z83" s="10">
        <v>2.6749999999639651</v>
      </c>
      <c r="AA83" s="10">
        <v>0.96610000000000273</v>
      </c>
      <c r="AB83" s="10">
        <v>3.3999999999999901</v>
      </c>
      <c r="AC83" s="10">
        <v>0.92250000000004007</v>
      </c>
      <c r="AE83" s="10">
        <v>0.88999999999995505</v>
      </c>
    </row>
    <row r="84" spans="1:31" x14ac:dyDescent="0.3">
      <c r="A84" s="8">
        <v>46196</v>
      </c>
      <c r="B84" s="10">
        <v>1.2455600000000018</v>
      </c>
      <c r="C84" s="8"/>
      <c r="D84" s="10">
        <v>1.1750000000000003</v>
      </c>
      <c r="E84">
        <v>141.51899999999259</v>
      </c>
      <c r="G84" s="10">
        <v>1.286500000000089</v>
      </c>
      <c r="H84">
        <v>121.49999999999996</v>
      </c>
      <c r="I84" s="10">
        <v>1.245200000000007</v>
      </c>
      <c r="K84" s="10">
        <v>1.1600000000000272</v>
      </c>
      <c r="N84">
        <v>115.79999999999939</v>
      </c>
      <c r="Q84" s="10">
        <v>1.1839999999999786</v>
      </c>
      <c r="R84" s="10">
        <v>2.8720000000000208</v>
      </c>
      <c r="T84" s="10">
        <v>2.1239999999999735</v>
      </c>
      <c r="U84" s="10">
        <v>1.1844999999999828E-2</v>
      </c>
      <c r="V84" s="10">
        <v>1.1600000000000272</v>
      </c>
      <c r="W84" s="10">
        <v>3.7839999999999971E-2</v>
      </c>
      <c r="X84" s="10">
        <v>1.0199999999979668</v>
      </c>
      <c r="Z84" s="10">
        <v>2.6660000000001109</v>
      </c>
      <c r="AA84" s="10">
        <v>0.97900000000003429</v>
      </c>
      <c r="AB84" s="10">
        <v>3.3855000000001394</v>
      </c>
      <c r="AC84" s="10">
        <v>0.9166000000000325</v>
      </c>
      <c r="AE84" s="10">
        <v>0.88299999999999368</v>
      </c>
    </row>
    <row r="85" spans="1:31" x14ac:dyDescent="0.3">
      <c r="A85" s="8">
        <v>46197</v>
      </c>
      <c r="B85" s="10">
        <v>1.2460100000000016</v>
      </c>
      <c r="C85" s="8"/>
      <c r="D85" s="10">
        <v>1.1784699999999635</v>
      </c>
      <c r="E85">
        <v>141.34999999999647</v>
      </c>
      <c r="G85" s="10">
        <v>1.2860000000000162</v>
      </c>
      <c r="H85">
        <v>121.52400000000232</v>
      </c>
      <c r="I85" s="10">
        <v>1.2446900000000436</v>
      </c>
      <c r="K85" s="10">
        <v>1.157499999999964</v>
      </c>
      <c r="N85">
        <v>115.85000000000105</v>
      </c>
      <c r="Q85" s="10">
        <v>1.1837999999999966</v>
      </c>
      <c r="R85" s="10">
        <v>2.8734999999999986</v>
      </c>
      <c r="T85" s="10">
        <v>2.1180000000001002</v>
      </c>
      <c r="U85" s="10">
        <v>1.1675000000000008E-2</v>
      </c>
      <c r="V85" s="10">
        <v>1.157499999999964</v>
      </c>
      <c r="W85" s="10">
        <v>3.7659999999995392E-2</v>
      </c>
      <c r="X85" s="10">
        <v>1.0164999999965232</v>
      </c>
      <c r="Z85" s="10">
        <v>2.6600000000001049</v>
      </c>
      <c r="AA85" s="10">
        <v>0.98500000000000587</v>
      </c>
      <c r="AB85" s="10">
        <v>3.3774999999999604</v>
      </c>
      <c r="AC85" s="10">
        <v>0.91600000000001969</v>
      </c>
      <c r="AE85" s="10">
        <v>0.88050000000004847</v>
      </c>
    </row>
    <row r="86" spans="1:31" x14ac:dyDescent="0.3">
      <c r="A86" s="8">
        <v>46198</v>
      </c>
      <c r="B86" s="10">
        <v>1.2504900000000061</v>
      </c>
      <c r="C86" s="8"/>
      <c r="D86" s="10">
        <v>1.1760000000000139</v>
      </c>
      <c r="E86">
        <v>141.19999999999828</v>
      </c>
      <c r="G86" s="10">
        <v>1.2879999999999736</v>
      </c>
      <c r="H86">
        <v>121.79000000000353</v>
      </c>
      <c r="I86" s="10">
        <v>1.2294999999999572</v>
      </c>
      <c r="K86" s="10">
        <v>1.1540000000000674</v>
      </c>
      <c r="N86">
        <v>115.90000000000144</v>
      </c>
      <c r="Q86" s="10">
        <v>1.1825000000000259</v>
      </c>
      <c r="R86" s="10">
        <v>2.8699999999999513</v>
      </c>
      <c r="T86" s="10">
        <v>2.1140000000000034</v>
      </c>
      <c r="U86" s="10">
        <v>1.1700000000000288E-2</v>
      </c>
      <c r="V86" s="10">
        <v>1.1540000000000674</v>
      </c>
      <c r="W86" s="10">
        <v>3.7559999999994563E-2</v>
      </c>
      <c r="X86" s="10">
        <v>1.013499999994584</v>
      </c>
      <c r="Z86" s="10">
        <v>2.6560000000000348</v>
      </c>
      <c r="AA86" s="10">
        <v>0.9805999999999756</v>
      </c>
      <c r="AB86" s="10">
        <v>3.3649999999997346</v>
      </c>
      <c r="AC86" s="10">
        <v>0.91399999999994463</v>
      </c>
      <c r="AE86" s="10">
        <v>0.87580000000004465</v>
      </c>
    </row>
    <row r="87" spans="1:31" x14ac:dyDescent="0.3">
      <c r="A87" s="8">
        <v>46199</v>
      </c>
      <c r="B87" s="10">
        <v>1.2505999999999682</v>
      </c>
      <c r="C87" s="8"/>
      <c r="D87" s="10">
        <v>1.1811000000000313</v>
      </c>
      <c r="E87">
        <v>141.60000000000085</v>
      </c>
      <c r="G87" s="10">
        <v>1.2909999999999757</v>
      </c>
      <c r="H87">
        <v>122.80000000000007</v>
      </c>
      <c r="I87" s="10">
        <v>1.2249999999999914</v>
      </c>
      <c r="K87" s="10">
        <v>1.1580000000000199</v>
      </c>
      <c r="N87">
        <v>116.19999999999844</v>
      </c>
      <c r="Q87" s="10">
        <v>1.1854999999999942</v>
      </c>
      <c r="R87" s="10">
        <v>2.8749999999999964</v>
      </c>
      <c r="T87" s="10">
        <v>2.1250000000000626</v>
      </c>
      <c r="U87" s="10">
        <v>1.1665000000000253E-2</v>
      </c>
      <c r="V87" s="10">
        <v>1.1580000000000199</v>
      </c>
      <c r="W87" s="10">
        <v>3.7524999999993189E-2</v>
      </c>
      <c r="X87" s="10">
        <v>1.0159999999955038</v>
      </c>
      <c r="Z87" s="10">
        <v>2.6675000000001008</v>
      </c>
      <c r="AA87" s="10">
        <v>0.97220000000006379</v>
      </c>
      <c r="AB87" s="10">
        <v>3.3785000000001033</v>
      </c>
      <c r="AC87" s="10">
        <v>0.91899999999999127</v>
      </c>
      <c r="AE87" s="10">
        <v>0.89150000000002816</v>
      </c>
    </row>
    <row r="88" spans="1:31" x14ac:dyDescent="0.3">
      <c r="A88" s="8">
        <v>46202</v>
      </c>
      <c r="B88" s="10">
        <v>1.2550199999999838</v>
      </c>
      <c r="C88" s="8"/>
      <c r="D88" s="10">
        <v>1.1855500000000281</v>
      </c>
      <c r="E88">
        <v>142.25000000000114</v>
      </c>
      <c r="G88" s="10">
        <v>1.2983899999999551</v>
      </c>
      <c r="H88">
        <v>122.85000000000015</v>
      </c>
      <c r="I88" s="10">
        <v>1.2374999999999325</v>
      </c>
      <c r="K88" s="10">
        <v>1.1645000000000396</v>
      </c>
      <c r="N88">
        <v>116.19999999999891</v>
      </c>
      <c r="Q88" s="10">
        <v>1.1876999999999795</v>
      </c>
      <c r="R88" s="10">
        <v>2.8819999999999606</v>
      </c>
      <c r="T88" s="10">
        <v>2.1275000000000284</v>
      </c>
      <c r="U88" s="10">
        <v>1.1750000000000045E-2</v>
      </c>
      <c r="V88" s="10">
        <v>1.1645000000000396</v>
      </c>
      <c r="W88" s="10">
        <v>3.770999999999429E-2</v>
      </c>
      <c r="X88" s="10">
        <v>1.0189999999953432</v>
      </c>
      <c r="Z88" s="10">
        <v>2.6649999999998717</v>
      </c>
      <c r="AA88" s="10">
        <v>0.95950000000005586</v>
      </c>
      <c r="AB88" s="10">
        <v>3.3820000000001635</v>
      </c>
      <c r="AC88" s="10">
        <v>0.91749999999984455</v>
      </c>
      <c r="AE88" s="10">
        <v>0.88239999999987528</v>
      </c>
    </row>
    <row r="89" spans="1:31" x14ac:dyDescent="0.3">
      <c r="A89" s="8">
        <v>46203</v>
      </c>
      <c r="B89" s="10">
        <v>1.2570000000000041</v>
      </c>
      <c r="C89" s="10">
        <v>1.0064499999999996</v>
      </c>
      <c r="D89" s="10">
        <v>1.1890000000000192</v>
      </c>
      <c r="E89">
        <v>142.84000000000216</v>
      </c>
      <c r="G89" s="10">
        <v>1.3018899999999989</v>
      </c>
      <c r="H89">
        <v>123.05999999999922</v>
      </c>
      <c r="I89" s="10">
        <v>1.2564499999999315</v>
      </c>
      <c r="K89" s="10">
        <v>1.1629999999999696</v>
      </c>
      <c r="N89">
        <v>116.49999999999818</v>
      </c>
      <c r="O89">
        <v>101.69999999999537</v>
      </c>
      <c r="Q89" s="10">
        <v>1.1890000000000207</v>
      </c>
      <c r="R89" s="10">
        <v>2.8850000000000522</v>
      </c>
      <c r="T89" s="10">
        <v>2.1285000000000052</v>
      </c>
      <c r="U89" s="10">
        <v>1.1815000000000041E-2</v>
      </c>
      <c r="V89" s="10">
        <v>1.1629999999999696</v>
      </c>
      <c r="W89" s="10">
        <v>3.7769999999996383E-2</v>
      </c>
      <c r="X89" s="10">
        <v>1.0199999999955669</v>
      </c>
      <c r="Y89" s="10">
        <v>0.9219999999999855</v>
      </c>
      <c r="Z89" s="10">
        <v>2.6700000000002753</v>
      </c>
      <c r="AA89" s="10">
        <v>0.95599999999999807</v>
      </c>
      <c r="AB89" s="10">
        <v>3.377000000000383</v>
      </c>
      <c r="AC89" s="10">
        <v>0.91950000000003063</v>
      </c>
      <c r="AD89" s="10">
        <v>0.81929999999999614</v>
      </c>
      <c r="AE89" s="10">
        <v>0.87979999999992531</v>
      </c>
    </row>
    <row r="90" spans="1:31" x14ac:dyDescent="0.3">
      <c r="A90" s="8">
        <v>46204</v>
      </c>
      <c r="B90" s="10">
        <v>1.2580000000000116</v>
      </c>
      <c r="C90" s="10">
        <v>1.0078999999999911</v>
      </c>
      <c r="D90" s="10">
        <v>1.1880000000000264</v>
      </c>
      <c r="E90">
        <v>143.00000000000205</v>
      </c>
      <c r="G90" s="10">
        <v>1.3029000000000499</v>
      </c>
      <c r="H90">
        <v>123.69999999999912</v>
      </c>
      <c r="I90" s="10">
        <v>1.248000000000012</v>
      </c>
      <c r="K90" s="10">
        <v>1.1630000000000142</v>
      </c>
      <c r="N90">
        <v>116.14999999999726</v>
      </c>
      <c r="O90">
        <v>101.59999999998949</v>
      </c>
      <c r="Q90" s="10">
        <v>1.1889999999999905</v>
      </c>
      <c r="R90" s="10">
        <v>2.8864999999999661</v>
      </c>
      <c r="T90" s="10">
        <v>2.1290000000000497</v>
      </c>
      <c r="U90" s="10">
        <v>1.1785000000000299E-2</v>
      </c>
      <c r="V90" s="10">
        <v>1.1630000000000142</v>
      </c>
      <c r="W90" s="10">
        <v>3.7699999999995494E-2</v>
      </c>
      <c r="X90" s="10">
        <v>1.0199999999950979</v>
      </c>
      <c r="Y90" s="10">
        <v>0.92349999999996124</v>
      </c>
      <c r="Z90" s="10">
        <v>2.6659999999997073</v>
      </c>
      <c r="AA90" s="10">
        <v>0.95749999999991953</v>
      </c>
      <c r="AB90" s="10">
        <v>3.3800000000000519</v>
      </c>
      <c r="AC90" s="10">
        <v>0.91759999999996911</v>
      </c>
      <c r="AD90" s="10">
        <v>0.82090000000003482</v>
      </c>
      <c r="AE90" s="10">
        <v>0.88000000000002121</v>
      </c>
    </row>
    <row r="91" spans="1:31" x14ac:dyDescent="0.3">
      <c r="A91" s="8">
        <v>46205</v>
      </c>
      <c r="B91" s="10">
        <v>1.2579999999999807</v>
      </c>
      <c r="C91" s="10">
        <v>1.0085499999999785</v>
      </c>
      <c r="D91" s="10">
        <v>1.1879999999999871</v>
      </c>
      <c r="E91">
        <v>143.24899999999764</v>
      </c>
      <c r="G91" s="10">
        <v>1.305500000000015</v>
      </c>
      <c r="H91">
        <v>123.44999999999722</v>
      </c>
      <c r="I91" s="10">
        <v>1.2519999999999423</v>
      </c>
      <c r="K91" s="10">
        <v>1.163000000000006</v>
      </c>
      <c r="N91">
        <v>116.20000000000172</v>
      </c>
      <c r="O91">
        <v>101.69999999998738</v>
      </c>
      <c r="Q91" s="10">
        <v>1.1906999999999592</v>
      </c>
      <c r="R91" s="10">
        <v>2.8924999999999415</v>
      </c>
      <c r="T91" s="10">
        <v>2.1309999999999643</v>
      </c>
      <c r="U91" s="10">
        <v>1.1875000000000007E-2</v>
      </c>
      <c r="V91" s="10">
        <v>1.163000000000006</v>
      </c>
      <c r="W91" s="10">
        <v>3.7789999999993489E-2</v>
      </c>
      <c r="X91" s="10">
        <v>1.0219999999957701</v>
      </c>
      <c r="Y91" s="10">
        <v>0.92599999999032934</v>
      </c>
      <c r="Z91" s="10">
        <v>2.6629999999998644</v>
      </c>
      <c r="AA91" s="10">
        <v>0.96200000000008101</v>
      </c>
      <c r="AB91" s="10">
        <v>3.3874999999997324</v>
      </c>
      <c r="AC91" s="10">
        <v>0.92099999999993198</v>
      </c>
      <c r="AD91" s="10">
        <v>0.82199999999995554</v>
      </c>
      <c r="AE91" s="10">
        <v>0.88149999999999229</v>
      </c>
    </row>
    <row r="92" spans="1:31" x14ac:dyDescent="0.3">
      <c r="A92" s="8">
        <v>46206</v>
      </c>
      <c r="B92" s="10">
        <v>1.2606000000000146</v>
      </c>
      <c r="C92" s="10">
        <v>1.012290000000021</v>
      </c>
      <c r="D92" s="10">
        <v>1.1904999999999952</v>
      </c>
      <c r="E92">
        <v>143.99999999999963</v>
      </c>
      <c r="G92" s="10">
        <v>1.3100000000000049</v>
      </c>
      <c r="H92">
        <v>123.609999999994</v>
      </c>
      <c r="I92" s="10">
        <v>1.2560000000000466</v>
      </c>
      <c r="K92" s="10">
        <v>1.1649999999999661</v>
      </c>
      <c r="N92">
        <v>116.54999999999748</v>
      </c>
      <c r="O92">
        <v>102.29999999999512</v>
      </c>
      <c r="Q92" s="10">
        <v>1.1941200000000296</v>
      </c>
      <c r="R92" s="10">
        <v>2.899500000000097</v>
      </c>
      <c r="T92" s="10">
        <v>2.1400000000000134</v>
      </c>
      <c r="U92" s="10">
        <v>1.1845000000000234E-2</v>
      </c>
      <c r="V92" s="10">
        <v>1.1649999999999661</v>
      </c>
      <c r="W92" s="10">
        <v>3.8045000000000079E-2</v>
      </c>
      <c r="X92" s="10">
        <v>1.0279999999973501</v>
      </c>
      <c r="Y92" s="10">
        <v>0.93099999999321892</v>
      </c>
      <c r="Z92" s="10">
        <v>2.6749999999999097</v>
      </c>
      <c r="AA92" s="10">
        <v>0.96499999999999686</v>
      </c>
      <c r="AB92" s="10">
        <v>3.4099999999997719</v>
      </c>
      <c r="AC92" s="10">
        <v>0.92599999999999694</v>
      </c>
      <c r="AD92" s="10">
        <v>0.82650000000001145</v>
      </c>
      <c r="AE92" s="10">
        <v>0.88239999999999286</v>
      </c>
    </row>
    <row r="93" spans="1:31" x14ac:dyDescent="0.3">
      <c r="A93" s="8">
        <v>46209</v>
      </c>
      <c r="B93" s="10">
        <v>1.2625200000000136</v>
      </c>
      <c r="C93" s="10">
        <v>1.0138500000000277</v>
      </c>
      <c r="D93" s="10">
        <v>1.1909999999999537</v>
      </c>
      <c r="E93">
        <v>143.20000000000056</v>
      </c>
      <c r="G93" s="10">
        <v>1.3119999999999485</v>
      </c>
      <c r="H93">
        <v>123.99900000000123</v>
      </c>
      <c r="I93" s="10">
        <v>1.2590000000000168</v>
      </c>
      <c r="K93" s="10">
        <v>1.1614999999999771</v>
      </c>
      <c r="N93">
        <v>116.60000000000039</v>
      </c>
      <c r="O93">
        <v>102.49999999999355</v>
      </c>
      <c r="Q93" s="10">
        <v>1.1967499999999733</v>
      </c>
      <c r="R93" s="10">
        <v>2.9024999999999057</v>
      </c>
      <c r="T93" s="10">
        <v>2.1440000000000494</v>
      </c>
      <c r="U93" s="10">
        <v>1.1884999999999668E-2</v>
      </c>
      <c r="V93" s="10">
        <v>1.1614999999999771</v>
      </c>
      <c r="W93" s="10">
        <v>3.8280000000001452E-2</v>
      </c>
      <c r="X93" s="10">
        <v>1.0299999999977176</v>
      </c>
      <c r="Y93" s="10">
        <v>0.93299999999415884</v>
      </c>
      <c r="Z93" s="10">
        <v>2.6834999999999387</v>
      </c>
      <c r="AA93" s="10">
        <v>0.96899999999991726</v>
      </c>
      <c r="AB93" s="10">
        <v>3.4244999999999446</v>
      </c>
      <c r="AC93" s="10">
        <v>0.92999999999991556</v>
      </c>
      <c r="AD93" s="10">
        <v>0.83149999999991864</v>
      </c>
      <c r="AE93" s="10">
        <v>0.88549999999985773</v>
      </c>
    </row>
    <row r="94" spans="1:31" x14ac:dyDescent="0.3">
      <c r="A94" s="8">
        <v>46210</v>
      </c>
      <c r="B94" s="10">
        <v>1.2635000000000172</v>
      </c>
      <c r="C94" s="10">
        <v>1.0143999999999784</v>
      </c>
      <c r="D94" s="10">
        <v>1.1910999999999721</v>
      </c>
      <c r="E94">
        <v>144.1999999999997</v>
      </c>
      <c r="G94" s="10">
        <v>1.313100000000033</v>
      </c>
      <c r="H94">
        <v>124.49999999999707</v>
      </c>
      <c r="I94" s="10">
        <v>1.2650000000000547</v>
      </c>
      <c r="K94" s="10">
        <v>1.1689999999999841</v>
      </c>
      <c r="N94">
        <v>116.64999999999654</v>
      </c>
      <c r="O94">
        <v>102.79999999999593</v>
      </c>
      <c r="Q94" s="10">
        <v>1.1960000000000157</v>
      </c>
      <c r="R94" s="10">
        <v>2.9044999999999681</v>
      </c>
      <c r="T94" s="10">
        <v>2.1469999999999589</v>
      </c>
      <c r="U94" s="10">
        <v>1.1879999999999882E-2</v>
      </c>
      <c r="V94" s="10">
        <v>1.1689999999999841</v>
      </c>
      <c r="W94" s="10">
        <v>3.8329999999999434E-2</v>
      </c>
      <c r="X94" s="10">
        <v>1.0324999999982158</v>
      </c>
      <c r="Y94" s="10">
        <v>0.93439999999475076</v>
      </c>
      <c r="Z94" s="10">
        <v>2.6884999999998302</v>
      </c>
      <c r="AA94" s="10">
        <v>0.9690000000000184</v>
      </c>
      <c r="AB94" s="10">
        <v>3.425000000000257</v>
      </c>
      <c r="AC94" s="10">
        <v>0.93139999999994405</v>
      </c>
      <c r="AD94" s="10">
        <v>0.83150000000007585</v>
      </c>
      <c r="AE94" s="10">
        <v>0.88599999999983892</v>
      </c>
    </row>
    <row r="95" spans="1:31" x14ac:dyDescent="0.3">
      <c r="A95" s="8">
        <v>46211</v>
      </c>
      <c r="B95" s="10">
        <v>1.2649999999999846</v>
      </c>
      <c r="C95" s="10">
        <v>1.0154999999999981</v>
      </c>
      <c r="D95" s="10">
        <v>1.1954800000000181</v>
      </c>
      <c r="E95">
        <v>143.9999999999992</v>
      </c>
      <c r="G95" s="10">
        <v>1.3150000000000088</v>
      </c>
      <c r="H95">
        <v>124.70100000000406</v>
      </c>
      <c r="I95" s="10">
        <v>1.267500000000092</v>
      </c>
      <c r="K95" s="10">
        <v>1.1689999999999485</v>
      </c>
      <c r="N95">
        <v>117.04999999999713</v>
      </c>
      <c r="O95">
        <v>102.89999999999743</v>
      </c>
      <c r="Q95" s="10">
        <v>1.1994999999999825</v>
      </c>
      <c r="R95" s="10">
        <v>2.9120000000000097</v>
      </c>
      <c r="T95" s="10">
        <v>2.1520000000000112</v>
      </c>
      <c r="U95" s="10">
        <v>1.1800000000000175E-2</v>
      </c>
      <c r="V95" s="10">
        <v>1.1689999999999485</v>
      </c>
      <c r="W95" s="10">
        <v>3.8399999999999886E-2</v>
      </c>
      <c r="X95" s="10">
        <v>1.0324999999980244</v>
      </c>
      <c r="Y95" s="10">
        <v>0.93399999999394967</v>
      </c>
      <c r="Z95" s="10">
        <v>2.6919999999998119</v>
      </c>
      <c r="AA95" s="10">
        <v>0.97200000000005926</v>
      </c>
      <c r="AB95" s="10">
        <v>3.4335000000000262</v>
      </c>
      <c r="AC95" s="10">
        <v>0.93299999999993388</v>
      </c>
      <c r="AD95" s="10">
        <v>0.83549999999998614</v>
      </c>
      <c r="AE95" s="10">
        <v>0.89390000000004877</v>
      </c>
    </row>
    <row r="96" spans="1:31" x14ac:dyDescent="0.3">
      <c r="A96" s="8">
        <v>46213</v>
      </c>
      <c r="B96" s="10">
        <v>1.2699999999993732</v>
      </c>
      <c r="C96" s="10">
        <v>1.016500000000002</v>
      </c>
      <c r="D96" s="10">
        <v>1.1984999999999846</v>
      </c>
      <c r="E96">
        <v>144.39999999999878</v>
      </c>
      <c r="G96" s="10">
        <v>1.315500000000043</v>
      </c>
      <c r="H96">
        <v>125.99999999999356</v>
      </c>
      <c r="I96" s="10">
        <v>1.2749999999999952</v>
      </c>
      <c r="K96" s="10">
        <v>1.1789999999999943</v>
      </c>
      <c r="N96">
        <v>118.95000000000233</v>
      </c>
      <c r="O96">
        <v>103.99999999999206</v>
      </c>
      <c r="Q96" s="10">
        <v>1.2011199999999851</v>
      </c>
      <c r="R96" s="10">
        <v>2.9055000000000111</v>
      </c>
      <c r="T96" s="10">
        <v>2.1604999999999515</v>
      </c>
      <c r="U96" s="10">
        <v>0</v>
      </c>
      <c r="V96" s="10">
        <v>1.1789999999999943</v>
      </c>
      <c r="W96" s="10">
        <v>3.8379999999999852E-2</v>
      </c>
      <c r="X96" s="10">
        <v>1.0384999999991107</v>
      </c>
      <c r="Y96" s="10">
        <v>0.97650000000004933</v>
      </c>
      <c r="Z96" s="10">
        <v>2.6945000000000126</v>
      </c>
      <c r="AA96" s="10">
        <v>0.98000000000005105</v>
      </c>
      <c r="AB96" s="10">
        <v>3.4324999999998727</v>
      </c>
      <c r="AC96" s="10">
        <v>0.92949999999998834</v>
      </c>
      <c r="AD96" s="10">
        <v>0.8369999999999479</v>
      </c>
      <c r="AE96" s="10">
        <v>0.88859999999997408</v>
      </c>
    </row>
    <row r="97" spans="1:31" x14ac:dyDescent="0.3">
      <c r="A97" s="8">
        <v>46216</v>
      </c>
      <c r="B97" s="10">
        <v>1.2665000000000095</v>
      </c>
      <c r="C97" s="10">
        <v>1.0155999999999992</v>
      </c>
      <c r="D97" s="10">
        <v>1.1938999999999635</v>
      </c>
      <c r="E97">
        <v>144.31999999999823</v>
      </c>
      <c r="G97" s="10">
        <v>1.3159999999999892</v>
      </c>
      <c r="H97">
        <v>124.50000000000504</v>
      </c>
      <c r="I97" s="10">
        <v>1.2680999999999947</v>
      </c>
      <c r="K97" s="10">
        <v>1.1680000000000168</v>
      </c>
      <c r="N97">
        <v>117.00000000000126</v>
      </c>
      <c r="O97">
        <v>102.8999999999991</v>
      </c>
      <c r="Q97" s="10">
        <v>1.1989999999999967</v>
      </c>
      <c r="R97" s="10">
        <v>2.9129999999999607</v>
      </c>
      <c r="T97" s="10">
        <v>2.153999999999979</v>
      </c>
      <c r="U97" s="10">
        <v>1.190000000000061E-2</v>
      </c>
      <c r="V97" s="10">
        <v>1.1680000000000168</v>
      </c>
      <c r="W97" s="10">
        <v>3.8379999999999442E-2</v>
      </c>
      <c r="X97" s="10">
        <v>1.028999999996713</v>
      </c>
      <c r="Y97" s="10">
        <v>0.93399999999355987</v>
      </c>
      <c r="Z97" s="10">
        <v>2.6840000000000597</v>
      </c>
      <c r="AA97" s="10">
        <v>0.9775000000001165</v>
      </c>
      <c r="AB97" s="10">
        <v>3.4274999999996716</v>
      </c>
      <c r="AC97" s="10">
        <v>0.92799999999983196</v>
      </c>
      <c r="AD97" s="10">
        <v>0.83550000000005842</v>
      </c>
      <c r="AE97" s="10">
        <v>0.89470000000003491</v>
      </c>
    </row>
    <row r="98" spans="1:31" x14ac:dyDescent="0.3">
      <c r="A98" s="8">
        <v>46217</v>
      </c>
      <c r="B98" s="10">
        <v>1.2675000000000085</v>
      </c>
      <c r="C98" s="10">
        <v>1.0166499999999914</v>
      </c>
      <c r="D98" s="10">
        <v>1.1926200000000151</v>
      </c>
      <c r="E98">
        <v>144.04999999999967</v>
      </c>
      <c r="G98" s="10">
        <v>1.3155000000000272</v>
      </c>
      <c r="H98">
        <v>124.43900000000487</v>
      </c>
      <c r="I98" s="10">
        <v>1.2689899999999412</v>
      </c>
      <c r="K98" s="10">
        <v>1.1679999999999691</v>
      </c>
      <c r="N98">
        <v>117.10000000000029</v>
      </c>
      <c r="O98">
        <v>103.00000000000003</v>
      </c>
      <c r="Q98" s="10">
        <v>1.1994999999999936</v>
      </c>
      <c r="R98" s="10">
        <v>2.9164999999999996</v>
      </c>
      <c r="T98" s="10">
        <v>2.1544999999999614</v>
      </c>
      <c r="U98" s="10">
        <v>1.1894999999999463E-2</v>
      </c>
      <c r="V98" s="10">
        <v>1.1679999999999691</v>
      </c>
      <c r="W98" s="10">
        <v>3.8444999999997322E-2</v>
      </c>
      <c r="X98" s="10">
        <v>1.0304999999964952</v>
      </c>
      <c r="Y98" s="10">
        <v>0.93349999999148736</v>
      </c>
      <c r="Z98" s="10">
        <v>2.684500000000154</v>
      </c>
      <c r="AA98" s="10">
        <v>0.96999999999995734</v>
      </c>
      <c r="AB98" s="10">
        <v>3.43099999999977</v>
      </c>
      <c r="AC98" s="10">
        <v>0.93000000000002325</v>
      </c>
      <c r="AD98" s="10">
        <v>0.83599999999995656</v>
      </c>
      <c r="AE98" s="10">
        <v>0.89149999999992713</v>
      </c>
    </row>
    <row r="99" spans="1:31" x14ac:dyDescent="0.3">
      <c r="A99" s="8">
        <v>46218</v>
      </c>
      <c r="B99" s="10">
        <v>1.2694999999993613</v>
      </c>
      <c r="C99" s="10">
        <v>1.0172599999999858</v>
      </c>
      <c r="D99" s="10">
        <v>1.1969999999999694</v>
      </c>
      <c r="E99">
        <v>144.35000000000323</v>
      </c>
      <c r="G99" s="10">
        <v>1.3170000000000386</v>
      </c>
      <c r="H99">
        <v>124.44999999999176</v>
      </c>
      <c r="I99" s="10">
        <v>1.2750000000000268</v>
      </c>
      <c r="K99" s="10">
        <v>1.172000000000011</v>
      </c>
      <c r="N99">
        <v>117.10000000000097</v>
      </c>
      <c r="O99">
        <v>103.75000000000189</v>
      </c>
      <c r="Q99" s="10">
        <v>1.1987100000000031</v>
      </c>
      <c r="R99" s="10">
        <v>2.9200000000000141</v>
      </c>
      <c r="T99" s="10">
        <v>2.1559999999999717</v>
      </c>
      <c r="U99" s="10">
        <v>1.1910000000000141E-2</v>
      </c>
      <c r="V99" s="10">
        <v>1.172000000000011</v>
      </c>
      <c r="W99" s="10">
        <v>3.8474999999999662E-2</v>
      </c>
      <c r="X99" s="10">
        <v>1.0379999999984542</v>
      </c>
      <c r="Y99" s="10">
        <v>0.93799999999463057</v>
      </c>
      <c r="Z99" s="10">
        <v>2.682999999999987</v>
      </c>
      <c r="AA99" s="10">
        <v>0.96709999999998653</v>
      </c>
      <c r="AB99" s="10">
        <v>3.4424999999997805</v>
      </c>
      <c r="AC99" s="10">
        <v>0.9327000000000093</v>
      </c>
      <c r="AD99" s="10">
        <v>0.83949999999993052</v>
      </c>
      <c r="AE99" s="10">
        <v>0.89850000000000863</v>
      </c>
    </row>
    <row r="100" spans="1:31" x14ac:dyDescent="0.3">
      <c r="A100" s="8">
        <v>46219</v>
      </c>
      <c r="B100" s="10">
        <v>1.2665100000000091</v>
      </c>
      <c r="C100" s="10">
        <v>1.0177000000000003</v>
      </c>
      <c r="D100" s="10">
        <v>1.1926299999999901</v>
      </c>
      <c r="E100">
        <v>143.79999999999671</v>
      </c>
      <c r="G100" s="10">
        <v>1.3149899999999441</v>
      </c>
      <c r="H100">
        <v>124.31999999999903</v>
      </c>
      <c r="I100" s="10">
        <v>1.2700000000000005</v>
      </c>
      <c r="K100" s="10">
        <v>1.1679999999999908</v>
      </c>
      <c r="N100">
        <v>116.95000000000159</v>
      </c>
      <c r="O100">
        <v>103.29999999999767</v>
      </c>
      <c r="Q100" s="10">
        <v>1.201399999999996</v>
      </c>
      <c r="R100" s="10">
        <v>2.9200000000000079</v>
      </c>
      <c r="T100" s="10">
        <v>2.1534999999999349</v>
      </c>
      <c r="U100" s="10">
        <v>1.1904999999999628E-2</v>
      </c>
      <c r="V100" s="10">
        <v>1.1679999999999908</v>
      </c>
      <c r="W100" s="10">
        <v>3.8449999999996029E-2</v>
      </c>
      <c r="X100" s="10">
        <v>1.0339999999972513</v>
      </c>
      <c r="Y100" s="10">
        <v>0.93599999999255534</v>
      </c>
      <c r="Z100" s="10">
        <v>2.6844999999999133</v>
      </c>
      <c r="AA100" s="10">
        <v>0.9690000000001302</v>
      </c>
      <c r="AB100" s="10">
        <v>3.4309999999998464</v>
      </c>
      <c r="AC100" s="10">
        <v>0.93299999999995964</v>
      </c>
      <c r="AD100" s="10">
        <v>0.83800000000001118</v>
      </c>
      <c r="AE100" s="10">
        <v>0.8930000000000422</v>
      </c>
    </row>
    <row r="101" spans="1:31" x14ac:dyDescent="0.3">
      <c r="A101" s="8">
        <v>46220</v>
      </c>
      <c r="B101" s="10">
        <v>1.2724999999995894</v>
      </c>
      <c r="C101" s="10">
        <v>1.0206000000000122</v>
      </c>
      <c r="D101" s="10">
        <v>1.196399999999985</v>
      </c>
      <c r="E101">
        <v>144.34000000000395</v>
      </c>
      <c r="G101" s="10">
        <v>1.3171999999999926</v>
      </c>
      <c r="H101">
        <v>124.45000000000191</v>
      </c>
      <c r="I101" s="10">
        <v>1.2618999999999929</v>
      </c>
      <c r="K101" s="10">
        <v>1.1649999999999787</v>
      </c>
      <c r="N101">
        <v>117.19999999999719</v>
      </c>
      <c r="O101">
        <v>103.09999999999906</v>
      </c>
      <c r="Q101" s="10">
        <v>1.2036000000000011</v>
      </c>
      <c r="R101" s="10">
        <v>2.9250000000000331</v>
      </c>
      <c r="T101" s="10">
        <v>2.1569999999999609</v>
      </c>
      <c r="U101" s="10">
        <v>1.1945000000000174E-2</v>
      </c>
      <c r="V101" s="10">
        <v>1.1649999999999787</v>
      </c>
      <c r="W101" s="10">
        <v>3.8449999999998777E-2</v>
      </c>
      <c r="X101" s="10">
        <v>1.0354999999974821</v>
      </c>
      <c r="Y101" s="10">
        <v>0.93599999999202155</v>
      </c>
      <c r="Z101" s="10">
        <v>2.6870000000000314</v>
      </c>
      <c r="AA101" s="10">
        <v>0.97350000000004566</v>
      </c>
      <c r="AB101" s="10">
        <v>3.4405000000002217</v>
      </c>
      <c r="AC101" s="10">
        <v>0.93460000000008125</v>
      </c>
      <c r="AD101" s="10">
        <v>0.84099999999989916</v>
      </c>
      <c r="AE101" s="10">
        <v>0.89889999999984638</v>
      </c>
    </row>
    <row r="102" spans="1:31" x14ac:dyDescent="0.3">
      <c r="A102" s="8">
        <v>46223</v>
      </c>
      <c r="B102" s="10">
        <v>1.2736899999996396</v>
      </c>
      <c r="C102" s="10">
        <v>1.0211899999999996</v>
      </c>
      <c r="D102" s="10">
        <v>1.1967900000000185</v>
      </c>
      <c r="E102">
        <v>144.20000000000377</v>
      </c>
      <c r="G102" s="10">
        <v>1.3159999999999488</v>
      </c>
      <c r="H102">
        <v>124.3700000000004</v>
      </c>
      <c r="I102" s="10">
        <v>1.25999999999999</v>
      </c>
      <c r="K102" s="10">
        <v>1.1709999999999652</v>
      </c>
      <c r="N102">
        <v>117.20000000000171</v>
      </c>
      <c r="O102">
        <v>103.15000000000003</v>
      </c>
      <c r="Q102" s="10">
        <v>1.2069999999999925</v>
      </c>
      <c r="R102" s="10">
        <v>2.927999999999948</v>
      </c>
      <c r="T102" s="10">
        <v>2.160499999999983</v>
      </c>
      <c r="U102" s="10">
        <v>1.1905000000000096E-2</v>
      </c>
      <c r="V102" s="10">
        <v>1.1709999999999652</v>
      </c>
      <c r="W102" s="10">
        <v>3.8524999999998012E-2</v>
      </c>
      <c r="X102" s="10">
        <v>1.0369999999977795</v>
      </c>
      <c r="Y102" s="10">
        <v>0.93949999999430611</v>
      </c>
      <c r="Z102" s="10">
        <v>2.6949999999997654</v>
      </c>
      <c r="AA102" s="10">
        <v>0.97349999999998815</v>
      </c>
      <c r="AB102" s="10">
        <v>3.4485000000000512</v>
      </c>
      <c r="AC102" s="10">
        <v>0.93600000000002803</v>
      </c>
      <c r="AD102" s="10">
        <v>0.84199999999995556</v>
      </c>
      <c r="AE102" s="10">
        <v>0.8969999999999787</v>
      </c>
    </row>
    <row r="103" spans="1:31" x14ac:dyDescent="0.3">
      <c r="A103" s="8">
        <v>46224</v>
      </c>
      <c r="B103" s="10">
        <v>1.2749999999997212</v>
      </c>
      <c r="C103" s="10">
        <v>1.0215000000000112</v>
      </c>
      <c r="D103" s="10">
        <v>1.1964299999999783</v>
      </c>
      <c r="E103">
        <v>143.99999999999886</v>
      </c>
      <c r="G103" s="10">
        <v>1.3161999999999969</v>
      </c>
      <c r="H103">
        <v>124.28999999999924</v>
      </c>
      <c r="I103" s="10">
        <v>1.2587999999999977</v>
      </c>
      <c r="K103" s="10">
        <v>1.1780000000000272</v>
      </c>
      <c r="N103">
        <v>117.39999999999964</v>
      </c>
      <c r="O103">
        <v>103.19999999999251</v>
      </c>
      <c r="Q103" s="10">
        <v>1.2069999999999925</v>
      </c>
      <c r="R103" s="10">
        <v>2.9310000000000196</v>
      </c>
      <c r="T103" s="10">
        <v>2.1634999999999223</v>
      </c>
      <c r="U103" s="10">
        <v>1.1940000000000539E-2</v>
      </c>
      <c r="V103" s="10">
        <v>1.1780000000000272</v>
      </c>
      <c r="W103" s="10">
        <v>3.8520000000000464E-2</v>
      </c>
      <c r="X103" s="10">
        <v>1.0384999999974887</v>
      </c>
      <c r="Y103" s="10">
        <v>0.93949999999274136</v>
      </c>
      <c r="Z103" s="10">
        <v>2.7040000000002467</v>
      </c>
      <c r="AA103" s="10">
        <v>0.97550000000001746</v>
      </c>
      <c r="AB103" s="10">
        <v>3.4490000000004164</v>
      </c>
      <c r="AC103" s="10">
        <v>0.93650000000001665</v>
      </c>
      <c r="AD103" s="10">
        <v>0.84249999999994774</v>
      </c>
      <c r="AE103" s="10">
        <v>0.89890000000015347</v>
      </c>
    </row>
    <row r="104" spans="1:31" x14ac:dyDescent="0.3">
      <c r="A104" s="8">
        <v>46225</v>
      </c>
      <c r="B104" s="10">
        <v>1.2724999999996076</v>
      </c>
      <c r="C104" s="10">
        <v>1.0211499999999962</v>
      </c>
      <c r="D104" s="10">
        <v>1.1965000000000026</v>
      </c>
      <c r="E104">
        <v>144.09999999999738</v>
      </c>
      <c r="G104" s="10">
        <v>1.3149800000000322</v>
      </c>
      <c r="H104">
        <v>124.0989999999983</v>
      </c>
      <c r="I104" s="10">
        <v>1.2564999999999862</v>
      </c>
      <c r="K104" s="10">
        <v>1.1789999999999383</v>
      </c>
      <c r="N104">
        <v>117.39999999999702</v>
      </c>
      <c r="O104">
        <v>103.39999999999921</v>
      </c>
      <c r="Q104" s="10">
        <v>1.207999999999998</v>
      </c>
      <c r="R104" s="10">
        <v>2.9335000000000422</v>
      </c>
      <c r="T104" s="10">
        <v>2.1644999999999488</v>
      </c>
      <c r="U104" s="10">
        <v>1.1959999999999964E-2</v>
      </c>
      <c r="V104" s="10">
        <v>1.1789999999999383</v>
      </c>
      <c r="W104" s="10">
        <v>3.8644999999999291E-2</v>
      </c>
      <c r="X104" s="10">
        <v>1.0394999999975985</v>
      </c>
      <c r="Y104" s="10">
        <v>0.94199999999415085</v>
      </c>
      <c r="Z104" s="10">
        <v>2.7085000000000656</v>
      </c>
      <c r="AA104" s="10">
        <v>0.97600000000000564</v>
      </c>
      <c r="AB104" s="10">
        <v>3.4519999999998765</v>
      </c>
      <c r="AC104" s="10">
        <v>0.93749999999998612</v>
      </c>
      <c r="AD104" s="10">
        <v>0.84500000000012077</v>
      </c>
      <c r="AE104" s="10">
        <v>0.90139999999999498</v>
      </c>
    </row>
    <row r="105" spans="1:31" x14ac:dyDescent="0.3">
      <c r="A105" s="8">
        <v>46226</v>
      </c>
      <c r="B105" s="10">
        <v>1.27449999999971</v>
      </c>
      <c r="C105" s="10">
        <v>1.0214499999999958</v>
      </c>
      <c r="D105" s="10">
        <v>1.1964999999999753</v>
      </c>
      <c r="E105">
        <v>144.13899999999774</v>
      </c>
      <c r="G105" s="10">
        <v>1.3127999999999656</v>
      </c>
      <c r="H105">
        <v>123.90000000000185</v>
      </c>
      <c r="I105" s="10">
        <v>1.2534999999999517</v>
      </c>
      <c r="K105" s="10">
        <v>1.1830000000000149</v>
      </c>
      <c r="N105">
        <v>117.59999999999798</v>
      </c>
      <c r="O105">
        <v>103.40000000000072</v>
      </c>
      <c r="Q105" s="10">
        <v>1.2095000000000156</v>
      </c>
      <c r="R105" s="10">
        <v>2.936500000000021</v>
      </c>
      <c r="T105" s="10">
        <v>2.1675000000000018</v>
      </c>
      <c r="U105" s="10">
        <v>1.1969999999999316E-2</v>
      </c>
      <c r="V105" s="10">
        <v>1.1830000000000149</v>
      </c>
      <c r="W105" s="10">
        <v>3.8660000000001034E-2</v>
      </c>
      <c r="X105" s="10">
        <v>1.0394999999974595</v>
      </c>
      <c r="Y105" s="10">
        <v>0.94099999999285289</v>
      </c>
      <c r="Z105" s="10">
        <v>2.7074999999999494</v>
      </c>
      <c r="AA105" s="10">
        <v>0.97650000000003834</v>
      </c>
      <c r="AB105" s="10">
        <v>3.4555000000000171</v>
      </c>
      <c r="AC105" s="10">
        <v>0.93879999999985941</v>
      </c>
      <c r="AD105" s="10">
        <v>0.84899999999985198</v>
      </c>
      <c r="AE105" s="10">
        <v>0.89950000000016717</v>
      </c>
    </row>
    <row r="106" spans="1:31" x14ac:dyDescent="0.3">
      <c r="A106" s="8">
        <v>46227</v>
      </c>
      <c r="B106" s="10">
        <v>1.2759999999997782</v>
      </c>
      <c r="C106" s="10">
        <v>1.0235000000000078</v>
      </c>
      <c r="D106" s="10">
        <v>1.1989999999999943</v>
      </c>
      <c r="E106">
        <v>144.19999999999993</v>
      </c>
      <c r="G106" s="10">
        <v>1.3145000000000133</v>
      </c>
      <c r="H106">
        <v>123.85000000000007</v>
      </c>
      <c r="I106" s="10">
        <v>1.2569999999999748</v>
      </c>
      <c r="K106" s="10">
        <v>1.1840000000000204</v>
      </c>
      <c r="N106">
        <v>117.84999999999715</v>
      </c>
      <c r="O106">
        <v>103.79999999999725</v>
      </c>
      <c r="Q106" s="10">
        <v>1.2115999999999791</v>
      </c>
      <c r="R106" s="10">
        <v>2.9419999999999948</v>
      </c>
      <c r="T106" s="10">
        <v>2.1725000000000021</v>
      </c>
      <c r="U106" s="10">
        <v>1.198000000000031E-2</v>
      </c>
      <c r="V106" s="10">
        <v>1.1840000000000204</v>
      </c>
      <c r="W106" s="10">
        <v>3.8744999999995748E-2</v>
      </c>
      <c r="X106" s="10">
        <v>1.0419999999969367</v>
      </c>
      <c r="Y106" s="10">
        <v>0.94349999999234169</v>
      </c>
      <c r="Z106" s="10">
        <v>2.7109999999999363</v>
      </c>
      <c r="AA106" s="10">
        <v>0.97950000000004234</v>
      </c>
      <c r="AB106" s="10">
        <v>3.4665000000004067</v>
      </c>
      <c r="AC106" s="10">
        <v>0.9414999999999939</v>
      </c>
      <c r="AD106" s="10">
        <v>0.84850000000003301</v>
      </c>
      <c r="AE106" s="10">
        <v>0.90039999999991693</v>
      </c>
    </row>
    <row r="107" spans="1:31" x14ac:dyDescent="0.3">
      <c r="A107" s="8">
        <v>46230</v>
      </c>
      <c r="B107" s="10">
        <v>1.2752999999997616</v>
      </c>
      <c r="C107" s="10">
        <v>1.0238000000000052</v>
      </c>
      <c r="D107" s="10">
        <v>1.1993099999999854</v>
      </c>
      <c r="E107">
        <v>144.51899999999969</v>
      </c>
      <c r="G107" s="10">
        <v>1.3142499999999253</v>
      </c>
      <c r="H107">
        <v>124.04999999999802</v>
      </c>
      <c r="I107" s="10">
        <v>1.2560000000000233</v>
      </c>
      <c r="K107" s="10">
        <v>1.1849999999999445</v>
      </c>
      <c r="N107">
        <v>117.80000000000182</v>
      </c>
      <c r="O107">
        <v>103.94999999999808</v>
      </c>
      <c r="Q107" s="10">
        <v>1.2118000000000122</v>
      </c>
      <c r="R107" s="10">
        <v>2.943999999999968</v>
      </c>
      <c r="T107" s="10">
        <v>2.1750000000000309</v>
      </c>
      <c r="U107" s="10">
        <v>1.2000000000000352E-2</v>
      </c>
      <c r="V107" s="10">
        <v>1.1849999999999445</v>
      </c>
      <c r="W107" s="10">
        <v>3.87999999999981E-2</v>
      </c>
      <c r="X107" s="10">
        <v>1.0419999999966771</v>
      </c>
      <c r="Y107" s="10">
        <v>0.94249999999066647</v>
      </c>
      <c r="Z107" s="10">
        <v>2.7115000000000755</v>
      </c>
      <c r="AA107" s="10">
        <v>0.98129999999996098</v>
      </c>
      <c r="AB107" s="10">
        <v>3.4704999999999644</v>
      </c>
      <c r="AC107" s="10">
        <v>0.94199999999997264</v>
      </c>
      <c r="AD107" s="10">
        <v>0.84810000000010388</v>
      </c>
      <c r="AE107" s="10">
        <v>0.89769999999997796</v>
      </c>
    </row>
    <row r="108" spans="1:31" x14ac:dyDescent="0.3">
      <c r="A108" s="8">
        <v>46231</v>
      </c>
      <c r="B108" s="10">
        <v>1.2794999999998806</v>
      </c>
      <c r="C108" s="10">
        <v>1.0230000000000055</v>
      </c>
      <c r="D108" s="10">
        <v>1.1983500000000022</v>
      </c>
      <c r="E108">
        <v>144.19999999999581</v>
      </c>
      <c r="G108" s="10">
        <v>1.3119999999999927</v>
      </c>
      <c r="H108">
        <v>123.94999999999739</v>
      </c>
      <c r="I108" s="10">
        <v>1.2559999999999478</v>
      </c>
      <c r="K108" s="10">
        <v>1.1809999999999881</v>
      </c>
      <c r="N108">
        <v>118.35000000000147</v>
      </c>
      <c r="O108">
        <v>104.24999999999976</v>
      </c>
      <c r="Q108" s="10">
        <v>1.2124700000000102</v>
      </c>
      <c r="R108" s="10">
        <v>2.9450000000000514</v>
      </c>
      <c r="T108" s="10">
        <v>2.1765000000000607</v>
      </c>
      <c r="U108" s="10">
        <v>1.2000000000000659E-2</v>
      </c>
      <c r="V108" s="10">
        <v>1.1809999999999881</v>
      </c>
      <c r="W108" s="10">
        <v>3.8784999999999799E-2</v>
      </c>
      <c r="X108" s="10">
        <v>1.0429999999967632</v>
      </c>
      <c r="Y108" s="10">
        <v>0.94449999999196865</v>
      </c>
      <c r="Z108" s="10">
        <v>2.7149999999997489</v>
      </c>
      <c r="AA108" s="10">
        <v>0.98199999999999332</v>
      </c>
      <c r="AB108" s="10">
        <v>3.4720000000001989</v>
      </c>
      <c r="AC108" s="10">
        <v>0.94250000000008949</v>
      </c>
      <c r="AD108" s="10">
        <v>0.84999999999991749</v>
      </c>
      <c r="AE108" s="10">
        <v>0.90340000000009679</v>
      </c>
    </row>
    <row r="109" spans="1:31" x14ac:dyDescent="0.3">
      <c r="A109" s="8">
        <v>46232</v>
      </c>
      <c r="B109" s="10">
        <v>1.278989999999889</v>
      </c>
      <c r="C109" s="10">
        <v>1.0234000000000112</v>
      </c>
      <c r="D109" s="10">
        <v>1.1989999999999854</v>
      </c>
      <c r="E109">
        <v>144.69500000000309</v>
      </c>
      <c r="G109" s="10">
        <v>1.3147000000000142</v>
      </c>
      <c r="H109">
        <v>123.84999999999707</v>
      </c>
      <c r="I109" s="10">
        <v>1.2569999999999324</v>
      </c>
      <c r="K109" s="10">
        <v>1.1819999999999511</v>
      </c>
      <c r="N109">
        <v>118.20000000000171</v>
      </c>
      <c r="O109">
        <v>103.74999999999976</v>
      </c>
      <c r="Q109" s="10">
        <v>1.2124999999999957</v>
      </c>
      <c r="R109" s="10">
        <v>2.9459999999999242</v>
      </c>
      <c r="T109" s="10">
        <v>2.1775000000000633</v>
      </c>
      <c r="U109" s="10">
        <v>1.2095000000000846E-2</v>
      </c>
      <c r="V109" s="10">
        <v>1.1819999999999511</v>
      </c>
      <c r="W109" s="10">
        <v>3.880999999999761E-2</v>
      </c>
      <c r="X109" s="10">
        <v>1.0434999999967449</v>
      </c>
      <c r="Y109" s="10">
        <v>0.94299999999996909</v>
      </c>
      <c r="Z109" s="10">
        <v>2.7195000000001381</v>
      </c>
      <c r="AA109" s="10">
        <v>0.98249999999998894</v>
      </c>
      <c r="AB109" s="10">
        <v>3.4725000000002124</v>
      </c>
      <c r="AC109" s="10">
        <v>0.94199999999999506</v>
      </c>
      <c r="AD109" s="10">
        <v>0.84749999999989745</v>
      </c>
      <c r="AE109" s="10">
        <v>0.9037999999998777</v>
      </c>
    </row>
    <row r="110" spans="1:31" x14ac:dyDescent="0.3">
      <c r="A110" s="8">
        <v>46233</v>
      </c>
      <c r="B110" s="10">
        <v>1.2749999999997688</v>
      </c>
      <c r="C110" s="10">
        <v>1.0227999999999946</v>
      </c>
      <c r="D110" s="10">
        <v>1.1975000000000104</v>
      </c>
      <c r="E110">
        <v>143.70000000000095</v>
      </c>
      <c r="G110" s="10">
        <v>1.3110000000000068</v>
      </c>
      <c r="H110">
        <v>123.69999999999722</v>
      </c>
      <c r="I110" s="10">
        <v>1.2524999999999391</v>
      </c>
      <c r="K110" s="10">
        <v>1.1764999999999075</v>
      </c>
      <c r="N110">
        <v>118.04999999999643</v>
      </c>
      <c r="O110">
        <v>103.69999999999958</v>
      </c>
      <c r="Q110" s="10">
        <v>1.2112000000000094</v>
      </c>
      <c r="R110" s="10">
        <v>2.9405000000000809</v>
      </c>
      <c r="T110" s="10">
        <v>2.1714999999999751</v>
      </c>
      <c r="U110" s="10">
        <v>1.2054999999999476E-2</v>
      </c>
      <c r="V110" s="10">
        <v>1.1764999999999075</v>
      </c>
      <c r="W110" s="10">
        <v>3.8739999999998651E-2</v>
      </c>
      <c r="X110" s="10">
        <v>1.0404999999952296</v>
      </c>
      <c r="Y110" s="10">
        <v>0.93999999999996486</v>
      </c>
      <c r="Z110" s="10">
        <v>2.7099999999997739</v>
      </c>
      <c r="AA110" s="10">
        <v>0.97999999999990806</v>
      </c>
      <c r="AB110" s="10">
        <v>3.4554999999997111</v>
      </c>
      <c r="AC110" s="10">
        <v>0.93980000000001696</v>
      </c>
      <c r="AD110" s="10">
        <v>0.84249999999998859</v>
      </c>
      <c r="AE110" s="10">
        <v>0.89199999999997714</v>
      </c>
    </row>
    <row r="111" spans="1:31" x14ac:dyDescent="0.3">
      <c r="A111" s="8">
        <v>46234</v>
      </c>
      <c r="B111" s="10">
        <v>1.2780099999998655</v>
      </c>
      <c r="C111" s="10">
        <v>1.0239900000000046</v>
      </c>
      <c r="D111" s="10">
        <v>1.1989000000000085</v>
      </c>
      <c r="E111">
        <v>144.49999999999986</v>
      </c>
      <c r="G111" s="10">
        <v>1.310999999999944</v>
      </c>
      <c r="H111">
        <v>123.58999999999905</v>
      </c>
      <c r="I111" s="10">
        <v>1.2544000000000031</v>
      </c>
      <c r="K111" s="10">
        <v>1.170999999999824</v>
      </c>
      <c r="N111">
        <v>117.90000000000389</v>
      </c>
      <c r="O111">
        <v>103.9999999999972</v>
      </c>
      <c r="Q111" s="10">
        <v>1.2140000000000157</v>
      </c>
      <c r="R111" s="10">
        <v>2.9469999999999925</v>
      </c>
      <c r="T111" s="10">
        <v>2.1745000000000685</v>
      </c>
      <c r="U111" s="10">
        <v>1.2099999999999793E-2</v>
      </c>
      <c r="V111" s="10">
        <v>1.170999999999824</v>
      </c>
      <c r="W111" s="10">
        <v>3.8749999999999257E-2</v>
      </c>
      <c r="X111" s="10">
        <v>1.0414999999946857</v>
      </c>
      <c r="Y111" s="10">
        <v>0.96739999999939386</v>
      </c>
      <c r="Z111" s="10">
        <v>2.7140000000000439</v>
      </c>
      <c r="AA111" s="10">
        <v>0.98499999999995169</v>
      </c>
      <c r="AB111" s="10">
        <v>3.470000000000045</v>
      </c>
      <c r="AC111" s="10">
        <v>0.94189999999992546</v>
      </c>
      <c r="AD111" s="10">
        <v>0.8459999999998904</v>
      </c>
      <c r="AE111" s="10">
        <v>0.89800000000006197</v>
      </c>
    </row>
    <row r="112" spans="1:31" x14ac:dyDescent="0.3">
      <c r="A112" s="8">
        <v>46237</v>
      </c>
      <c r="B112" s="10">
        <v>1.2789999999998856</v>
      </c>
      <c r="C112" s="10">
        <v>1.0258500000000088</v>
      </c>
      <c r="D112" s="10">
        <v>1.2013999999999874</v>
      </c>
      <c r="E112">
        <v>144.85999999999999</v>
      </c>
      <c r="G112" s="10">
        <v>1.3137999999999928</v>
      </c>
      <c r="H112">
        <v>123.90000000000416</v>
      </c>
      <c r="I112" s="10">
        <v>1.2557999999999565</v>
      </c>
      <c r="K112" s="10">
        <v>1.1749999999998584</v>
      </c>
      <c r="N112">
        <v>118.54999999999949</v>
      </c>
      <c r="O112">
        <v>104.49999999999635</v>
      </c>
      <c r="Q112" s="10">
        <v>1.2136999999999893</v>
      </c>
      <c r="R112" s="10">
        <v>2.9489999999999834</v>
      </c>
      <c r="T112" s="10">
        <v>2.1734999999999736</v>
      </c>
      <c r="U112" s="10">
        <v>1.2039999999999846E-2</v>
      </c>
      <c r="V112" s="10">
        <v>1.1749999999998584</v>
      </c>
      <c r="W112" s="10">
        <v>3.8799999999998884E-2</v>
      </c>
      <c r="X112" s="10">
        <v>1.0409999999939386</v>
      </c>
      <c r="Y112" s="10">
        <v>0.94350000000000389</v>
      </c>
      <c r="Z112" s="10">
        <v>2.7080000000000064</v>
      </c>
      <c r="AA112" s="10">
        <v>0.9815000000000671</v>
      </c>
      <c r="AB112" s="10">
        <v>3.4670000000001209</v>
      </c>
      <c r="AC112" s="10">
        <v>0.93990000000000495</v>
      </c>
      <c r="AD112" s="10">
        <v>0.84799999999991116</v>
      </c>
      <c r="AE112" s="10">
        <v>0.8990000000000079</v>
      </c>
    </row>
    <row r="113" spans="1:31" x14ac:dyDescent="0.3">
      <c r="A113" s="8">
        <v>46238</v>
      </c>
      <c r="B113" s="10">
        <v>1.2791999999998982</v>
      </c>
      <c r="C113" s="10">
        <v>1.0259000000000031</v>
      </c>
      <c r="D113" s="10">
        <v>1.2015000000000005</v>
      </c>
      <c r="E113">
        <v>144.89999999999725</v>
      </c>
      <c r="G113" s="10">
        <v>1.3129999999999333</v>
      </c>
      <c r="H113">
        <v>123.74899999999943</v>
      </c>
      <c r="I113" s="10">
        <v>1.2559999999999634</v>
      </c>
      <c r="K113" s="10">
        <v>1.1769999999999075</v>
      </c>
      <c r="N113">
        <v>118.45000000000134</v>
      </c>
      <c r="O113">
        <v>104.54999999999426</v>
      </c>
      <c r="Q113" s="10">
        <v>1.2145100000000122</v>
      </c>
      <c r="R113" s="10">
        <v>2.9495000000000124</v>
      </c>
      <c r="T113" s="10">
        <v>2.1749999999999483</v>
      </c>
      <c r="U113" s="10">
        <v>1.1970000000000126E-2</v>
      </c>
      <c r="V113" s="10">
        <v>1.1769999999999075</v>
      </c>
      <c r="W113" s="10">
        <v>3.8850000000000544E-2</v>
      </c>
      <c r="X113" s="10">
        <v>1.0399999999927965</v>
      </c>
      <c r="Y113" s="10">
        <v>0.94100000000005313</v>
      </c>
      <c r="Z113" s="10">
        <v>2.7050000000002168</v>
      </c>
      <c r="AA113" s="10">
        <v>0.98200000000000531</v>
      </c>
      <c r="AB113" s="10">
        <v>3.464000000000242</v>
      </c>
      <c r="AC113" s="10">
        <v>0.93849999999998179</v>
      </c>
      <c r="AD113" s="10">
        <v>0.84790000000008259</v>
      </c>
      <c r="AE113" s="10">
        <v>0.89900000000010283</v>
      </c>
    </row>
    <row r="114" spans="1:31" x14ac:dyDescent="0.3">
      <c r="A114" s="8">
        <v>46239</v>
      </c>
      <c r="B114" s="10">
        <v>1.2804899999999266</v>
      </c>
      <c r="C114" s="10">
        <v>1.0257899999999855</v>
      </c>
      <c r="D114" s="10">
        <v>1.200999999999989</v>
      </c>
      <c r="E114">
        <v>144.20700000000176</v>
      </c>
      <c r="G114" s="10">
        <v>1.3117599999999756</v>
      </c>
      <c r="H114">
        <v>123.79999999999546</v>
      </c>
      <c r="I114" s="10">
        <v>1.2550000000000188</v>
      </c>
      <c r="K114" s="10">
        <v>1.1769999999999197</v>
      </c>
      <c r="N114">
        <v>117.99999999999756</v>
      </c>
      <c r="O114">
        <v>104.2499999999946</v>
      </c>
      <c r="Q114" s="10">
        <v>1.2140000000000015</v>
      </c>
      <c r="R114" s="10">
        <v>2.9450000000000518</v>
      </c>
      <c r="T114" s="10">
        <v>2.1700000000000257</v>
      </c>
      <c r="U114" s="10">
        <v>1.1964999999999747E-2</v>
      </c>
      <c r="V114" s="10">
        <v>1.1769999999999197</v>
      </c>
      <c r="W114" s="10">
        <v>3.8789999999998798E-2</v>
      </c>
      <c r="X114" s="10">
        <v>1.0364999999999784</v>
      </c>
      <c r="Y114" s="10">
        <v>0.9415000000000262</v>
      </c>
      <c r="Z114" s="10">
        <v>2.7004999999997819</v>
      </c>
      <c r="AA114" s="10">
        <v>0.9749999999999488</v>
      </c>
      <c r="AB114" s="10">
        <v>3.4600000000000204</v>
      </c>
      <c r="AC114" s="10">
        <v>0.93549999999997779</v>
      </c>
      <c r="AD114" s="10">
        <v>0.84500000000014841</v>
      </c>
      <c r="AE114" s="10">
        <v>0.88999999999991697</v>
      </c>
    </row>
    <row r="115" spans="1:31" x14ac:dyDescent="0.3">
      <c r="A115" s="8">
        <v>46240</v>
      </c>
      <c r="B115" s="10">
        <v>1.2779999999998677</v>
      </c>
      <c r="C115" s="10">
        <v>1.0247999999999802</v>
      </c>
      <c r="D115" s="10">
        <v>1.2005000000000094</v>
      </c>
      <c r="E115">
        <v>144.23999999999538</v>
      </c>
      <c r="G115" s="10">
        <v>1.309999999999965</v>
      </c>
      <c r="H115">
        <v>123.24900000000399</v>
      </c>
      <c r="I115" s="10">
        <v>1.2505000000000397</v>
      </c>
      <c r="K115" s="10">
        <v>1.1769999999998868</v>
      </c>
      <c r="N115">
        <v>118.25000000000043</v>
      </c>
      <c r="O115">
        <v>104.39999999999765</v>
      </c>
      <c r="Q115" s="10">
        <v>1.2149999999999879</v>
      </c>
      <c r="R115" s="10">
        <v>2.9505000000000536</v>
      </c>
      <c r="T115" s="10">
        <v>2.1679999999999775</v>
      </c>
      <c r="U115" s="10">
        <v>1.1869999999999015E-2</v>
      </c>
      <c r="V115" s="10">
        <v>1.1769999999998868</v>
      </c>
      <c r="W115" s="10">
        <v>3.8799999999997892E-2</v>
      </c>
      <c r="X115" s="10">
        <v>1.0385000000000388</v>
      </c>
      <c r="Y115" s="10">
        <v>0.93750000000000711</v>
      </c>
      <c r="Z115" s="10">
        <v>2.6990000000002397</v>
      </c>
      <c r="AA115" s="10">
        <v>0.98000000000004828</v>
      </c>
      <c r="AB115" s="10">
        <v>3.4479999999995568</v>
      </c>
      <c r="AC115" s="10">
        <v>0.9335000000000363</v>
      </c>
      <c r="AD115" s="10">
        <v>0.83050000000006863</v>
      </c>
      <c r="AE115" s="10">
        <v>0.89540000000009923</v>
      </c>
    </row>
    <row r="116" spans="1:31" x14ac:dyDescent="0.3">
      <c r="A116" s="8">
        <v>46241</v>
      </c>
      <c r="B116" s="10">
        <v>1.2809999999999493</v>
      </c>
      <c r="C116" s="10">
        <v>1.0264999999999858</v>
      </c>
      <c r="D116" s="10">
        <v>1.2027000000000181</v>
      </c>
      <c r="E116">
        <v>144.19900000000206</v>
      </c>
      <c r="G116" s="10">
        <v>1.3089000000000388</v>
      </c>
      <c r="H116">
        <v>123.19999999999898</v>
      </c>
      <c r="I116" s="10">
        <v>1.2559999999999547</v>
      </c>
      <c r="K116" s="10">
        <v>1.1804999999999233</v>
      </c>
      <c r="N116">
        <v>118.74999999999885</v>
      </c>
      <c r="O116">
        <v>104.54999999999815</v>
      </c>
      <c r="Q116" s="10">
        <v>1.2187500000000131</v>
      </c>
      <c r="R116" s="10">
        <v>2.9559999999999484</v>
      </c>
      <c r="T116" s="10">
        <v>2.1825000000000001</v>
      </c>
      <c r="U116" s="10">
        <v>1.1994999999999145E-2</v>
      </c>
      <c r="V116" s="10">
        <v>1.1804999999999233</v>
      </c>
      <c r="W116" s="10">
        <v>3.8849999999997525E-2</v>
      </c>
      <c r="X116" s="10">
        <v>1.0444999999938502</v>
      </c>
      <c r="Y116" s="10">
        <v>0.94399999999999584</v>
      </c>
      <c r="Z116" s="10">
        <v>2.7124999999999249</v>
      </c>
      <c r="AA116" s="10">
        <v>0.98449999999997861</v>
      </c>
      <c r="AB116" s="10">
        <v>3.4599999999998197</v>
      </c>
      <c r="AC116" s="10">
        <v>0.93850000000001743</v>
      </c>
      <c r="AD116" s="10">
        <v>0.84120000000004791</v>
      </c>
      <c r="AE116" s="10">
        <v>0.89809999999994661</v>
      </c>
    </row>
    <row r="117" spans="1:31" x14ac:dyDescent="0.3">
      <c r="A117" s="8">
        <v>46244</v>
      </c>
      <c r="B117" s="10">
        <v>1.2830999999999699</v>
      </c>
      <c r="C117" s="10">
        <v>1.0272500000000095</v>
      </c>
      <c r="D117" s="10">
        <v>1.2029999999999919</v>
      </c>
      <c r="E117">
        <v>144.39999999999887</v>
      </c>
      <c r="G117" s="10">
        <v>1.3120000000000263</v>
      </c>
      <c r="H117">
        <v>123.44999999999322</v>
      </c>
      <c r="I117" s="10">
        <v>1.2570000000000301</v>
      </c>
      <c r="K117" s="10">
        <v>1.1809999999998999</v>
      </c>
      <c r="N117">
        <v>118.84999999999852</v>
      </c>
      <c r="O117">
        <v>104.74999999999784</v>
      </c>
      <c r="Q117" s="10">
        <v>1.220499999999981</v>
      </c>
      <c r="R117" s="10">
        <v>2.9634999999999865</v>
      </c>
      <c r="T117" s="10">
        <v>2.1879999999999185</v>
      </c>
      <c r="U117" s="10">
        <v>1.2089999999999939E-2</v>
      </c>
      <c r="V117" s="10">
        <v>1.1809999999998999</v>
      </c>
      <c r="W117" s="10">
        <v>3.883499999999749E-2</v>
      </c>
      <c r="X117" s="10">
        <v>1.0479999999954683</v>
      </c>
      <c r="Y117" s="10">
        <v>0.94750000000002454</v>
      </c>
      <c r="Z117" s="10">
        <v>2.7249999999997407</v>
      </c>
      <c r="AA117" s="10">
        <v>0.98900000000006127</v>
      </c>
      <c r="AB117" s="10">
        <v>3.4784999999997002</v>
      </c>
      <c r="AC117" s="10">
        <v>0.94239999999995405</v>
      </c>
      <c r="AD117" s="10">
        <v>0.84990000000003352</v>
      </c>
      <c r="AE117" s="10">
        <v>0.9022000000000352</v>
      </c>
    </row>
    <row r="118" spans="1:31" x14ac:dyDescent="0.3">
      <c r="A118" s="8">
        <v>46245</v>
      </c>
      <c r="B118" s="10">
        <v>1.2844999999999569</v>
      </c>
      <c r="C118" s="10">
        <v>1.0289899999996159</v>
      </c>
      <c r="D118" s="10">
        <v>1.2037499999999945</v>
      </c>
      <c r="E118">
        <v>144.45099999999795</v>
      </c>
      <c r="G118" s="10">
        <v>1.3099999999999681</v>
      </c>
      <c r="H118">
        <v>123.24999999999895</v>
      </c>
      <c r="I118" s="10">
        <v>1.2529999999999064</v>
      </c>
      <c r="K118" s="10">
        <v>1.1849999999999605</v>
      </c>
      <c r="N118">
        <v>119.05000000000476</v>
      </c>
      <c r="O118">
        <v>104.79999999999995</v>
      </c>
      <c r="Q118" s="10">
        <v>1.2209999999999785</v>
      </c>
      <c r="R118" s="10">
        <v>2.9640000000000226</v>
      </c>
      <c r="T118" s="10">
        <v>2.1874999999999964</v>
      </c>
      <c r="U118" s="10">
        <v>1.2054999999999807E-2</v>
      </c>
      <c r="V118" s="10">
        <v>1.1849999999999605</v>
      </c>
      <c r="W118" s="10">
        <v>3.883999999999814E-2</v>
      </c>
      <c r="X118" s="10">
        <v>1.0469999999944632</v>
      </c>
      <c r="Y118" s="10">
        <v>0.94849999999994594</v>
      </c>
      <c r="Z118" s="10">
        <v>2.7249999999999619</v>
      </c>
      <c r="AA118" s="10">
        <v>0.98850000000013438</v>
      </c>
      <c r="AB118" s="10">
        <v>3.4759999999998858</v>
      </c>
      <c r="AC118" s="10">
        <v>0.94199999999995387</v>
      </c>
      <c r="AD118" s="10">
        <v>0.84800000000003362</v>
      </c>
      <c r="AE118" s="10">
        <v>0.90119999999989375</v>
      </c>
    </row>
    <row r="119" spans="1:31" x14ac:dyDescent="0.3">
      <c r="A119" s="8">
        <v>46246</v>
      </c>
      <c r="B119" s="10">
        <v>1.2852999999999761</v>
      </c>
      <c r="C119" s="10">
        <v>1.0319999999997649</v>
      </c>
      <c r="D119" s="10">
        <v>1.2055100000000101</v>
      </c>
      <c r="E119">
        <v>144.55000000000055</v>
      </c>
      <c r="G119" s="10">
        <v>1.3114999999999635</v>
      </c>
      <c r="H119">
        <v>123.29999999999902</v>
      </c>
      <c r="I119" s="10">
        <v>1.252999999999947</v>
      </c>
      <c r="K119" s="10">
        <v>1.1849999999999625</v>
      </c>
      <c r="N119">
        <v>119.09999999999854</v>
      </c>
      <c r="O119">
        <v>105.2000000000002</v>
      </c>
      <c r="Q119" s="10">
        <v>1.2225000000000017</v>
      </c>
      <c r="R119" s="10">
        <v>2.9785000000000057</v>
      </c>
      <c r="T119" s="10">
        <v>2.1914999999999658</v>
      </c>
      <c r="U119" s="10">
        <v>1.2059999999999635E-2</v>
      </c>
      <c r="V119" s="10">
        <v>1.1849999999999625</v>
      </c>
      <c r="W119" s="10">
        <v>3.8849999999997477E-2</v>
      </c>
      <c r="X119" s="10">
        <v>1.0474999999944046</v>
      </c>
      <c r="Y119" s="10">
        <v>0.94760000000001721</v>
      </c>
      <c r="Z119" s="10">
        <v>2.7264999999998789</v>
      </c>
      <c r="AA119" s="10">
        <v>0.99099999999995148</v>
      </c>
      <c r="AB119" s="10">
        <v>3.4699999999997004</v>
      </c>
      <c r="AC119" s="10">
        <v>0.94229999999998615</v>
      </c>
      <c r="AD119" s="10">
        <v>0.84890000000009846</v>
      </c>
      <c r="AE119" s="10">
        <v>0.9014999999998784</v>
      </c>
    </row>
    <row r="120" spans="1:31" x14ac:dyDescent="0.3">
      <c r="A120" s="8">
        <v>46247</v>
      </c>
      <c r="B120" s="10">
        <v>1.2874899999999811</v>
      </c>
      <c r="C120" s="10">
        <v>1.0308799999997236</v>
      </c>
      <c r="D120" s="10">
        <v>1.2072999999999883</v>
      </c>
      <c r="E120">
        <v>144.64999999999978</v>
      </c>
      <c r="G120" s="10">
        <v>1.3113000000000332</v>
      </c>
      <c r="H120">
        <v>123.60000000000073</v>
      </c>
      <c r="I120" s="10">
        <v>1.2585000000000228</v>
      </c>
      <c r="K120" s="10">
        <v>1.1879999999999267</v>
      </c>
      <c r="N120">
        <v>119.15000000000187</v>
      </c>
      <c r="O120">
        <v>104.99999999999901</v>
      </c>
      <c r="Q120" s="10">
        <v>1.2244000000000141</v>
      </c>
      <c r="R120" s="10">
        <v>2.974000000000026</v>
      </c>
      <c r="T120" s="10">
        <v>2.1944999999999903</v>
      </c>
      <c r="U120" s="10">
        <v>1.2110000000000176E-2</v>
      </c>
      <c r="V120" s="10">
        <v>1.1879999999999267</v>
      </c>
      <c r="W120" s="10">
        <v>3.8779999999994395E-2</v>
      </c>
      <c r="X120" s="10">
        <v>1.0514999999961585</v>
      </c>
      <c r="Y120" s="10">
        <v>0.95249999999076596</v>
      </c>
      <c r="Z120" s="10">
        <v>2.7274999999998926</v>
      </c>
      <c r="AA120" s="10">
        <v>0.9870000000000192</v>
      </c>
      <c r="AB120" s="10">
        <v>3.4675000000000171</v>
      </c>
      <c r="AC120" s="10">
        <v>0.9413000000000038</v>
      </c>
      <c r="AD120" s="10">
        <v>0.84599999999995557</v>
      </c>
      <c r="AE120" s="10">
        <v>0.89830000000003907</v>
      </c>
    </row>
    <row r="121" spans="1:31" x14ac:dyDescent="0.3">
      <c r="A121" s="8">
        <v>46248</v>
      </c>
      <c r="B121" s="10">
        <v>1.2891999999999881</v>
      </c>
      <c r="C121" s="10">
        <v>1.0321999999998004</v>
      </c>
      <c r="D121" s="10">
        <v>1.2104500000000098</v>
      </c>
      <c r="E121">
        <v>145.30000000000427</v>
      </c>
      <c r="G121" s="10">
        <v>1.3145100000000083</v>
      </c>
      <c r="H121">
        <v>123.87999999999832</v>
      </c>
      <c r="I121" s="10">
        <v>1.2583999999999431</v>
      </c>
      <c r="J121" s="10">
        <v>0.98250000000002002</v>
      </c>
      <c r="K121" s="10">
        <v>1.1879999999999393</v>
      </c>
      <c r="N121">
        <v>119.25000000000017</v>
      </c>
      <c r="O121">
        <v>105.19999999999993</v>
      </c>
      <c r="Q121" s="10">
        <v>1.2269999999999932</v>
      </c>
      <c r="R121" s="10">
        <v>2.9795000000000527</v>
      </c>
      <c r="S121" s="10">
        <v>0.98250000000002002</v>
      </c>
      <c r="T121" s="10">
        <v>2.1950000000000105</v>
      </c>
      <c r="U121" s="10">
        <v>1.2075000000000004E-2</v>
      </c>
      <c r="V121" s="10">
        <v>1.1879999999999393</v>
      </c>
      <c r="W121" s="10">
        <v>3.8889999999998377E-2</v>
      </c>
      <c r="X121" s="10">
        <v>1.0519999999955141</v>
      </c>
      <c r="Y121" s="10">
        <v>0.95000000000001772</v>
      </c>
      <c r="Z121" s="10">
        <v>2.7314999999999823</v>
      </c>
      <c r="AA121" s="10">
        <v>0.98889999999991085</v>
      </c>
      <c r="AB121" s="10">
        <v>3.47099999999987</v>
      </c>
      <c r="AC121" s="10">
        <v>0.94200000000003781</v>
      </c>
      <c r="AD121" s="10">
        <v>0.85000000000001608</v>
      </c>
      <c r="AE121" s="10">
        <v>0.89999999999997626</v>
      </c>
    </row>
    <row r="122" spans="1:31" x14ac:dyDescent="0.3">
      <c r="A122" s="8">
        <v>46252</v>
      </c>
      <c r="B122" s="10">
        <v>1.2850999999999797</v>
      </c>
      <c r="C122" s="10">
        <v>1.029649999999708</v>
      </c>
      <c r="D122" s="10">
        <v>1.2035999999999898</v>
      </c>
      <c r="E122">
        <v>144.65000000000356</v>
      </c>
      <c r="G122" s="10">
        <v>1.3024999999999687</v>
      </c>
      <c r="H122">
        <v>122.50999999999712</v>
      </c>
      <c r="I122" s="10">
        <v>1.2544999999999822</v>
      </c>
      <c r="J122" s="10">
        <v>0.97850000000000381</v>
      </c>
      <c r="K122" s="10">
        <v>1.1754999999996658</v>
      </c>
      <c r="N122">
        <v>118.04999999999799</v>
      </c>
      <c r="O122">
        <v>105.00000000000014</v>
      </c>
      <c r="Q122" s="10">
        <v>1.2239999999999871</v>
      </c>
      <c r="R122" s="10">
        <v>2.9704999999999928</v>
      </c>
      <c r="S122" s="10">
        <v>0.97850000000000381</v>
      </c>
      <c r="T122" s="10">
        <v>2.1790000000000034</v>
      </c>
      <c r="U122" s="10">
        <v>1.2069999999999777E-2</v>
      </c>
      <c r="V122" s="10">
        <v>1.1754999999996658</v>
      </c>
      <c r="W122" s="10">
        <v>3.84999999999752E-2</v>
      </c>
      <c r="X122" s="10">
        <v>1.0450000000000268</v>
      </c>
      <c r="Y122" s="10">
        <v>0.95949999999458446</v>
      </c>
      <c r="Z122" s="10">
        <v>2.726500000000101</v>
      </c>
      <c r="AA122" s="10">
        <v>0.98779999999990675</v>
      </c>
      <c r="AB122" s="10">
        <v>3.4400000000000457</v>
      </c>
      <c r="AC122" s="10">
        <v>0.93100000000008654</v>
      </c>
      <c r="AD122" s="10">
        <v>0.8499999999999317</v>
      </c>
      <c r="AE122" s="10">
        <v>0.89799999999990265</v>
      </c>
    </row>
    <row r="123" spans="1:31" x14ac:dyDescent="0.3">
      <c r="A123" s="8">
        <v>46253</v>
      </c>
      <c r="B123" s="10">
        <v>1.284999999999958</v>
      </c>
      <c r="C123" s="10">
        <v>1.028649999999673</v>
      </c>
      <c r="D123" s="10">
        <v>1.2025000000000057</v>
      </c>
      <c r="E123">
        <v>144.2000000000032</v>
      </c>
      <c r="G123" s="10">
        <v>1.2967000000000104</v>
      </c>
      <c r="H123">
        <v>122.49999999999768</v>
      </c>
      <c r="I123" s="10">
        <v>1.2520000000000104</v>
      </c>
      <c r="J123" s="10">
        <v>0.97399999999999043</v>
      </c>
      <c r="K123" s="10">
        <v>1.1799999999998325</v>
      </c>
      <c r="N123">
        <v>118.64999999999756</v>
      </c>
      <c r="O123">
        <v>104.8999999999951</v>
      </c>
      <c r="Q123" s="10">
        <v>1.2200000000000066</v>
      </c>
      <c r="R123" s="10">
        <v>2.9570000000000558</v>
      </c>
      <c r="S123" s="10">
        <v>0.97399999999999043</v>
      </c>
      <c r="T123" s="10">
        <v>2.1724999999998533</v>
      </c>
      <c r="U123" s="10">
        <v>1.1999999999999487E-2</v>
      </c>
      <c r="V123" s="10">
        <v>1.1799999999998325</v>
      </c>
      <c r="W123" s="10">
        <v>3.840499999996036E-2</v>
      </c>
      <c r="X123" s="10">
        <v>1.035999999999955</v>
      </c>
      <c r="Y123" s="10">
        <v>0.94199999999997797</v>
      </c>
      <c r="Z123" s="10">
        <v>2.7000000000001929</v>
      </c>
      <c r="AA123" s="10">
        <v>0.98489999999998989</v>
      </c>
      <c r="AB123" s="10">
        <v>3.4274999999996192</v>
      </c>
      <c r="AC123" s="10">
        <v>0.9259999999999069</v>
      </c>
      <c r="AD123" s="10">
        <v>0.83800000000007391</v>
      </c>
      <c r="AE123" s="10">
        <v>0.89089999999995284</v>
      </c>
    </row>
    <row r="124" spans="1:31" x14ac:dyDescent="0.3">
      <c r="A124" s="8">
        <v>46254</v>
      </c>
      <c r="B124" s="10">
        <v>1.2881399999999985</v>
      </c>
      <c r="C124" s="10">
        <v>1.0333999999998253</v>
      </c>
      <c r="D124" s="10">
        <v>1.2097999999999922</v>
      </c>
      <c r="E124">
        <v>145.10000000000193</v>
      </c>
      <c r="G124" s="10">
        <v>1.3154000000000408</v>
      </c>
      <c r="H124">
        <v>124.09999999999457</v>
      </c>
      <c r="I124" s="10">
        <v>1.2580000000000051</v>
      </c>
      <c r="J124" s="10">
        <v>0.98149999999999382</v>
      </c>
      <c r="K124" s="10">
        <v>1.1839999999999185</v>
      </c>
      <c r="N124">
        <v>119.44999999999813</v>
      </c>
      <c r="O124">
        <v>105.19999999999841</v>
      </c>
      <c r="Q124" s="10">
        <v>1.2234999999999907</v>
      </c>
      <c r="R124" s="10">
        <v>2.9690000000000509</v>
      </c>
      <c r="S124" s="10">
        <v>0.98149999999999382</v>
      </c>
      <c r="T124" s="10">
        <v>2.1834999999999933</v>
      </c>
      <c r="U124" s="10">
        <v>1.2049999999999526E-2</v>
      </c>
      <c r="V124" s="10">
        <v>1.1839999999999185</v>
      </c>
      <c r="W124" s="10">
        <v>3.8509999999971269E-2</v>
      </c>
      <c r="X124" s="10">
        <v>1.0435000000000303</v>
      </c>
      <c r="Y124" s="10">
        <v>0.95200000000000817</v>
      </c>
      <c r="Z124" s="10">
        <v>2.7099999999999307</v>
      </c>
      <c r="AA124" s="10">
        <v>0.9840000000000364</v>
      </c>
      <c r="AB124" s="10">
        <v>3.4420000000003093</v>
      </c>
      <c r="AC124" s="10">
        <v>0.93499999999995753</v>
      </c>
      <c r="AD124" s="10">
        <v>0.8374999999999363</v>
      </c>
      <c r="AE124" s="10">
        <v>0.88989999999992464</v>
      </c>
    </row>
    <row r="125" spans="1:31" x14ac:dyDescent="0.3">
      <c r="A125" s="8">
        <v>46255</v>
      </c>
      <c r="B125" s="10">
        <v>1.2930599999999937</v>
      </c>
      <c r="C125" s="10">
        <v>1.0355999999999101</v>
      </c>
      <c r="D125" s="10">
        <v>1.21434999999999</v>
      </c>
      <c r="E125">
        <v>145.70000000000258</v>
      </c>
      <c r="G125" s="10">
        <v>1.3193999999999864</v>
      </c>
      <c r="H125">
        <v>124.34999999999815</v>
      </c>
      <c r="I125" s="10">
        <v>1.2599999999999409</v>
      </c>
      <c r="J125" s="10">
        <v>0.98299999999999865</v>
      </c>
      <c r="K125" s="10">
        <v>1.1900000000000273</v>
      </c>
      <c r="N125">
        <v>120.0000000000025</v>
      </c>
      <c r="O125">
        <v>105.44999999999209</v>
      </c>
      <c r="Q125" s="10">
        <v>1.2264999999999853</v>
      </c>
      <c r="R125" s="10">
        <v>2.9790000000000014</v>
      </c>
      <c r="S125" s="10">
        <v>0.98299999999999865</v>
      </c>
      <c r="T125" s="10">
        <v>2.1910000000000109</v>
      </c>
      <c r="U125" s="10">
        <v>1.2094999999999695E-2</v>
      </c>
      <c r="V125" s="10">
        <v>1.1900000000000273</v>
      </c>
      <c r="W125" s="10">
        <v>3.8624999999979794E-2</v>
      </c>
      <c r="X125" s="10">
        <v>1.0494999999923462</v>
      </c>
      <c r="Y125" s="10">
        <v>0.95100000000003204</v>
      </c>
      <c r="Z125" s="10">
        <v>2.7225000000000215</v>
      </c>
      <c r="AA125" s="10">
        <v>0.96460000000008816</v>
      </c>
      <c r="AB125" s="10">
        <v>3.4589999999999104</v>
      </c>
      <c r="AC125" s="10">
        <v>0.93860000000002886</v>
      </c>
      <c r="AD125" s="10">
        <v>0.83849999999998914</v>
      </c>
      <c r="AE125" s="10">
        <v>0.89250000000000151</v>
      </c>
    </row>
    <row r="126" spans="1:31" x14ac:dyDescent="0.3">
      <c r="A126" s="8">
        <v>46258</v>
      </c>
      <c r="B126" s="10">
        <v>1.2939999999999867</v>
      </c>
      <c r="C126" s="10">
        <v>1.0371699999999426</v>
      </c>
      <c r="D126" s="10">
        <v>1.2152000000000056</v>
      </c>
      <c r="E126">
        <v>146.07999999999939</v>
      </c>
      <c r="G126" s="10">
        <v>1.3234000000000601</v>
      </c>
      <c r="H126">
        <v>124.62999999999937</v>
      </c>
      <c r="I126" s="10">
        <v>1.259999999999976</v>
      </c>
      <c r="J126" s="10">
        <v>0.98449999999997362</v>
      </c>
      <c r="K126" s="10">
        <v>1.1899999999999828</v>
      </c>
      <c r="N126">
        <v>120.24999999999876</v>
      </c>
      <c r="O126">
        <v>105.24999999999255</v>
      </c>
      <c r="Q126" s="10">
        <v>1.2280000000000046</v>
      </c>
      <c r="R126" s="10">
        <v>2.9814999999999823</v>
      </c>
      <c r="S126" s="10">
        <v>0.98449999999997362</v>
      </c>
      <c r="T126" s="10">
        <v>2.1920000000000033</v>
      </c>
      <c r="U126" s="10">
        <v>1.2109999999999512E-2</v>
      </c>
      <c r="V126" s="10">
        <v>1.1899999999999828</v>
      </c>
      <c r="W126" s="10">
        <v>3.8749999999983853E-2</v>
      </c>
      <c r="X126" s="10">
        <v>1.0500000000000065</v>
      </c>
      <c r="Y126" s="10">
        <v>0.95299999999993579</v>
      </c>
      <c r="Z126" s="10">
        <v>2.7244999999999875</v>
      </c>
      <c r="AA126" s="10">
        <v>0.98349999999993865</v>
      </c>
      <c r="AB126" s="10">
        <v>3.457000000000189</v>
      </c>
      <c r="AC126" s="10">
        <v>0.93840000000002433</v>
      </c>
      <c r="AD126" s="10">
        <v>0.8429999999999428</v>
      </c>
      <c r="AE126" s="10">
        <v>0.89199999999994972</v>
      </c>
    </row>
    <row r="127" spans="1:31" x14ac:dyDescent="0.3">
      <c r="A127" s="8">
        <v>46259</v>
      </c>
      <c r="B127" s="10">
        <v>1.2930999999999875</v>
      </c>
      <c r="C127" s="10">
        <v>1.0371999999999284</v>
      </c>
      <c r="D127" s="10">
        <v>1.2143999999999908</v>
      </c>
      <c r="E127">
        <v>145.65199999999894</v>
      </c>
      <c r="G127" s="10">
        <v>1.3219000000000027</v>
      </c>
      <c r="H127">
        <v>124.54999999999868</v>
      </c>
      <c r="I127" s="10">
        <v>1.2533999999999761</v>
      </c>
      <c r="J127" s="10">
        <v>0.98380000000002654</v>
      </c>
      <c r="K127" s="10">
        <v>1.1964999999999462</v>
      </c>
      <c r="N127">
        <v>120.14999999999768</v>
      </c>
      <c r="O127">
        <v>105.29999999999787</v>
      </c>
      <c r="Q127" s="10">
        <v>1.2279999999999969</v>
      </c>
      <c r="R127" s="10">
        <v>2.9815000000000746</v>
      </c>
      <c r="S127" s="10">
        <v>0.98380000000002654</v>
      </c>
      <c r="T127" s="10">
        <v>2.1940000000000155</v>
      </c>
      <c r="U127" s="10">
        <v>1.2174999999999613E-2</v>
      </c>
      <c r="V127" s="10">
        <v>1.1964999999999462</v>
      </c>
      <c r="W127" s="10">
        <v>3.8814999999987096E-2</v>
      </c>
      <c r="X127" s="10">
        <v>1.0494999999999208</v>
      </c>
      <c r="Y127" s="10">
        <v>0.9524999999999646</v>
      </c>
      <c r="Z127" s="10">
        <v>2.7250000000001533</v>
      </c>
      <c r="AA127" s="10">
        <v>0.98249999999995796</v>
      </c>
      <c r="AB127" s="10">
        <v>3.4539999999995636</v>
      </c>
      <c r="AC127" s="10">
        <v>0.93939999999988888</v>
      </c>
      <c r="AD127" s="10">
        <v>0.84119999999993145</v>
      </c>
      <c r="AE127" s="10">
        <v>0.89129999999995935</v>
      </c>
    </row>
    <row r="128" spans="1:31" x14ac:dyDescent="0.3">
      <c r="A128" s="8">
        <v>46260</v>
      </c>
      <c r="B128" s="10">
        <v>1.2949999999999939</v>
      </c>
      <c r="C128" s="10">
        <v>1.0386899999999522</v>
      </c>
      <c r="D128" s="10">
        <v>1.21475000000001</v>
      </c>
      <c r="E128">
        <v>145.45000000000346</v>
      </c>
      <c r="G128" s="10">
        <v>1.3194500000000289</v>
      </c>
      <c r="H128">
        <v>124.15000000000636</v>
      </c>
      <c r="I128" s="10">
        <v>1.2534500000000188</v>
      </c>
      <c r="J128" s="10">
        <v>0.98299999999999654</v>
      </c>
      <c r="K128" s="10">
        <v>1.1809999999997101</v>
      </c>
      <c r="N128">
        <v>120.35000000000178</v>
      </c>
      <c r="O128">
        <v>105.39999999999398</v>
      </c>
      <c r="Q128" s="10">
        <v>1.2275000000000063</v>
      </c>
      <c r="R128" s="10">
        <v>2.9815000000000031</v>
      </c>
      <c r="S128" s="10">
        <v>0.98299999999999654</v>
      </c>
      <c r="T128" s="10">
        <v>2.1924999999999297</v>
      </c>
      <c r="U128" s="10">
        <v>1.2145000000000008E-2</v>
      </c>
      <c r="V128" s="10">
        <v>1.1809999999997101</v>
      </c>
      <c r="W128" s="10">
        <v>3.880499999998465E-2</v>
      </c>
      <c r="X128" s="10">
        <v>1.0519999999918261</v>
      </c>
      <c r="Y128" s="10">
        <v>0.95250000000001689</v>
      </c>
      <c r="Z128" s="10">
        <v>2.7259999999999125</v>
      </c>
      <c r="AA128" s="10">
        <v>0.98449999999991689</v>
      </c>
      <c r="AB128" s="10">
        <v>3.459499999999851</v>
      </c>
      <c r="AC128" s="10">
        <v>0.93999999999995465</v>
      </c>
      <c r="AD128" s="10">
        <v>0.84740000000003068</v>
      </c>
      <c r="AE128" s="10">
        <v>0.889899999999889</v>
      </c>
    </row>
    <row r="129" spans="1:31" x14ac:dyDescent="0.3">
      <c r="A129" s="8">
        <v>46261</v>
      </c>
      <c r="B129" s="10">
        <v>1.2960000000000074</v>
      </c>
      <c r="C129" s="10">
        <v>1.0391399999999595</v>
      </c>
      <c r="D129" s="10">
        <v>1.2157000000000182</v>
      </c>
      <c r="E129">
        <v>145.74999999999631</v>
      </c>
      <c r="G129" s="10">
        <v>1.3192999999999682</v>
      </c>
      <c r="H129">
        <v>123.99000000000112</v>
      </c>
      <c r="I129" s="10">
        <v>1.254199999999956</v>
      </c>
      <c r="J129" s="10">
        <v>0.98299999999998022</v>
      </c>
      <c r="K129" s="10">
        <v>1.1819999999997413</v>
      </c>
      <c r="N129">
        <v>120.59999999999744</v>
      </c>
      <c r="O129">
        <v>105.44999999999767</v>
      </c>
      <c r="Q129" s="10">
        <v>1.2311999999999819</v>
      </c>
      <c r="R129" s="10">
        <v>2.9840000000000053</v>
      </c>
      <c r="S129" s="10">
        <v>0.98299999999998022</v>
      </c>
      <c r="T129" s="10">
        <v>2.1949999999999998</v>
      </c>
      <c r="U129" s="10">
        <v>1.2189999999999715E-2</v>
      </c>
      <c r="V129" s="10">
        <v>1.1819999999997413</v>
      </c>
      <c r="W129" s="10">
        <v>3.8879999999988514E-2</v>
      </c>
      <c r="X129" s="10">
        <v>1.0509999999999955</v>
      </c>
      <c r="Y129" s="10">
        <v>0.95239999999998848</v>
      </c>
      <c r="Z129" s="10">
        <v>2.7274999999999352</v>
      </c>
      <c r="AA129" s="10">
        <v>0.98500000000008248</v>
      </c>
      <c r="AB129" s="10">
        <v>3.4595000000000584</v>
      </c>
      <c r="AC129" s="10">
        <v>0.94000000000005035</v>
      </c>
      <c r="AD129" s="10">
        <v>0.84689999999993593</v>
      </c>
      <c r="AE129" s="10">
        <v>0.89150000000003149</v>
      </c>
    </row>
    <row r="130" spans="1:31" x14ac:dyDescent="0.3">
      <c r="A130" s="8">
        <v>46262</v>
      </c>
      <c r="B130" s="10">
        <v>1.3002200000000022</v>
      </c>
      <c r="C130" s="10">
        <v>1.0419999999999801</v>
      </c>
      <c r="D130" s="10">
        <v>1.2187999999995287</v>
      </c>
      <c r="E130">
        <v>146.45000000000482</v>
      </c>
      <c r="G130" s="10">
        <v>1.3258999999999705</v>
      </c>
      <c r="H130">
        <v>124.45000000000319</v>
      </c>
      <c r="I130" s="10">
        <v>1.2609999999999904</v>
      </c>
      <c r="J130" s="10">
        <v>0.98550000000001736</v>
      </c>
      <c r="K130" s="10">
        <v>1.1899999999998689</v>
      </c>
      <c r="N130">
        <v>120.80000000000022</v>
      </c>
      <c r="O130">
        <v>105.79999999999833</v>
      </c>
      <c r="Q130" s="10">
        <v>1.2334999999999865</v>
      </c>
      <c r="R130" s="10">
        <v>2.9934999999999388</v>
      </c>
      <c r="S130" s="10">
        <v>0.98550000000001736</v>
      </c>
      <c r="T130" s="10">
        <v>2.2025000000000192</v>
      </c>
      <c r="U130" s="10">
        <v>1.2165000000000042E-2</v>
      </c>
      <c r="V130" s="10">
        <v>1.1899999999998689</v>
      </c>
      <c r="W130" s="10">
        <v>3.8949999999989854E-2</v>
      </c>
      <c r="X130" s="10">
        <v>1.0514999999999792</v>
      </c>
      <c r="Y130" s="10">
        <v>0.95199999999995344</v>
      </c>
      <c r="Z130" s="10">
        <v>2.7299999999999134</v>
      </c>
      <c r="AA130" s="10">
        <v>0.98449999999992432</v>
      </c>
      <c r="AB130" s="10">
        <v>3.4595000000003364</v>
      </c>
      <c r="AC130" s="10">
        <v>0.94000000000002293</v>
      </c>
      <c r="AD130" s="10">
        <v>0.84150000000000291</v>
      </c>
      <c r="AE130" s="10">
        <v>0.88999999999983936</v>
      </c>
    </row>
    <row r="131" spans="1:31" x14ac:dyDescent="0.3">
      <c r="A131" s="4">
        <v>46265</v>
      </c>
      <c r="B131" s="10">
        <v>1.302369999999996</v>
      </c>
      <c r="C131" s="10">
        <v>1.0438999999999812</v>
      </c>
      <c r="D131" s="10">
        <v>1.2211999999996819</v>
      </c>
      <c r="E131">
        <v>146.94000000000119</v>
      </c>
      <c r="F131" s="10"/>
      <c r="G131" s="10">
        <v>1.3277000000000525</v>
      </c>
      <c r="H131">
        <v>124.85000000000053</v>
      </c>
      <c r="I131" s="10">
        <v>1.2639999999999953</v>
      </c>
      <c r="J131" s="10">
        <v>0.9874999999999805</v>
      </c>
      <c r="K131" s="10">
        <v>1.2035000000000065</v>
      </c>
      <c r="N131">
        <v>121.15</v>
      </c>
      <c r="O131">
        <v>106.84999999999238</v>
      </c>
      <c r="Q131" s="10">
        <v>1.2349999999999923</v>
      </c>
      <c r="R131" s="10">
        <v>2.9979999999999523</v>
      </c>
      <c r="S131" s="10">
        <v>0.9874999999999805</v>
      </c>
      <c r="T131" s="10">
        <v>2.2040000000000082</v>
      </c>
      <c r="U131" s="10">
        <v>1.2210000000000007E-2</v>
      </c>
      <c r="V131" s="10">
        <v>1.2035000000000065</v>
      </c>
      <c r="W131" s="10">
        <v>3.8964999999983874E-2</v>
      </c>
      <c r="X131" s="10">
        <v>1.0530000000000326</v>
      </c>
      <c r="Y131" s="10">
        <v>0.95399999999997942</v>
      </c>
      <c r="Z131" s="10">
        <v>2.7329999999999655</v>
      </c>
      <c r="AA131" s="10">
        <v>0.98500000000011378</v>
      </c>
      <c r="AB131" s="10">
        <v>3.4659999999998234</v>
      </c>
      <c r="AC131" s="10">
        <v>0.94249999999996159</v>
      </c>
      <c r="AD131" s="10">
        <v>0.84390000000003695</v>
      </c>
      <c r="AE131" s="10">
        <v>0.89499999999994584</v>
      </c>
    </row>
    <row r="132" spans="1:31" x14ac:dyDescent="0.3">
      <c r="A132" s="4">
        <v>46266</v>
      </c>
      <c r="B132" s="10">
        <v>1.3029000000000031</v>
      </c>
      <c r="C132" s="10">
        <v>1.0449799999999987</v>
      </c>
      <c r="D132">
        <v>1.2227816600000001</v>
      </c>
      <c r="E132">
        <v>1.47186796</v>
      </c>
      <c r="F132">
        <v>1.00906037</v>
      </c>
      <c r="G132">
        <v>1.3298810999999999</v>
      </c>
      <c r="H132">
        <v>1.2513122999999999</v>
      </c>
      <c r="I132">
        <v>1.2646346799999999</v>
      </c>
      <c r="J132" s="5">
        <v>0.98939814999999998</v>
      </c>
      <c r="K132" s="10">
        <v>121.6499999999932</v>
      </c>
      <c r="N132" s="5">
        <v>1.2130007899999999</v>
      </c>
      <c r="O132">
        <v>1.06900032</v>
      </c>
      <c r="Q132">
        <v>1.2377929000000001</v>
      </c>
      <c r="R132" s="10">
        <v>2.9999999999999796</v>
      </c>
      <c r="S132" s="10">
        <v>0.98989999999999057</v>
      </c>
      <c r="T132" s="10">
        <v>2.208999999999969</v>
      </c>
      <c r="U132">
        <v>1.21692725E-2</v>
      </c>
      <c r="V132" s="10">
        <v>1.216499999999932</v>
      </c>
      <c r="W132">
        <v>3.9192279999999996E-2</v>
      </c>
      <c r="X132" s="10">
        <v>1.0564999999999569</v>
      </c>
      <c r="Y132" s="10">
        <v>0.95700000000002139</v>
      </c>
      <c r="Z132" s="10">
        <v>2.7399999999998919</v>
      </c>
      <c r="AA132" s="10">
        <v>0.98600000000010002</v>
      </c>
      <c r="AB132" s="10">
        <v>3.4730000000004453</v>
      </c>
      <c r="AC132" s="10">
        <v>0.94290000000002494</v>
      </c>
      <c r="AD132" s="10">
        <v>0.84399999999992059</v>
      </c>
      <c r="AE132" s="10">
        <v>0.89890000000005577</v>
      </c>
    </row>
    <row r="133" spans="1:31" x14ac:dyDescent="0.3">
      <c r="A133" s="4">
        <v>46267</v>
      </c>
      <c r="B133" s="10">
        <v>1.304499999999992</v>
      </c>
      <c r="C133" s="10">
        <v>1.0452999999999957</v>
      </c>
      <c r="D133">
        <v>1.2238402399999999</v>
      </c>
      <c r="E133">
        <v>1.47201179</v>
      </c>
      <c r="F133">
        <v>1.0100603500000001</v>
      </c>
      <c r="G133">
        <v>1.33226589</v>
      </c>
      <c r="H133">
        <v>1.2529571399999999</v>
      </c>
      <c r="I133">
        <v>1.26554419</v>
      </c>
      <c r="J133" s="5">
        <v>0.99174496000000001</v>
      </c>
      <c r="K133" s="5">
        <v>1.2075260000000001</v>
      </c>
      <c r="N133" s="5">
        <v>1.2147051099999999</v>
      </c>
      <c r="O133">
        <v>1.0690074300000001</v>
      </c>
      <c r="Q133">
        <v>1.2384295299999999</v>
      </c>
      <c r="R133" s="10">
        <v>3.0050000000000141</v>
      </c>
      <c r="S133" s="10">
        <v>0.99149999999998228</v>
      </c>
      <c r="T133" s="10">
        <v>2.2160000000000051</v>
      </c>
      <c r="U133">
        <v>1.2199578900000001E-2</v>
      </c>
      <c r="V133" s="10">
        <v>1.2049999999999996</v>
      </c>
      <c r="W133">
        <v>3.9397009000000004E-2</v>
      </c>
      <c r="X133" s="10">
        <v>1.0589999999929522</v>
      </c>
      <c r="Y133" s="10">
        <v>0.96350000000007019</v>
      </c>
      <c r="Z133" s="10">
        <v>2.745000000000211</v>
      </c>
      <c r="AA133" s="10">
        <v>0.99200000000003086</v>
      </c>
      <c r="AB133" s="10">
        <v>3.4830000000000938</v>
      </c>
      <c r="AC133" s="10">
        <v>0.94480000000006414</v>
      </c>
      <c r="AD133" s="10">
        <v>0.84999999999986653</v>
      </c>
      <c r="AE133" s="10">
        <v>0.89949999999993513</v>
      </c>
    </row>
    <row r="134" spans="1:31" x14ac:dyDescent="0.3">
      <c r="A134" s="4">
        <v>46268</v>
      </c>
      <c r="B134" s="10">
        <v>1.3044999999999924</v>
      </c>
      <c r="C134" s="10">
        <v>1.0462999999999953</v>
      </c>
      <c r="D134">
        <v>1.2249302799999999</v>
      </c>
      <c r="E134">
        <v>1.47362075</v>
      </c>
      <c r="F134">
        <v>1.01084299</v>
      </c>
      <c r="G134">
        <v>1.3337051600000001</v>
      </c>
      <c r="H134">
        <v>1.25421118</v>
      </c>
      <c r="I134">
        <v>1.2674897700000001</v>
      </c>
      <c r="J134" s="5">
        <v>0.99424604999999999</v>
      </c>
      <c r="K134" s="5">
        <v>1.20153475</v>
      </c>
      <c r="N134" s="5">
        <v>1.2157256599999999</v>
      </c>
      <c r="O134">
        <v>1.0687348400000001</v>
      </c>
      <c r="Q134">
        <v>1.2404261400000001</v>
      </c>
      <c r="R134" s="10">
        <v>3.0139999999999816</v>
      </c>
      <c r="S134" s="10">
        <v>0.99479999999999691</v>
      </c>
      <c r="T134" s="10">
        <v>2.2240000000000131</v>
      </c>
      <c r="U134">
        <v>1.2234792599999999E-2</v>
      </c>
      <c r="V134" s="10">
        <v>1.2009999999999716</v>
      </c>
      <c r="W134">
        <v>3.9534793200000001E-2</v>
      </c>
      <c r="X134" s="10">
        <v>1.0659999999964804</v>
      </c>
      <c r="Y134" s="10">
        <v>0.96399999999995745</v>
      </c>
      <c r="Z134" s="10">
        <v>2.762500000000029</v>
      </c>
      <c r="AA134" s="10">
        <v>0.997999999999994</v>
      </c>
      <c r="AB134" s="10">
        <v>3.5024999999996709</v>
      </c>
      <c r="AC134" s="10">
        <v>0.95250000000002488</v>
      </c>
      <c r="AD134" s="10">
        <v>0.84699999999998499</v>
      </c>
      <c r="AE134" s="10">
        <v>0.90189999999993675</v>
      </c>
    </row>
    <row r="135" spans="1:31" x14ac:dyDescent="0.3">
      <c r="A135" s="4">
        <v>46269</v>
      </c>
      <c r="B135" s="10">
        <v>1.3070000000000073</v>
      </c>
      <c r="C135" s="10">
        <v>1.0483999999999984</v>
      </c>
      <c r="D135">
        <v>1.2272383499999999</v>
      </c>
      <c r="E135">
        <v>1.4765107900000001</v>
      </c>
      <c r="F135">
        <v>1.0127881299999999</v>
      </c>
      <c r="G135">
        <v>1.33790498</v>
      </c>
      <c r="H135">
        <v>1.2585695299999999</v>
      </c>
      <c r="I135">
        <v>1.2687158999999999</v>
      </c>
      <c r="J135" s="5">
        <v>0.99898215999999995</v>
      </c>
      <c r="K135" s="5">
        <v>1.2075780599999999</v>
      </c>
      <c r="N135" s="5">
        <v>1.2178138199999999</v>
      </c>
      <c r="O135">
        <v>1.0742336400000001</v>
      </c>
      <c r="Q135">
        <v>1.24342201</v>
      </c>
      <c r="R135" s="10">
        <v>3.0199999999999938</v>
      </c>
      <c r="S135" s="10">
        <v>0.99789999999999834</v>
      </c>
      <c r="T135" s="10">
        <v>2.2299999999999964</v>
      </c>
      <c r="U135">
        <v>1.2291440000000001E-2</v>
      </c>
      <c r="V135" s="10">
        <v>1.2074999999999609</v>
      </c>
      <c r="W135">
        <v>3.9560156999999999E-2</v>
      </c>
      <c r="X135" s="10">
        <v>1.0684999999965823</v>
      </c>
      <c r="Y135" s="10">
        <v>0.96899999999259367</v>
      </c>
      <c r="Z135" s="10">
        <v>2.7719999999999363</v>
      </c>
      <c r="AA135" s="10">
        <v>0.99900000000000777</v>
      </c>
      <c r="AB135" s="10">
        <v>3.520000000000171</v>
      </c>
      <c r="AC135" s="10">
        <v>0.954899999999959</v>
      </c>
      <c r="AD135" s="10">
        <v>0.85800000000002685</v>
      </c>
      <c r="AE135" s="10">
        <v>0.90530000000007671</v>
      </c>
    </row>
    <row r="136" spans="1:31" x14ac:dyDescent="0.3">
      <c r="A136" s="4">
        <v>46272</v>
      </c>
      <c r="B136" s="10">
        <v>1.3089999999999902</v>
      </c>
      <c r="C136" s="10">
        <v>1.0493000000000112</v>
      </c>
      <c r="D136">
        <v>1.2289346999999999</v>
      </c>
      <c r="E136">
        <v>1.46987329</v>
      </c>
      <c r="F136">
        <v>1.0133567299999999</v>
      </c>
      <c r="G136">
        <v>1.33824331</v>
      </c>
      <c r="H136">
        <v>1.2595068899999999</v>
      </c>
      <c r="I136">
        <v>1.26933221</v>
      </c>
      <c r="J136" s="5">
        <v>0.99773075</v>
      </c>
      <c r="K136" s="5">
        <v>1.2105391999999999</v>
      </c>
      <c r="N136" s="5">
        <v>1.2177763699999999</v>
      </c>
      <c r="O136">
        <v>1.0713623999999999</v>
      </c>
      <c r="Q136">
        <v>1.2448657999999999</v>
      </c>
      <c r="R136" s="10">
        <v>3.0230000000000041</v>
      </c>
      <c r="S136" s="10">
        <v>0.99750000000000572</v>
      </c>
      <c r="T136" s="10">
        <v>2.2330000000000272</v>
      </c>
      <c r="U136">
        <v>1.2303535999999999E-2</v>
      </c>
      <c r="V136" s="10">
        <v>1.2100000000000359</v>
      </c>
      <c r="W136">
        <v>3.9592439100000001E-2</v>
      </c>
      <c r="X136" s="10">
        <v>1.0684999999962936</v>
      </c>
      <c r="Y136" s="10">
        <v>0.96749999999995362</v>
      </c>
      <c r="Z136" s="10">
        <v>2.7735000000000101</v>
      </c>
      <c r="AA136" s="10">
        <v>1.0000000000000455</v>
      </c>
      <c r="AB136" s="10">
        <v>3.5250000000001283</v>
      </c>
      <c r="AC136" s="10">
        <v>0.95450000000000712</v>
      </c>
      <c r="AD136" s="10">
        <v>0.85350000000005122</v>
      </c>
      <c r="AE136" s="10">
        <v>0.90750000000008424</v>
      </c>
    </row>
    <row r="137" spans="1:31" x14ac:dyDescent="0.3">
      <c r="A137" s="4">
        <v>46273</v>
      </c>
      <c r="B137" s="10">
        <v>1.3099299999999987</v>
      </c>
      <c r="C137" s="10">
        <v>1.0498100000000048</v>
      </c>
      <c r="D137">
        <v>1.22905825</v>
      </c>
      <c r="E137">
        <v>1.4748975499999999</v>
      </c>
      <c r="F137">
        <v>1.01323655</v>
      </c>
      <c r="G137">
        <v>1.3382574899999999</v>
      </c>
      <c r="H137">
        <v>1.2577613400000001</v>
      </c>
      <c r="I137">
        <v>1.27103747</v>
      </c>
      <c r="J137" s="5">
        <v>0.99844274</v>
      </c>
      <c r="K137" s="5">
        <v>1.2125095699999999</v>
      </c>
      <c r="N137" s="5">
        <v>1.2177810499999999</v>
      </c>
      <c r="O137">
        <v>1.0716682</v>
      </c>
      <c r="Q137">
        <v>1.2462282225646</v>
      </c>
      <c r="R137" s="10">
        <v>3.0250000000000159</v>
      </c>
      <c r="S137" s="10">
        <v>0.99819999999997644</v>
      </c>
      <c r="T137" s="10">
        <v>2.2334999999999572</v>
      </c>
      <c r="U137">
        <v>1.23E-2</v>
      </c>
      <c r="V137" s="10">
        <v>1.2104999999999702</v>
      </c>
      <c r="W137">
        <v>3.9737443400000003E-2</v>
      </c>
      <c r="X137" s="10">
        <v>1.0694999999963644</v>
      </c>
      <c r="Y137" s="10">
        <v>0.96999999999235842</v>
      </c>
      <c r="Z137" s="10">
        <v>2.7760000000000189</v>
      </c>
      <c r="AA137" s="10">
        <v>1.0014999999999605</v>
      </c>
      <c r="AB137" s="10">
        <v>3.5239999999998997</v>
      </c>
      <c r="AC137" s="10">
        <v>0.95450000000009039</v>
      </c>
      <c r="AD137" s="10">
        <v>0.84910000000003027</v>
      </c>
      <c r="AE137" s="10">
        <v>0.90300000000007796</v>
      </c>
    </row>
    <row r="138" spans="1:31" x14ac:dyDescent="0.3">
      <c r="A138" s="4">
        <v>46274</v>
      </c>
      <c r="B138" s="10">
        <v>1.3104900000000006</v>
      </c>
      <c r="C138" s="10">
        <v>1.0499999999999945</v>
      </c>
      <c r="D138">
        <v>1.2284157899999999</v>
      </c>
      <c r="E138">
        <v>1.4749056899999999</v>
      </c>
      <c r="F138">
        <v>1.0115057599999999</v>
      </c>
      <c r="G138">
        <v>1.3364771</v>
      </c>
      <c r="H138">
        <v>1.25681132</v>
      </c>
      <c r="I138">
        <v>1.2679330499999999</v>
      </c>
      <c r="J138" s="5">
        <v>0.99758399999999992</v>
      </c>
      <c r="K138" s="5">
        <v>1.2110000000000001</v>
      </c>
      <c r="N138" s="5">
        <v>1.21875841</v>
      </c>
      <c r="O138">
        <v>1.0749949999999999</v>
      </c>
      <c r="Q138">
        <v>1.2453557799999999</v>
      </c>
      <c r="R138" s="10">
        <v>3.0219999999999754</v>
      </c>
      <c r="S138" s="10">
        <v>0.99650000000000272</v>
      </c>
      <c r="T138" s="10">
        <v>2.2325000000000044</v>
      </c>
      <c r="U138">
        <v>1.23158768E-2</v>
      </c>
      <c r="V138" s="10">
        <v>1.2109999999999201</v>
      </c>
      <c r="W138">
        <v>3.9671134600000005E-2</v>
      </c>
      <c r="X138" s="10">
        <v>1.0699999999962682</v>
      </c>
      <c r="Y138" s="10">
        <v>0.96849999999997105</v>
      </c>
      <c r="Z138" s="10">
        <v>2.7754999999999983</v>
      </c>
      <c r="AA138" s="10">
        <v>0.99900000000003064</v>
      </c>
      <c r="AB138" s="10">
        <v>3.5230000000001986</v>
      </c>
      <c r="AC138" s="10">
        <v>0.95449999999996238</v>
      </c>
      <c r="AD138" s="10">
        <v>0.85750000000002236</v>
      </c>
      <c r="AE138" s="10">
        <v>0.90499999999995651</v>
      </c>
    </row>
    <row r="139" spans="1:31" x14ac:dyDescent="0.3">
      <c r="A139" s="4">
        <v>46275</v>
      </c>
      <c r="B139" s="10">
        <v>1.3116999999999934</v>
      </c>
      <c r="C139" s="10">
        <v>1.0504999999999891</v>
      </c>
      <c r="D139">
        <v>1.2302787399999999</v>
      </c>
      <c r="E139">
        <v>1.47846571</v>
      </c>
      <c r="F139">
        <v>1.0156021799999999</v>
      </c>
      <c r="G139">
        <v>1.3407502899999999</v>
      </c>
      <c r="H139">
        <v>1.2607528299999999</v>
      </c>
      <c r="I139">
        <v>1.2725215599999999</v>
      </c>
      <c r="J139" s="5">
        <v>0.99770473999999998</v>
      </c>
      <c r="K139" s="5">
        <v>1.2090000000000001</v>
      </c>
      <c r="N139" s="5">
        <v>1.2171409900000001</v>
      </c>
      <c r="O139">
        <v>1.07449996</v>
      </c>
      <c r="Q139">
        <v>1.2462244</v>
      </c>
      <c r="R139" s="10">
        <v>3.0250000000000083</v>
      </c>
      <c r="S139" s="10">
        <v>0.99709999999999865</v>
      </c>
      <c r="T139" s="10">
        <v>2.2325000000000643</v>
      </c>
      <c r="U139">
        <v>1.2250563999999999E-2</v>
      </c>
      <c r="V139" s="10">
        <v>1.209000000000042</v>
      </c>
      <c r="W139">
        <v>3.9624615599999996E-2</v>
      </c>
      <c r="X139" s="10">
        <v>1.0714999999966215</v>
      </c>
      <c r="Y139" s="10">
        <v>0.97249999999336922</v>
      </c>
      <c r="Z139" s="10">
        <v>2.7790000000000292</v>
      </c>
      <c r="AA139" s="10">
        <v>0.99800000000001565</v>
      </c>
      <c r="AB139" s="10">
        <v>3.5249999999998893</v>
      </c>
      <c r="AC139" s="10">
        <v>0.95549999999993984</v>
      </c>
      <c r="AD139" s="10">
        <v>0.85510000000010511</v>
      </c>
      <c r="AE139" s="10">
        <v>0.90000000000009384</v>
      </c>
    </row>
    <row r="140" spans="1:31" x14ac:dyDescent="0.3">
      <c r="A140" s="4">
        <v>46276</v>
      </c>
      <c r="B140" s="10">
        <v>1.3135000000000026</v>
      </c>
      <c r="C140" s="10">
        <v>1.0527999999999988</v>
      </c>
      <c r="D140">
        <v>1.23192268</v>
      </c>
      <c r="E140">
        <v>1.48303425</v>
      </c>
      <c r="F140">
        <v>1.0171820300000001</v>
      </c>
      <c r="G140">
        <v>1.3419946</v>
      </c>
      <c r="H140">
        <v>1.2616848199999999</v>
      </c>
      <c r="I140">
        <v>1.2753461699999999</v>
      </c>
      <c r="J140" s="5">
        <v>1.00047303</v>
      </c>
      <c r="K140" s="5">
        <v>1.2105345000000001</v>
      </c>
      <c r="N140" s="5">
        <v>1.22005713</v>
      </c>
      <c r="O140">
        <v>1.0730103600000001</v>
      </c>
      <c r="Q140">
        <v>1.24903546</v>
      </c>
      <c r="R140" s="10">
        <v>3.0425000000000058</v>
      </c>
      <c r="S140" s="10">
        <v>0.9991999999999841</v>
      </c>
      <c r="T140" s="10">
        <v>2.2330000000000059</v>
      </c>
      <c r="U140">
        <v>1.23002079E-2</v>
      </c>
      <c r="V140" s="10">
        <v>1.2104999999999722</v>
      </c>
      <c r="W140">
        <v>3.9727677400000001E-2</v>
      </c>
      <c r="X140" s="10">
        <v>1.072499999996146</v>
      </c>
      <c r="Y140" s="10">
        <v>0.97299999999211417</v>
      </c>
      <c r="Z140" s="10">
        <v>2.7835000000000605</v>
      </c>
      <c r="AA140" s="10">
        <v>1.0039999999999558</v>
      </c>
      <c r="AB140" s="10">
        <v>3.5280000000001173</v>
      </c>
      <c r="AC140" s="10">
        <v>0.95700000000003682</v>
      </c>
      <c r="AD140" s="10">
        <v>0.86200000000003341</v>
      </c>
      <c r="AE140" s="10">
        <v>0.90320000000008605</v>
      </c>
    </row>
    <row r="141" spans="1:31" x14ac:dyDescent="0.3">
      <c r="A141" s="4">
        <v>46279</v>
      </c>
      <c r="B141" s="10">
        <v>1.316069999999993</v>
      </c>
      <c r="C141" s="10">
        <v>1.0550000000000055</v>
      </c>
      <c r="D141">
        <v>1.2354439699999999</v>
      </c>
      <c r="E141">
        <v>1.48588655</v>
      </c>
      <c r="F141">
        <v>1.0194176500000001</v>
      </c>
      <c r="G141">
        <v>1.34450995</v>
      </c>
      <c r="H141">
        <v>1.2666343</v>
      </c>
      <c r="I141">
        <v>1.27760388</v>
      </c>
      <c r="J141" s="5">
        <v>1.0060696</v>
      </c>
      <c r="K141" s="5">
        <v>1.2153985300000001</v>
      </c>
      <c r="N141" s="5">
        <v>1.22405823</v>
      </c>
      <c r="O141">
        <v>1.0804226100000001</v>
      </c>
      <c r="Q141">
        <v>1.25289889</v>
      </c>
      <c r="R141" s="10">
        <v>3.0449999999999813</v>
      </c>
      <c r="S141" s="10">
        <v>1.0064899999999881</v>
      </c>
      <c r="T141" s="10">
        <v>2.2495000000000811</v>
      </c>
      <c r="U141">
        <v>1.24151338E-2</v>
      </c>
      <c r="V141" s="10">
        <v>1.2154999999999696</v>
      </c>
      <c r="W141">
        <v>3.9954636000000002E-2</v>
      </c>
      <c r="X141" s="10">
        <v>1.0794999999981763</v>
      </c>
      <c r="Y141" s="10">
        <v>0.9798999999961745</v>
      </c>
      <c r="Z141" s="10">
        <v>2.7950000000000643</v>
      </c>
      <c r="AA141" s="10">
        <v>1.010499999999956</v>
      </c>
      <c r="AB141" s="10">
        <v>3.5425000000000115</v>
      </c>
      <c r="AC141" s="10">
        <v>0.95999999999996788</v>
      </c>
      <c r="AD141" s="10">
        <v>0.86500000000014976</v>
      </c>
      <c r="AE141" s="10">
        <v>0.9084000000000978</v>
      </c>
    </row>
    <row r="142" spans="1:31" x14ac:dyDescent="0.3">
      <c r="A142" s="4">
        <v>46280</v>
      </c>
      <c r="B142" s="10">
        <v>1.3173000000000048</v>
      </c>
      <c r="C142" s="10">
        <v>1.055950000000009</v>
      </c>
      <c r="D142">
        <v>1.2365159999999999</v>
      </c>
      <c r="E142">
        <v>1.48790837</v>
      </c>
      <c r="F142">
        <v>1.02044128</v>
      </c>
      <c r="G142">
        <v>1.34564097</v>
      </c>
      <c r="H142">
        <v>1.26531796</v>
      </c>
      <c r="I142">
        <v>1.2780193399999999</v>
      </c>
      <c r="J142" s="5">
        <v>1.0074688599999999</v>
      </c>
      <c r="K142" s="5">
        <v>1.22277905</v>
      </c>
      <c r="N142" s="5">
        <v>1.2258720400000001</v>
      </c>
      <c r="O142">
        <v>1.0821337499999999</v>
      </c>
      <c r="Q142">
        <v>1.2540483200000001</v>
      </c>
      <c r="R142" s="10">
        <v>3.047000000000037</v>
      </c>
      <c r="S142" s="10">
        <v>1.0075000000000081</v>
      </c>
      <c r="T142" s="10">
        <v>2.2529999999999681</v>
      </c>
      <c r="U142">
        <v>1.24550297E-2</v>
      </c>
      <c r="V142" s="10">
        <v>1.2220000000000029</v>
      </c>
      <c r="W142">
        <v>4.0055003100000007E-2</v>
      </c>
      <c r="X142" s="10">
        <v>1.0844999999989762</v>
      </c>
      <c r="Y142" s="10">
        <v>0.98499999999783905</v>
      </c>
      <c r="Z142" s="10">
        <v>2.8039999999999963</v>
      </c>
      <c r="AA142" s="10">
        <v>1.0115000000000631</v>
      </c>
      <c r="AB142" s="10">
        <v>3.5484999999998235</v>
      </c>
      <c r="AC142" s="10">
        <v>0.96099999999999541</v>
      </c>
      <c r="AD142" s="10">
        <v>0.86389999999996803</v>
      </c>
      <c r="AE142" s="10">
        <v>0.91119999999991008</v>
      </c>
    </row>
    <row r="143" spans="1:31" x14ac:dyDescent="0.3">
      <c r="A143" s="4">
        <v>46281</v>
      </c>
      <c r="B143" s="10">
        <v>1.3188500000000039</v>
      </c>
      <c r="C143" s="10">
        <v>1.0568500000000096</v>
      </c>
      <c r="D143">
        <v>1.2379524099999999</v>
      </c>
      <c r="E143">
        <v>1.4886435099999999</v>
      </c>
      <c r="F143">
        <v>1.02140539</v>
      </c>
      <c r="G143">
        <v>1.3460999</v>
      </c>
      <c r="H143">
        <v>1.2667624900000001</v>
      </c>
      <c r="I143">
        <v>1.2794401099999999</v>
      </c>
      <c r="J143" s="5">
        <v>1.0089119499999999</v>
      </c>
      <c r="K143" s="5">
        <v>1.22891895</v>
      </c>
      <c r="N143" s="5">
        <v>1.22719931</v>
      </c>
      <c r="O143">
        <v>1.08499287</v>
      </c>
      <c r="Q143">
        <v>1.25687583</v>
      </c>
      <c r="R143" s="10">
        <v>3.0500000000000047</v>
      </c>
      <c r="S143" s="10">
        <v>1.0089999999999808</v>
      </c>
      <c r="T143" s="10">
        <v>2.2595000000000058</v>
      </c>
      <c r="U143">
        <v>1.2507881199999999E-2</v>
      </c>
      <c r="V143" s="10">
        <v>1.2374999999999945</v>
      </c>
      <c r="W143">
        <v>4.0296776000000006E-2</v>
      </c>
      <c r="X143" s="10">
        <v>1.0869999999992119</v>
      </c>
      <c r="Y143" s="10">
        <v>0.98849999999848026</v>
      </c>
      <c r="Z143" s="10">
        <v>2.8100000000000529</v>
      </c>
      <c r="AA143" s="10">
        <v>1.0094999999999192</v>
      </c>
      <c r="AB143" s="10">
        <v>3.548500000000069</v>
      </c>
      <c r="AC143" s="10">
        <v>0.96130000000001614</v>
      </c>
      <c r="AD143" s="10">
        <v>0.86499999999993671</v>
      </c>
      <c r="AE143" s="10">
        <v>0.90700000000004455</v>
      </c>
    </row>
    <row r="144" spans="1:31" x14ac:dyDescent="0.3">
      <c r="A144" s="4">
        <v>46282</v>
      </c>
      <c r="B144" s="10">
        <v>1.3215999999999994</v>
      </c>
      <c r="C144" s="10">
        <v>1.0587999999999993</v>
      </c>
      <c r="D144">
        <v>1.2397538800000001</v>
      </c>
      <c r="E144">
        <v>1.49184129</v>
      </c>
      <c r="F144">
        <v>1.0235362400000001</v>
      </c>
      <c r="G144">
        <v>1.3498274699999999</v>
      </c>
      <c r="H144">
        <v>1.26914003</v>
      </c>
      <c r="I144">
        <v>1.28144792</v>
      </c>
      <c r="J144" s="5">
        <v>1.01114254</v>
      </c>
      <c r="K144" s="5">
        <v>1.23183869</v>
      </c>
      <c r="N144" s="5">
        <v>1.22855866</v>
      </c>
      <c r="O144">
        <v>1.08743849</v>
      </c>
      <c r="Q144">
        <v>1.25794154</v>
      </c>
      <c r="R144" s="10">
        <v>3.0559999999999494</v>
      </c>
      <c r="S144" s="10">
        <v>1.0119999999999989</v>
      </c>
      <c r="T144" s="10">
        <v>2.2655000000000269</v>
      </c>
      <c r="U144">
        <v>1.2501676100000001E-2</v>
      </c>
      <c r="V144" s="10">
        <v>1.2324999999999775</v>
      </c>
      <c r="W144">
        <v>4.0408822699999999E-2</v>
      </c>
      <c r="X144" s="10">
        <v>1.0899999999994114</v>
      </c>
      <c r="Y144" s="10">
        <v>0.994999999999303</v>
      </c>
      <c r="Z144" s="10">
        <v>2.8165000000001545</v>
      </c>
      <c r="AA144" s="10">
        <v>1.0125000000000073</v>
      </c>
      <c r="AB144" s="10">
        <v>3.5529999999999831</v>
      </c>
      <c r="AC144" s="10">
        <v>0.96549999999992053</v>
      </c>
      <c r="AD144" s="10">
        <v>0.86050000000003546</v>
      </c>
      <c r="AE144" s="10">
        <v>0.91000000000006009</v>
      </c>
    </row>
    <row r="145" spans="1:31" x14ac:dyDescent="0.3">
      <c r="A145" s="4">
        <v>46283</v>
      </c>
      <c r="B145" s="10">
        <v>1.3229999999999915</v>
      </c>
      <c r="C145" s="10">
        <v>1.0596999999999936</v>
      </c>
      <c r="D145">
        <v>1.2423725800000001</v>
      </c>
      <c r="E145">
        <v>1.49517514</v>
      </c>
      <c r="F145">
        <v>1.0260089699999999</v>
      </c>
      <c r="G145">
        <v>1.35145396</v>
      </c>
      <c r="H145">
        <v>1.2733092399999999</v>
      </c>
      <c r="I145">
        <v>1.28285122</v>
      </c>
      <c r="J145" s="5">
        <v>1.0129376000000001</v>
      </c>
      <c r="K145" s="5">
        <v>1.2382925</v>
      </c>
      <c r="N145" s="5">
        <v>1.23204487</v>
      </c>
      <c r="O145">
        <v>1.09631334</v>
      </c>
      <c r="Q145">
        <v>1.2604560199999999</v>
      </c>
      <c r="R145" s="10">
        <v>3.0619999999999896</v>
      </c>
      <c r="S145" s="10">
        <v>1.0129900000000052</v>
      </c>
      <c r="T145" s="10">
        <v>2.2689999999999717</v>
      </c>
      <c r="U145">
        <v>1.2505011100000001E-2</v>
      </c>
      <c r="V145" s="10">
        <v>1.2304999999999611</v>
      </c>
      <c r="W145">
        <v>4.0684693399999999E-2</v>
      </c>
      <c r="X145" s="10">
        <v>1.0924999999994582</v>
      </c>
      <c r="Y145" s="10">
        <v>0.99449999999906813</v>
      </c>
      <c r="Z145" s="10">
        <v>2.8230000000000439</v>
      </c>
      <c r="AA145" s="10">
        <v>1.0119999999999667</v>
      </c>
      <c r="AB145" s="10">
        <v>3.5565000000000593</v>
      </c>
      <c r="AC145" s="10">
        <v>0.96450000000004321</v>
      </c>
      <c r="AD145" s="10">
        <v>0.86299999999993471</v>
      </c>
      <c r="AE145" s="10">
        <v>0.91549999999991882</v>
      </c>
    </row>
    <row r="146" spans="1:31" x14ac:dyDescent="0.3">
      <c r="A146" s="4">
        <v>46286</v>
      </c>
      <c r="B146" s="10">
        <v>1.3244999999999971</v>
      </c>
      <c r="C146" s="10">
        <v>1.0604000000000007</v>
      </c>
      <c r="D146">
        <v>1.24243803</v>
      </c>
      <c r="E146">
        <v>1.49389584</v>
      </c>
      <c r="F146">
        <v>1.0249857200000001</v>
      </c>
      <c r="G146">
        <v>1.3505734700000001</v>
      </c>
      <c r="H146">
        <v>1.2723530999999999</v>
      </c>
      <c r="I146">
        <v>1.28300897</v>
      </c>
      <c r="J146" s="5">
        <v>1.0114465399999999</v>
      </c>
      <c r="K146" s="5">
        <v>1.2340932099999999</v>
      </c>
      <c r="N146" s="5">
        <v>1.2316546799999999</v>
      </c>
      <c r="O146">
        <v>1.0946988600000001</v>
      </c>
      <c r="Q146">
        <v>1.26070404</v>
      </c>
      <c r="R146" s="10">
        <v>3.06099999999998</v>
      </c>
      <c r="S146" s="10">
        <v>1.0114999999999863</v>
      </c>
      <c r="T146" s="10">
        <v>2.2669999999999919</v>
      </c>
      <c r="U146">
        <v>1.2535023700000002E-2</v>
      </c>
      <c r="V146" s="10">
        <v>1.2349999999999519</v>
      </c>
      <c r="W146">
        <v>4.0488869199999999E-2</v>
      </c>
      <c r="X146" s="10">
        <v>1.0894999999990755</v>
      </c>
      <c r="Y146" s="10">
        <v>0.98749999999740767</v>
      </c>
      <c r="Z146" s="10">
        <v>2.8189999999999218</v>
      </c>
      <c r="AA146" s="10">
        <v>1.0099999999999976</v>
      </c>
      <c r="AB146" s="10">
        <v>3.5524999999998057</v>
      </c>
      <c r="AC146" s="10">
        <v>0.96199999999991304</v>
      </c>
      <c r="AD146" s="10">
        <v>0.8585999999999594</v>
      </c>
      <c r="AE146" s="10">
        <v>0.90869999999988105</v>
      </c>
    </row>
    <row r="147" spans="1:31" x14ac:dyDescent="0.3">
      <c r="A147" s="4">
        <v>46287</v>
      </c>
      <c r="B147" s="10">
        <v>1.3240999999999901</v>
      </c>
      <c r="C147" s="10">
        <v>1.0606699999999867</v>
      </c>
      <c r="D147">
        <v>1.2424581299999999</v>
      </c>
      <c r="E147">
        <v>1.4940571</v>
      </c>
      <c r="F147">
        <v>1.0253491100000001</v>
      </c>
      <c r="G147">
        <v>1.3507939900000001</v>
      </c>
      <c r="H147">
        <v>1.2718339400000001</v>
      </c>
      <c r="I147">
        <v>1.28149376</v>
      </c>
      <c r="J147" s="5">
        <v>1.01226349</v>
      </c>
      <c r="K147" s="5">
        <v>1.2315646899999999</v>
      </c>
      <c r="N147" s="5">
        <v>1.2316048500000001</v>
      </c>
      <c r="O147">
        <v>1.08999808</v>
      </c>
      <c r="Q147">
        <v>1.2606395699999999</v>
      </c>
      <c r="R147" s="10">
        <v>3.0625000000000107</v>
      </c>
      <c r="S147" s="10">
        <v>1.0115000000000116</v>
      </c>
      <c r="T147" s="10">
        <v>2.2669999999999391</v>
      </c>
      <c r="U147">
        <v>1.2519247399999999E-2</v>
      </c>
      <c r="V147" s="10">
        <v>1.2425000000000168</v>
      </c>
      <c r="W147">
        <v>4.0369820399999999E-2</v>
      </c>
      <c r="X147" s="10">
        <v>1.0899999999990058</v>
      </c>
      <c r="Y147" s="10">
        <v>0.98499999999608112</v>
      </c>
      <c r="Z147" s="10">
        <v>2.8129999999999864</v>
      </c>
      <c r="AA147" s="10">
        <v>1.0089999999999579</v>
      </c>
      <c r="AB147" s="10">
        <v>3.5450000000001927</v>
      </c>
      <c r="AC147" s="10">
        <v>0.9594999999999978</v>
      </c>
      <c r="AD147" s="10">
        <v>0.85999999999994314</v>
      </c>
      <c r="AE147" s="10">
        <v>0.90749999999993436</v>
      </c>
    </row>
    <row r="148" spans="1:31" x14ac:dyDescent="0.3">
      <c r="A148" s="4">
        <v>46288</v>
      </c>
      <c r="B148" s="10">
        <v>1.3243999999999927</v>
      </c>
      <c r="C148" s="10">
        <v>1.0609999999999979</v>
      </c>
      <c r="D148">
        <v>1.2429414299999999</v>
      </c>
      <c r="E148">
        <v>1.4939936199999999</v>
      </c>
      <c r="F148">
        <v>1.0240504800000001</v>
      </c>
      <c r="G148">
        <v>1.3492921600000001</v>
      </c>
      <c r="H148">
        <v>1.26972865</v>
      </c>
      <c r="I148">
        <v>1.2815449699999999</v>
      </c>
      <c r="J148" s="5">
        <v>1.0113740099999999</v>
      </c>
      <c r="K148" s="5">
        <v>1.2301632499999999</v>
      </c>
      <c r="N148" s="5">
        <v>1.2308570400000001</v>
      </c>
      <c r="O148">
        <v>1.09026702</v>
      </c>
      <c r="Q148">
        <v>1.26129709</v>
      </c>
      <c r="R148" s="10">
        <v>3.0625000000000013</v>
      </c>
      <c r="S148" s="10">
        <v>1.0125000000000015</v>
      </c>
      <c r="T148" s="10">
        <v>2.2659999999999672</v>
      </c>
      <c r="U148">
        <v>1.2503633599999999E-2</v>
      </c>
      <c r="V148" s="10">
        <v>1.2400000000000349</v>
      </c>
      <c r="W148">
        <v>4.03251793E-2</v>
      </c>
      <c r="X148" s="10">
        <v>1.0869999999983242</v>
      </c>
      <c r="Y148" s="10">
        <v>0.98499999999575338</v>
      </c>
      <c r="Z148" s="10">
        <v>2.7990000000000146</v>
      </c>
      <c r="AA148" s="10">
        <v>1.0059999999999585</v>
      </c>
      <c r="AB148" s="10">
        <v>3.5314999999999919</v>
      </c>
      <c r="AC148" s="10">
        <v>0.95499999999999874</v>
      </c>
      <c r="AD148" s="10">
        <v>0.85399999999998955</v>
      </c>
      <c r="AE148" s="10">
        <v>0.90300000000001757</v>
      </c>
    </row>
    <row r="149" spans="1:31" x14ac:dyDescent="0.3">
      <c r="A149" s="4">
        <v>46289</v>
      </c>
      <c r="B149" s="10">
        <v>1.3241999999999892</v>
      </c>
      <c r="C149" s="10">
        <v>1.0620999999999947</v>
      </c>
      <c r="D149">
        <v>1.2441817799999999</v>
      </c>
      <c r="E149">
        <v>1.49460317</v>
      </c>
      <c r="F149">
        <v>1.02456668</v>
      </c>
      <c r="G149">
        <v>1.3479110400000001</v>
      </c>
      <c r="H149">
        <v>1.2679350199999999</v>
      </c>
      <c r="I149">
        <v>1.2796838800000001</v>
      </c>
      <c r="J149" s="5">
        <v>1.01355576</v>
      </c>
      <c r="K149" s="5">
        <v>1.2290459600000001</v>
      </c>
      <c r="N149" s="5">
        <v>1.23299767</v>
      </c>
      <c r="O149">
        <v>1.0917816499999999</v>
      </c>
      <c r="Q149">
        <v>1.2624856600000001</v>
      </c>
      <c r="R149" s="10">
        <v>3.0664999999999965</v>
      </c>
      <c r="S149" s="10">
        <v>1.0148999999999895</v>
      </c>
      <c r="T149" s="10">
        <v>2.2664999999999433</v>
      </c>
      <c r="U149">
        <v>1.2430008400000001E-2</v>
      </c>
      <c r="V149" s="10">
        <v>1.2219999999999676</v>
      </c>
      <c r="W149">
        <v>4.0260275500000005E-2</v>
      </c>
      <c r="X149" s="10">
        <v>1.084999999997734</v>
      </c>
      <c r="Y149" s="10">
        <v>0.98349999999456572</v>
      </c>
      <c r="Z149" s="10">
        <v>2.8020000000000977</v>
      </c>
      <c r="AA149" s="10">
        <v>1.0079999999999665</v>
      </c>
      <c r="AB149" s="10">
        <v>3.5280000000003597</v>
      </c>
      <c r="AC149" s="10">
        <v>0.9530000000000165</v>
      </c>
      <c r="AD149" s="10">
        <v>0.85300000000004061</v>
      </c>
      <c r="AE149" s="10">
        <v>0.90290000000004189</v>
      </c>
    </row>
    <row r="150" spans="1:31" x14ac:dyDescent="0.3">
      <c r="A150" s="4">
        <v>46290</v>
      </c>
      <c r="B150" s="10">
        <v>1.3270999999999993</v>
      </c>
      <c r="C150" s="10">
        <v>1.0641999999999954</v>
      </c>
      <c r="D150">
        <v>1.24693685</v>
      </c>
      <c r="E150">
        <v>1.4954674699999999</v>
      </c>
      <c r="F150">
        <v>1.0266372500000001</v>
      </c>
      <c r="G150">
        <v>1.3493975899999999</v>
      </c>
      <c r="H150">
        <v>1.26970279</v>
      </c>
      <c r="I150">
        <v>1.2844502499999999</v>
      </c>
      <c r="J150" s="5">
        <v>1.0173794300000001</v>
      </c>
      <c r="K150" s="5">
        <v>1.22755076</v>
      </c>
      <c r="N150" s="5">
        <v>1.23756672</v>
      </c>
      <c r="O150">
        <v>1.09202855</v>
      </c>
      <c r="Q150">
        <v>1.2646537799999999</v>
      </c>
      <c r="R150" s="10">
        <v>3.07400000000003</v>
      </c>
      <c r="S150" s="10">
        <v>1.0155999999999883</v>
      </c>
      <c r="T150" s="10">
        <v>2.2685000000000088</v>
      </c>
      <c r="U150">
        <v>1.2490924465058999E-2</v>
      </c>
      <c r="V150" s="10">
        <v>1.2280000000000222</v>
      </c>
      <c r="W150">
        <v>4.0183252900000001E-2</v>
      </c>
      <c r="X150" s="10">
        <v>1.0869999999976541</v>
      </c>
      <c r="Y150" s="10">
        <v>0.98599999999493604</v>
      </c>
      <c r="Z150" s="10">
        <v>2.8030000000001389</v>
      </c>
      <c r="AA150" s="10">
        <v>1.0075000000000152</v>
      </c>
      <c r="AB150" s="10">
        <v>3.522499999999781</v>
      </c>
      <c r="AC150" s="10">
        <v>0.95149999999997692</v>
      </c>
      <c r="AD150" s="10">
        <v>0.8524999999999533</v>
      </c>
      <c r="AE150" s="10">
        <v>0.90000000000007818</v>
      </c>
    </row>
    <row r="151" spans="1:31" x14ac:dyDescent="0.3">
      <c r="A151" s="4">
        <f>+WORKDAY(A150,1,Feriados!$A$2:$A$38)</f>
        <v>46293</v>
      </c>
      <c r="B151" s="10">
        <v>1.3280099999999964</v>
      </c>
      <c r="C151" s="10">
        <v>1.0649999999999995</v>
      </c>
      <c r="D151">
        <v>1.2469439899999999</v>
      </c>
      <c r="E151">
        <v>1.4964230700000001</v>
      </c>
      <c r="F151">
        <v>1.0268137500000001</v>
      </c>
      <c r="G151">
        <v>1.3470452900000001</v>
      </c>
      <c r="H151">
        <v>1.2672363799999999</v>
      </c>
      <c r="I151">
        <v>1.2805150000000001</v>
      </c>
      <c r="J151" s="5">
        <v>1.01737356</v>
      </c>
      <c r="K151" s="5">
        <v>1.23092727</v>
      </c>
      <c r="N151" s="5">
        <v>1.2389035100000001</v>
      </c>
      <c r="O151">
        <v>1.0912433500000001</v>
      </c>
      <c r="Q151">
        <v>1.26614878</v>
      </c>
      <c r="R151" s="10">
        <v>3.0765000000000113</v>
      </c>
      <c r="S151" s="10">
        <v>1.017499999999997</v>
      </c>
      <c r="T151" s="10">
        <v>2.2729999999999593</v>
      </c>
      <c r="U151">
        <v>1.2595746100000001E-2</v>
      </c>
      <c r="V151" s="10">
        <v>1.2360000000000495</v>
      </c>
      <c r="W151">
        <v>4.0270874499999998E-2</v>
      </c>
      <c r="X151" s="10">
        <v>1.0874999999976174</v>
      </c>
      <c r="Y151" s="10">
        <v>0.98649999999477211</v>
      </c>
      <c r="Z151" s="10">
        <v>2.8100000000002066</v>
      </c>
      <c r="AA151" s="10">
        <v>1.0060000000000164</v>
      </c>
      <c r="AB151" s="10">
        <v>3.4984999999999569</v>
      </c>
      <c r="AC151" s="10">
        <v>0.95099999999997764</v>
      </c>
      <c r="AD151" s="10">
        <v>0.84510000000002394</v>
      </c>
      <c r="AE151" s="10">
        <v>0.89299999999991853</v>
      </c>
    </row>
    <row r="152" spans="1:31" x14ac:dyDescent="0.3">
      <c r="A152" s="4">
        <f>+WORKDAY(A151,1,Feriados!$A$2:$A$38)</f>
        <v>46294</v>
      </c>
      <c r="B152" s="10">
        <v>1.3305300000000013</v>
      </c>
      <c r="C152" s="10">
        <v>1.0657300000000109</v>
      </c>
      <c r="D152">
        <v>1.2482832399999999</v>
      </c>
      <c r="E152">
        <v>1.49537925</v>
      </c>
      <c r="F152">
        <v>1.02808225</v>
      </c>
      <c r="G152">
        <v>1.34858872</v>
      </c>
      <c r="H152">
        <v>1.2681650499999999</v>
      </c>
      <c r="I152">
        <v>1.2803557299999999</v>
      </c>
      <c r="J152" s="5">
        <v>1.01798637</v>
      </c>
      <c r="K152" s="5">
        <v>1.22842539</v>
      </c>
      <c r="N152" s="5">
        <v>1.2374037200000001</v>
      </c>
      <c r="O152">
        <v>1.08950003</v>
      </c>
      <c r="Q152">
        <v>1.2669357299999999</v>
      </c>
      <c r="R152" s="10">
        <v>3.0775000000000134</v>
      </c>
      <c r="S152" s="10">
        <v>1.0181900000000019</v>
      </c>
      <c r="T152" s="10">
        <v>2.2774999999999714</v>
      </c>
      <c r="U152">
        <v>1.2490000000000001E-2</v>
      </c>
      <c r="V152" s="10">
        <v>1.2284999999999571</v>
      </c>
      <c r="W152">
        <v>4.0389832799999997E-2</v>
      </c>
      <c r="X152" s="10">
        <v>1.0879999999975303</v>
      </c>
      <c r="Y152" s="10">
        <v>0.98899999999582644</v>
      </c>
      <c r="Z152" s="10">
        <v>2.8035000000000241</v>
      </c>
      <c r="AA152" s="10">
        <v>1.0049999999999328</v>
      </c>
      <c r="AB152" s="10">
        <v>3.5045000000001187</v>
      </c>
      <c r="AC152" s="10">
        <v>0.94600000000004614</v>
      </c>
      <c r="AD152" s="10">
        <v>0.8470000000000083</v>
      </c>
      <c r="AE152" s="10">
        <v>0.89789999999993853</v>
      </c>
    </row>
    <row r="153" spans="1:31" x14ac:dyDescent="0.3">
      <c r="A153" s="4">
        <f>+WORKDAY(A152,1,Feriados!$A$2:$A$38)</f>
        <v>46295</v>
      </c>
      <c r="B153" s="10">
        <v>1.3315000000000026</v>
      </c>
      <c r="C153" s="10">
        <v>1.0670000000000064</v>
      </c>
      <c r="D153">
        <v>1.2495673300000001</v>
      </c>
      <c r="E153">
        <v>1.4983319500000001</v>
      </c>
      <c r="F153">
        <v>1.0294134500000001</v>
      </c>
      <c r="G153">
        <v>1.3505428799999999</v>
      </c>
      <c r="H153">
        <v>1.2717833300000001</v>
      </c>
      <c r="I153">
        <v>1.2849759700000001</v>
      </c>
      <c r="J153" s="5">
        <v>1.0209493199999999</v>
      </c>
      <c r="K153" s="5">
        <v>1.2336243200000001</v>
      </c>
      <c r="N153" s="5">
        <v>1.2382487799999999</v>
      </c>
      <c r="O153">
        <v>1.09140441</v>
      </c>
      <c r="Q153">
        <v>1.2695935</v>
      </c>
      <c r="R153" s="10">
        <v>3.0840000000000094</v>
      </c>
      <c r="S153" s="10">
        <v>1.0214999999999983</v>
      </c>
      <c r="T153" s="10">
        <v>2.284000000000022</v>
      </c>
      <c r="U153">
        <v>1.2612042400000001E-2</v>
      </c>
      <c r="V153" s="10">
        <v>1.2354999999999752</v>
      </c>
      <c r="W153">
        <v>4.0563561100000006E-2</v>
      </c>
      <c r="X153" s="10">
        <v>1.0979999999992185</v>
      </c>
      <c r="Y153" s="10">
        <v>0.99399999999758448</v>
      </c>
      <c r="Z153" s="10">
        <v>2.8175000000001278</v>
      </c>
      <c r="AA153" s="10">
        <v>1.0099999999999962</v>
      </c>
      <c r="AB153" s="10">
        <v>3.5274999999999306</v>
      </c>
      <c r="AC153" s="10">
        <v>0.95399999999991392</v>
      </c>
      <c r="AD153" s="10">
        <v>0.84799999999988562</v>
      </c>
      <c r="AE153" s="10">
        <v>0.89800000000002722</v>
      </c>
    </row>
    <row r="154" spans="1:31" x14ac:dyDescent="0.3">
      <c r="A154" s="4">
        <f>+WORKDAY(A153,1,Feriados!$A$2:$A$38)</f>
        <v>46296</v>
      </c>
      <c r="B154" s="10">
        <v>1.331499999999995</v>
      </c>
      <c r="C154" s="10">
        <v>1.0676999999999981</v>
      </c>
      <c r="D154">
        <v>1.25193624</v>
      </c>
      <c r="E154">
        <v>1.5004969800000001</v>
      </c>
      <c r="F154">
        <v>1.03125109</v>
      </c>
      <c r="G154">
        <v>1.35353996</v>
      </c>
      <c r="H154">
        <v>1.2719944599999999</v>
      </c>
      <c r="I154">
        <v>1.28608604</v>
      </c>
      <c r="J154" s="5">
        <v>1.0234993400000001</v>
      </c>
      <c r="K154" s="5">
        <v>1.2413334300000001</v>
      </c>
      <c r="N154" s="5">
        <v>1.2417132399999999</v>
      </c>
      <c r="O154">
        <v>1.093718</v>
      </c>
      <c r="Q154">
        <v>1.2704156900000001</v>
      </c>
      <c r="R154" s="10">
        <v>3.0890000000000075</v>
      </c>
      <c r="S154" s="10">
        <v>1.0245000000000111</v>
      </c>
      <c r="T154" s="10">
        <v>2.289499999999995</v>
      </c>
      <c r="U154">
        <v>1.2674304899999999E-2</v>
      </c>
      <c r="V154" s="10">
        <v>1.2404999999999948</v>
      </c>
      <c r="W154">
        <v>4.0714517199999994E-2</v>
      </c>
      <c r="X154" s="10">
        <v>1.0994999999993618</v>
      </c>
      <c r="Y154" s="10">
        <v>0.99899999999868005</v>
      </c>
      <c r="Z154" s="10">
        <v>2.8249999999997555</v>
      </c>
      <c r="AA154" s="10">
        <v>1.0090000000000532</v>
      </c>
      <c r="AB154" s="10">
        <v>3.5464999999998539</v>
      </c>
      <c r="AC154" s="10">
        <v>0.95600000000004082</v>
      </c>
      <c r="AD154" s="10">
        <v>0.85389999999995481</v>
      </c>
      <c r="AE154" s="10">
        <v>0.90100000000006841</v>
      </c>
    </row>
    <row r="155" spans="1:31" x14ac:dyDescent="0.3">
      <c r="A155" s="4">
        <f>+WORKDAY(A154,1,Feriados!$A$2:$A$38)</f>
        <v>46297</v>
      </c>
      <c r="B155" s="10">
        <v>1.3343899999999951</v>
      </c>
      <c r="C155" s="10">
        <v>1.0702099999999941</v>
      </c>
      <c r="D155">
        <v>1.2542973500000001</v>
      </c>
      <c r="E155">
        <v>1.50454106</v>
      </c>
      <c r="F155">
        <v>1.034098</v>
      </c>
      <c r="G155">
        <v>1.3561210500000001</v>
      </c>
      <c r="H155">
        <v>1.2774154</v>
      </c>
      <c r="I155">
        <v>1.2912119900000001</v>
      </c>
      <c r="J155" s="5">
        <v>1.0262334500000001</v>
      </c>
      <c r="K155" s="5">
        <v>1.2449642299999999</v>
      </c>
      <c r="N155" s="5">
        <v>1.24830782</v>
      </c>
      <c r="O155">
        <v>1.09451115</v>
      </c>
      <c r="Q155">
        <v>1.27322231</v>
      </c>
      <c r="R155" s="10">
        <v>3.0950000000000113</v>
      </c>
      <c r="S155" s="10">
        <v>1.0261999999999947</v>
      </c>
      <c r="T155" s="10">
        <v>2.2974999999999945</v>
      </c>
      <c r="U155">
        <v>1.26533424E-2</v>
      </c>
      <c r="V155" s="10">
        <v>1.24400000000001</v>
      </c>
      <c r="W155">
        <v>4.0712235899999998E-2</v>
      </c>
      <c r="X155" s="10">
        <v>1.1044999999996183</v>
      </c>
      <c r="Y155" s="10">
        <v>1.0019999999988549</v>
      </c>
      <c r="Z155" s="10">
        <v>2.834499999999839</v>
      </c>
      <c r="AA155" s="10">
        <v>1.019499999999943</v>
      </c>
      <c r="AB155" s="10">
        <v>3.5674999999999026</v>
      </c>
      <c r="AC155" s="10">
        <v>0.96499999999992836</v>
      </c>
      <c r="AD155" s="10">
        <v>0.86000000000001986</v>
      </c>
      <c r="AE155" s="10">
        <v>0.91100000000004666</v>
      </c>
    </row>
    <row r="156" spans="1:31" x14ac:dyDescent="0.3">
      <c r="A156" s="4">
        <f>+WORKDAY(A155,1,Feriados!$A$2:$A$38)</f>
        <v>46300</v>
      </c>
      <c r="B156" s="10">
        <v>1.3348699999999922</v>
      </c>
      <c r="C156" s="10">
        <v>1.0708400000000036</v>
      </c>
      <c r="D156">
        <v>1.2550632399999999</v>
      </c>
      <c r="E156">
        <v>1.5063051999999999</v>
      </c>
      <c r="F156">
        <v>1.0356566199999999</v>
      </c>
      <c r="G156">
        <v>1.3539822399999999</v>
      </c>
      <c r="H156">
        <v>1.2804176300000001</v>
      </c>
      <c r="I156">
        <v>1.2890465900000001</v>
      </c>
      <c r="J156">
        <v>1.0272334599999999</v>
      </c>
      <c r="K156">
        <v>1.24899917</v>
      </c>
      <c r="N156" s="5">
        <v>1.2505858299999999</v>
      </c>
      <c r="O156">
        <v>1.0940564699999999</v>
      </c>
      <c r="Q156">
        <v>1.27487241</v>
      </c>
      <c r="R156" s="10">
        <v>3.099499999999979</v>
      </c>
      <c r="S156" s="10">
        <v>1.0275000000000238</v>
      </c>
      <c r="T156" s="10">
        <v>2.3025000000000082</v>
      </c>
      <c r="U156">
        <v>1.2798166900000001E-2</v>
      </c>
      <c r="V156" s="10">
        <v>1.249000000000025</v>
      </c>
      <c r="W156">
        <v>4.0846097800000002E-2</v>
      </c>
      <c r="X156" s="10">
        <v>1.1069999999996711</v>
      </c>
      <c r="Y156" s="10">
        <v>1.0044999999991753</v>
      </c>
      <c r="Z156" s="10">
        <v>2.8399999999999386</v>
      </c>
      <c r="AA156" s="10">
        <v>1.0230000000000696</v>
      </c>
      <c r="AB156" s="10">
        <v>3.5899999999999643</v>
      </c>
      <c r="AC156" s="10">
        <v>0.97449999999998671</v>
      </c>
      <c r="AD156" s="10">
        <v>0.86400000000007759</v>
      </c>
      <c r="AE156" s="10">
        <v>0.91230000000009159</v>
      </c>
    </row>
    <row r="157" spans="1:31" x14ac:dyDescent="0.3">
      <c r="A157" s="4">
        <f>+WORKDAY(A156,1,Feriados!$A$2:$A$38)</f>
        <v>46301</v>
      </c>
      <c r="B157" s="10">
        <v>1.3348099999999952</v>
      </c>
      <c r="C157" s="10">
        <v>1.0716399999999937</v>
      </c>
      <c r="D157">
        <v>1.2552875400000001</v>
      </c>
      <c r="E157">
        <v>1.5070904899999999</v>
      </c>
      <c r="F157">
        <v>1.03645627</v>
      </c>
      <c r="G157">
        <v>1.3604319</v>
      </c>
      <c r="H157">
        <v>1.2822477234033001</v>
      </c>
      <c r="I157">
        <v>1.29508263</v>
      </c>
      <c r="J157">
        <v>1.0288155000000001</v>
      </c>
      <c r="K157">
        <v>1.2497534400000001</v>
      </c>
      <c r="N157">
        <v>1.2508325600000001</v>
      </c>
      <c r="O157">
        <v>1.09775508</v>
      </c>
      <c r="Q157">
        <v>1.2755211200000001</v>
      </c>
      <c r="R157" s="10">
        <v>3.1009999999999827</v>
      </c>
      <c r="S157" s="10">
        <v>1.028300000000006</v>
      </c>
      <c r="T157" s="10">
        <v>2.3064999999999718</v>
      </c>
      <c r="U157">
        <v>1.27221208E-2</v>
      </c>
      <c r="V157" s="10">
        <v>1.2500000000000144</v>
      </c>
      <c r="W157">
        <v>4.0900729399999995E-2</v>
      </c>
      <c r="X157" s="10">
        <v>1.1084999999996585</v>
      </c>
      <c r="Y157" s="10">
        <v>1.0059999999992468</v>
      </c>
      <c r="Z157" s="10">
        <v>2.8480000000000762</v>
      </c>
      <c r="AA157" s="10">
        <v>1.0244999999999529</v>
      </c>
      <c r="AB157" s="10">
        <v>3.6080000000003758</v>
      </c>
      <c r="AC157" s="10">
        <v>0.97700000000001941</v>
      </c>
      <c r="AD157" s="10">
        <v>0.86990000000000933</v>
      </c>
      <c r="AE157" s="10">
        <v>0.9195000000000213</v>
      </c>
    </row>
    <row r="158" spans="1:31" x14ac:dyDescent="0.3">
      <c r="A158" s="4">
        <f>+WORKDAY(A157,1,Feriados!$A$2:$A$38)</f>
        <v>46302</v>
      </c>
      <c r="B158" s="10">
        <v>1.3366099999999894</v>
      </c>
      <c r="C158" s="10">
        <v>1.0721999999999978</v>
      </c>
      <c r="D158">
        <v>1.2563465</v>
      </c>
      <c r="E158">
        <v>1.5086614</v>
      </c>
      <c r="F158">
        <v>1.0368340300000001</v>
      </c>
      <c r="G158">
        <v>1.3638211099999999</v>
      </c>
      <c r="H158">
        <v>1.2838353899999999</v>
      </c>
      <c r="I158">
        <v>1.2972002300000001</v>
      </c>
      <c r="J158">
        <v>1.0285748800000001</v>
      </c>
      <c r="K158">
        <v>1.2525073600000001</v>
      </c>
      <c r="N158">
        <v>1.24982745</v>
      </c>
      <c r="O158">
        <v>1.10071407</v>
      </c>
      <c r="Q158">
        <v>1.27552815</v>
      </c>
      <c r="R158" s="10">
        <v>3.1020000000000074</v>
      </c>
      <c r="S158" s="10">
        <v>1.0290000000000004</v>
      </c>
      <c r="T158" s="10">
        <v>2.3124999999999303</v>
      </c>
      <c r="U158">
        <v>1.2782489500000001E-2</v>
      </c>
      <c r="V158" s="10">
        <v>1.2514999999999803</v>
      </c>
      <c r="W158">
        <v>4.0877081000000003E-2</v>
      </c>
      <c r="X158" s="10">
        <v>1.1099999999997709</v>
      </c>
      <c r="Y158" s="10">
        <v>1.0084999999994002</v>
      </c>
      <c r="Z158" s="10">
        <v>2.8544999999999807</v>
      </c>
      <c r="AA158" s="10">
        <v>1.0264999999999538</v>
      </c>
      <c r="AB158" s="10">
        <v>3.6099999999998236</v>
      </c>
      <c r="AC158" s="10">
        <v>0.9790000000000656</v>
      </c>
      <c r="AD158" s="10">
        <v>0.87399999999993616</v>
      </c>
      <c r="AE158" s="10">
        <v>0.92600000000009997</v>
      </c>
    </row>
    <row r="159" spans="1:31" x14ac:dyDescent="0.3">
      <c r="A159" s="4">
        <f>+WORKDAY(A158,1,Feriados!$A$2:$A$38)</f>
        <v>46303</v>
      </c>
      <c r="B159" s="10">
        <v>1.3363999999999887</v>
      </c>
      <c r="C159" s="10">
        <v>1.0728000000000002</v>
      </c>
      <c r="D159">
        <v>1.2574978000000001</v>
      </c>
      <c r="E159">
        <v>1.5098224</v>
      </c>
      <c r="F159">
        <v>1.0378953</v>
      </c>
      <c r="G159">
        <v>1.3664060499999999</v>
      </c>
      <c r="H159">
        <v>1.284648</v>
      </c>
      <c r="I159">
        <v>1.30047062</v>
      </c>
      <c r="J159">
        <v>1.0286919000000001</v>
      </c>
      <c r="K159">
        <v>1.2515807800000001</v>
      </c>
      <c r="N159">
        <v>1.25065581</v>
      </c>
      <c r="O159">
        <v>1.1008573500000001</v>
      </c>
      <c r="Q159">
        <v>1.2763398500000001</v>
      </c>
      <c r="R159" s="10">
        <v>3.1040000000000192</v>
      </c>
      <c r="S159" s="10">
        <v>1.0286500000000023</v>
      </c>
      <c r="T159" s="10">
        <v>2.3115000000000387</v>
      </c>
      <c r="U159">
        <v>1.2771360000000001E-2</v>
      </c>
      <c r="V159" s="10">
        <v>1.251500000000012</v>
      </c>
      <c r="W159">
        <v>4.0897800000000005E-2</v>
      </c>
      <c r="X159" s="10">
        <v>1.111999999999757</v>
      </c>
      <c r="Y159" s="10">
        <v>1.0074999999993017</v>
      </c>
      <c r="Z159" s="10">
        <v>2.8550000000000346</v>
      </c>
      <c r="AA159" s="10">
        <v>1.0270000000000137</v>
      </c>
      <c r="AB159" s="10">
        <v>3.609000000000318</v>
      </c>
      <c r="AC159" s="10">
        <v>0.97849999999997128</v>
      </c>
      <c r="AD159" s="10">
        <v>0.87399999999991962</v>
      </c>
      <c r="AE159" s="10">
        <v>0.93400000000007966</v>
      </c>
    </row>
    <row r="160" spans="1:31" x14ac:dyDescent="0.3">
      <c r="A160" s="4">
        <f>+WORKDAY(A159,1,Feriados!$A$2:$A$38)</f>
        <v>46304</v>
      </c>
      <c r="B160" s="10">
        <v>1.3407499999999908</v>
      </c>
      <c r="C160" s="10">
        <v>1.0754900000000014</v>
      </c>
      <c r="D160">
        <v>1.26211111</v>
      </c>
      <c r="E160">
        <v>1.51388945</v>
      </c>
      <c r="F160">
        <v>1.0415968799999999</v>
      </c>
      <c r="G160">
        <v>1.36954767</v>
      </c>
      <c r="H160">
        <v>1.2905880999999999</v>
      </c>
      <c r="I160">
        <v>1.3063048799999999</v>
      </c>
      <c r="J160">
        <v>1.0299231099999999</v>
      </c>
      <c r="K160">
        <v>1.25329863</v>
      </c>
      <c r="N160">
        <v>1.2552227199999999</v>
      </c>
      <c r="O160">
        <v>1.10295125</v>
      </c>
      <c r="Q160">
        <v>1.27997136</v>
      </c>
      <c r="R160" s="10">
        <v>3.1109999999999638</v>
      </c>
      <c r="S160" s="10">
        <v>1.0299999999999943</v>
      </c>
      <c r="T160" s="10">
        <v>2.3154999999999548</v>
      </c>
      <c r="U160">
        <v>1.2750866499999999E-2</v>
      </c>
      <c r="V160" s="10">
        <v>1.2529999999999786</v>
      </c>
      <c r="W160">
        <v>4.0949929899999994E-2</v>
      </c>
      <c r="X160" s="10">
        <v>1.1134999999998496</v>
      </c>
      <c r="Y160" s="10">
        <v>1.011499999999532</v>
      </c>
      <c r="Z160" s="10">
        <v>2.865999999999933</v>
      </c>
      <c r="AA160" s="10">
        <v>1.0309999999999553</v>
      </c>
      <c r="AB160" s="10">
        <v>3.6205000000001544</v>
      </c>
      <c r="AC160" s="10">
        <v>0.98099999999994925</v>
      </c>
      <c r="AD160" s="10">
        <v>0.8770000000000947</v>
      </c>
      <c r="AE160" s="10">
        <v>0.92899999999987859</v>
      </c>
    </row>
    <row r="161" spans="1:31" x14ac:dyDescent="0.3">
      <c r="A161" s="4">
        <f>+WORKDAY(A160,1,Feriados!$A$2:$A$38)</f>
        <v>46308</v>
      </c>
      <c r="B161" s="10">
        <v>1.3396799999999911</v>
      </c>
      <c r="C161" s="10">
        <v>1.0757599999999916</v>
      </c>
      <c r="D161">
        <v>1.2606297799999999</v>
      </c>
      <c r="E161">
        <v>1.51469338</v>
      </c>
      <c r="F161">
        <v>1.0406137799999999</v>
      </c>
      <c r="G161">
        <v>1.3711843500000001</v>
      </c>
      <c r="H161">
        <v>1.2911038800000001</v>
      </c>
      <c r="I161">
        <v>1.3084733</v>
      </c>
      <c r="J161">
        <v>1.0300585799999999</v>
      </c>
      <c r="K161">
        <v>1.25503353</v>
      </c>
      <c r="N161">
        <v>1.25371196</v>
      </c>
      <c r="O161">
        <v>1.1039651500000001</v>
      </c>
      <c r="Q161">
        <v>1.2802404700000001</v>
      </c>
      <c r="R161" s="10">
        <v>3.1109999999999713</v>
      </c>
      <c r="S161" s="10">
        <v>1.0300999999999998</v>
      </c>
      <c r="T161" s="10">
        <v>2.3159999999999399</v>
      </c>
      <c r="U161">
        <v>1.27675064E-2</v>
      </c>
      <c r="V161" s="10">
        <v>1.2550000000000368</v>
      </c>
      <c r="W161">
        <v>4.1012386899999996E-2</v>
      </c>
      <c r="X161" s="10">
        <v>1.1179999999998662</v>
      </c>
      <c r="Y161" s="10">
        <v>1.0149999999997137</v>
      </c>
      <c r="Z161" s="10">
        <v>2.8705000000000136</v>
      </c>
      <c r="AA161" s="10">
        <v>1.0309999999999957</v>
      </c>
      <c r="AB161" s="10">
        <v>3.6195000000004205</v>
      </c>
      <c r="AC161" s="10">
        <v>0.98150000000005577</v>
      </c>
      <c r="AD161" s="10">
        <v>0.87399999999993483</v>
      </c>
      <c r="AE161" s="10">
        <v>0.93000000000001459</v>
      </c>
    </row>
    <row r="162" spans="1:31" x14ac:dyDescent="0.3">
      <c r="A162" s="4">
        <f>+WORKDAY(A161,1,Feriados!$A$2:$A$38)</f>
        <v>46309</v>
      </c>
      <c r="B162" s="10">
        <v>1.3396199999999987</v>
      </c>
      <c r="C162" s="10">
        <v>1.0760499999999897</v>
      </c>
      <c r="D162">
        <v>1.26006102</v>
      </c>
      <c r="E162">
        <f>INDEX('[1]Precios historicos'!$A:$AZ,MATCH(E$1,'[1]Precios historicos'!$A:$A,0),MATCH($A162,'[1]Precios historicos'!$7:$7,0))</f>
        <v>1.51396376</v>
      </c>
      <c r="F162">
        <f>INDEX('[1]Precios historicos'!$A:$AZ,MATCH(F$1,'[1]Precios historicos'!$A:$A,0),MATCH($A162,'[1]Precios historicos'!$7:$7,0))</f>
        <v>1.04013471</v>
      </c>
      <c r="G162">
        <v>1.37126331</v>
      </c>
      <c r="H162">
        <f>INDEX('[1]Precios historicos'!$A:$AZ,MATCH(H$1,'[1]Precios historicos'!$A:$A,0),MATCH($A162,'[1]Precios historicos'!$7:$7,0))</f>
        <v>1.291304</v>
      </c>
      <c r="I162">
        <v>1.3090459999999999</v>
      </c>
      <c r="J162">
        <v>1.0310101599999999</v>
      </c>
      <c r="K162">
        <v>1.2571690799999999</v>
      </c>
      <c r="N162">
        <f>INDEX('[1]Precios historicos'!$A:$AZ,MATCH(N$1,'[1]Precios historicos'!$A:$A,0),MATCH($A162,'[1]Precios historicos'!$7:$7,0))</f>
        <v>1.25551919</v>
      </c>
      <c r="O162">
        <f>INDEX('[1]Precios historicos'!$A:$AZ,MATCH(O$1,'[1]Precios historicos'!$A:$A,0),MATCH($A162,'[1]Precios historicos'!$7:$7,0))</f>
        <v>1.1058990500000001</v>
      </c>
      <c r="Q162">
        <v>1.2795586299999999</v>
      </c>
      <c r="R162" s="10">
        <v>3.1119999999999859</v>
      </c>
      <c r="S162" s="10">
        <v>1.0315000000000099</v>
      </c>
      <c r="T162" s="10">
        <v>2.317499999998391</v>
      </c>
      <c r="U162">
        <v>1.2759046999999999E-2</v>
      </c>
      <c r="V162" s="10">
        <v>1.2569999999999877</v>
      </c>
      <c r="W162">
        <v>4.1108232600000003E-2</v>
      </c>
      <c r="X162" s="10">
        <v>1.1169999999998106</v>
      </c>
      <c r="Y162" s="10">
        <v>1.0159999999996883</v>
      </c>
      <c r="Z162" s="10">
        <v>2.8710000000001146</v>
      </c>
      <c r="AA162" s="10">
        <v>1.0320000000000027</v>
      </c>
      <c r="AB162" s="10">
        <v>3.6139999999998311</v>
      </c>
      <c r="AC162" s="10">
        <v>0.9814999999999432</v>
      </c>
      <c r="AD162" s="10">
        <v>0.87049999999998651</v>
      </c>
      <c r="AE162" s="10">
        <v>0.92459999999996267</v>
      </c>
    </row>
    <row r="163" spans="1:31" x14ac:dyDescent="0.3">
      <c r="A163" s="4">
        <f>+WORKDAY(A162,1,Feriados!$A$2:$A$38)</f>
        <v>46310</v>
      </c>
      <c r="B163" s="10">
        <v>1.3426999999999913</v>
      </c>
      <c r="C163" s="10">
        <v>1.0771899999999925</v>
      </c>
      <c r="D163">
        <v>1.2619768200000001</v>
      </c>
      <c r="E163">
        <f>INDEX('[1]Precios historicos'!$A:$AZ,MATCH(E$1,'[1]Precios historicos'!$A:$A,0),MATCH($A163,'[1]Precios historicos'!$7:$7,0))</f>
        <v>1.51818404</v>
      </c>
      <c r="F163">
        <f>INDEX('[1]Precios historicos'!$A:$AZ,MATCH(F$1,'[1]Precios historicos'!$A:$A,0),MATCH($A163,'[1]Precios historicos'!$7:$7,0))</f>
        <v>1.0380406799999999</v>
      </c>
      <c r="G163">
        <v>1.3748229700000001</v>
      </c>
      <c r="H163">
        <f>INDEX('[1]Precios historicos'!$A:$AZ,MATCH(H$1,'[1]Precios historicos'!$A:$A,0),MATCH($A163,'[1]Precios historicos'!$7:$7,0))</f>
        <v>1.29516952</v>
      </c>
      <c r="I163">
        <v>1.3161225700000001</v>
      </c>
      <c r="J163">
        <v>1.0331343399999999</v>
      </c>
      <c r="K163">
        <v>1.2612713499999999</v>
      </c>
      <c r="N163">
        <f>INDEX('[1]Precios historicos'!$A:$AZ,MATCH(N$1,'[1]Precios historicos'!$A:$A,0),MATCH($A163,'[1]Precios historicos'!$7:$7,0))</f>
        <v>1.2569410700000001</v>
      </c>
      <c r="O163">
        <f>INDEX('[1]Precios historicos'!$A:$AZ,MATCH(O$1,'[1]Precios historicos'!$A:$A,0),MATCH($A163,'[1]Precios historicos'!$7:$7,0))</f>
        <v>1.11006571</v>
      </c>
      <c r="Q163">
        <v>1.2819699200000001</v>
      </c>
      <c r="R163" s="10">
        <v>3.1140000000000105</v>
      </c>
      <c r="S163" s="10">
        <v>1.0338999999999954</v>
      </c>
      <c r="T163" s="10">
        <v>2.3209999999999913</v>
      </c>
      <c r="U163">
        <v>1.27900002E-2</v>
      </c>
      <c r="V163" s="10">
        <v>1.2614999999999921</v>
      </c>
      <c r="W163">
        <v>4.1311680300000007E-2</v>
      </c>
      <c r="X163" s="10">
        <v>1.119999999999945</v>
      </c>
      <c r="Y163" s="10">
        <v>1.0189999999998482</v>
      </c>
      <c r="Z163" s="10">
        <v>2.8815000000000315</v>
      </c>
      <c r="AA163" s="10">
        <v>1.0330000000000428</v>
      </c>
      <c r="AB163" s="10">
        <v>3.6164999999998924</v>
      </c>
      <c r="AC163" s="10">
        <v>0.98099999999999465</v>
      </c>
      <c r="AD163" s="10">
        <v>0.87499999999998002</v>
      </c>
      <c r="AE163" s="10">
        <v>0.92349999999998489</v>
      </c>
    </row>
    <row r="164" spans="1:31" x14ac:dyDescent="0.3">
      <c r="A164" s="4">
        <f>+WORKDAY(A163,1,Feriados!$A$2:$A$38)</f>
        <v>46311</v>
      </c>
      <c r="B164" s="10">
        <v>1.3451999999999955</v>
      </c>
      <c r="C164" s="10">
        <v>1.0792899999999945</v>
      </c>
      <c r="D164">
        <f>INDEX('[2]Precios Históricos'!$A:$AZ,MATCH(D$1,'[2]Precios Históricos'!$B:$B,0),MATCH($A164,'[2]Precios Históricos'!$6:$6,0))</f>
        <v>1.2652142500000001</v>
      </c>
      <c r="E164">
        <f>INDEX('[2]Precios Históricos'!$A:$AZ,MATCH(E$1,'[2]Precios Históricos'!$B:$B,0),MATCH($A164,'[2]Precios Históricos'!$6:$6,0))</f>
        <v>1.5226219299999999</v>
      </c>
      <c r="F164">
        <f>INDEX('[2]Precios Históricos'!$A:$AZ,MATCH(F$1,'[2]Precios Históricos'!$B:$B,0),MATCH($A164,'[2]Precios Históricos'!$6:$6,0))</f>
        <v>1.0465052399999999</v>
      </c>
      <c r="G164">
        <f>INDEX('[2]Precios Históricos'!$A:$AZ,MATCH(G$1,'[2]Precios Históricos'!$B:$B,0),MATCH($A164,'[2]Precios Históricos'!$6:$6,0))</f>
        <v>1.3789722900000001</v>
      </c>
      <c r="H164">
        <f>INDEX('[2]Precios Históricos'!$A:$AZ,MATCH(H$1,'[2]Precios Históricos'!$B:$B,0),MATCH($A164,'[2]Precios Históricos'!$6:$6,0))</f>
        <v>1.29837176</v>
      </c>
      <c r="I164">
        <f>INDEX('[2]Precios Históricos'!$A:$AZ,MATCH(I$1,'[2]Precios Históricos'!$B:$B,0),MATCH($A164,'[2]Precios Históricos'!$6:$6,0))</f>
        <v>1.31940788</v>
      </c>
      <c r="J164">
        <f>INDEX('[2]Precios Históricos'!$A:$AZ,MATCH(J$1,'[2]Precios Históricos'!$B:$B,0),MATCH($A164,'[2]Precios Históricos'!$6:$6,0))</f>
        <v>1.03549508</v>
      </c>
      <c r="K164">
        <f>INDEX('[2]Precios Históricos'!$A:$AZ,MATCH(K$1,'[2]Precios Históricos'!$B:$B,0),MATCH($A164,'[2]Precios Históricos'!$6:$6,0))</f>
        <v>1.26553798</v>
      </c>
      <c r="N164">
        <f>INDEX('[2]Precios Históricos'!$A:$AZ,MATCH(N$1,'[2]Precios Históricos'!$B:$B,0),MATCH($A164,'[2]Precios Históricos'!$6:$6,0))</f>
        <v>1.2600124800000001</v>
      </c>
      <c r="O164">
        <f>INDEX('[2]Precios Históricos'!$A:$AZ,MATCH(O$1,'[2]Precios Históricos'!$B:$B,0),MATCH($A164,'[2]Precios Históricos'!$6:$6,0))</f>
        <v>1.1138335500000001</v>
      </c>
      <c r="Q164">
        <f>INDEX('[2]Precios Históricos'!$A:$AZ,MATCH(Q$1,'[2]Precios Históricos'!$B:$B,0),MATCH($A164,'[2]Precios Históricos'!$6:$6,0))</f>
        <v>1.2836386500000001</v>
      </c>
      <c r="R164" s="10">
        <v>3.1209999999999947</v>
      </c>
      <c r="S164" s="10">
        <v>1.0354999999999783</v>
      </c>
      <c r="T164" s="10">
        <v>2.327500000000049</v>
      </c>
      <c r="U164">
        <v>1.2835501799999999E-2</v>
      </c>
      <c r="V164" s="10">
        <v>1.2654999999999919</v>
      </c>
      <c r="W164">
        <v>4.1422743400000003E-2</v>
      </c>
      <c r="X164" s="10">
        <v>1.1234999999998712</v>
      </c>
      <c r="Y164" s="10">
        <v>1.018999999999699</v>
      </c>
      <c r="Z164" s="10">
        <v>2.8945000000001277</v>
      </c>
      <c r="AA164" s="10">
        <v>1.0379999999999017</v>
      </c>
      <c r="AB164" s="10">
        <v>3.6264999999995742</v>
      </c>
      <c r="AC164" s="10">
        <v>0.98400000000008492</v>
      </c>
      <c r="AD164" s="10">
        <v>0.87449999999994832</v>
      </c>
      <c r="AE164" s="10">
        <v>0.92999999999994842</v>
      </c>
    </row>
    <row r="165" spans="1:31" x14ac:dyDescent="0.3">
      <c r="A165" s="4">
        <f>+WORKDAY(A164,1,Feriados!$A$2:$A$38)</f>
        <v>46314</v>
      </c>
      <c r="B165">
        <f>INDEX('[2]Precios Históricos'!$A:$AZ,MATCH(B$1,'[2]Precios Históricos'!$B:$B,0),MATCH($A165,'[2]Precios Históricos'!$6:$6,0))</f>
        <v>1.3467551200000001</v>
      </c>
      <c r="C165">
        <f>INDEX('[2]Precios Históricos'!$A:$AZ,MATCH(C$1,'[2]Precios Históricos'!$B:$B,0),MATCH($A165,'[2]Precios Históricos'!$6:$6,0))</f>
        <v>1.0799686399999999</v>
      </c>
      <c r="D165">
        <f>INDEX('[2]Precios Históricos'!$A:$AZ,MATCH(D$1,'[2]Precios Históricos'!$B:$B,0),MATCH($A165,'[2]Precios Históricos'!$6:$6,0))</f>
        <v>1.2658785699999999</v>
      </c>
      <c r="E165">
        <f>INDEX('[2]Precios Históricos'!$A:$AZ,MATCH(E$1,'[2]Precios Históricos'!$B:$B,0),MATCH($A165,'[2]Precios Históricos'!$6:$6,0))</f>
        <v>1.5235683499999999</v>
      </c>
      <c r="F165">
        <f>INDEX('[2]Precios Históricos'!$A:$AZ,MATCH(F$1,'[2]Precios Históricos'!$B:$B,0),MATCH($A165,'[2]Precios Históricos'!$6:$6,0))</f>
        <v>1.0468394599999999</v>
      </c>
      <c r="G165">
        <f>INDEX('[2]Precios Históricos'!$A:$AZ,MATCH(G$1,'[2]Precios Históricos'!$B:$B,0),MATCH($A165,'[2]Precios Históricos'!$6:$6,0))</f>
        <v>1.3791142999999999</v>
      </c>
      <c r="H165">
        <f>INDEX('[2]Precios Históricos'!$A:$AZ,MATCH(H$1,'[2]Precios Históricos'!$B:$B,0),MATCH($A165,'[2]Precios Históricos'!$6:$6,0))</f>
        <v>1.2980624199999999</v>
      </c>
      <c r="I165">
        <f>INDEX('[2]Precios Históricos'!$A:$AZ,MATCH(I$1,'[2]Precios Históricos'!$B:$B,0),MATCH($A165,'[2]Precios Históricos'!$6:$6,0))</f>
        <v>1.31927609</v>
      </c>
      <c r="J165">
        <f>INDEX('[2]Precios Históricos'!$A:$AZ,MATCH(J$1,'[2]Precios Históricos'!$B:$B,0),MATCH($A165,'[2]Precios Históricos'!$6:$6,0))</f>
        <v>1.03625682</v>
      </c>
      <c r="K165">
        <f>INDEX('[2]Precios Históricos'!$A:$AZ,MATCH(K$1,'[2]Precios Históricos'!$B:$B,0),MATCH($A165,'[2]Precios Históricos'!$6:$6,0))</f>
        <v>1.26702314</v>
      </c>
      <c r="N165">
        <f>INDEX('[2]Precios Históricos'!$A:$AZ,MATCH(N$1,'[2]Precios Históricos'!$B:$B,0),MATCH($A165,'[2]Precios Históricos'!$6:$6,0))</f>
        <v>1.26114211</v>
      </c>
      <c r="O165">
        <f>INDEX('[2]Precios Históricos'!$A:$AZ,MATCH(O$1,'[2]Precios Históricos'!$B:$B,0),MATCH($A165,'[2]Precios Históricos'!$6:$6,0))</f>
        <v>1.1153652149836599</v>
      </c>
      <c r="Q165">
        <f>INDEX('[2]Precios Históricos'!$A:$AZ,MATCH(Q$1,'[2]Precios Históricos'!$B:$B,0),MATCH($A165,'[2]Precios Históricos'!$6:$6,0))</f>
        <v>1.28512731</v>
      </c>
      <c r="R165">
        <f>INDEX('[2]Precios Históricos'!$A:$AZ,MATCH(R$1,'[2]Precios Históricos'!$B:$B,0),MATCH($A165,'[2]Precios Históricos'!$6:$6,0))</f>
        <v>3.1237230500000002</v>
      </c>
      <c r="S165">
        <f>INDEX('[2]Precios Históricos'!$A:$AZ,MATCH(S$1,'[2]Precios Históricos'!$B:$B,0),MATCH($A165,'[2]Precios Históricos'!$6:$6,0))</f>
        <v>1.03625682</v>
      </c>
      <c r="T165">
        <f>INDEX('[2]Precios Históricos'!$A:$AZ,MATCH(T$1,'[2]Precios Históricos'!$B:$B,0),MATCH($A165,'[2]Precios Históricos'!$6:$6,0))</f>
        <v>2.3285294900000002</v>
      </c>
      <c r="U165">
        <f>INDEX('[2]Precios Históricos'!$A:$AZ,MATCH(U$1,'[2]Precios Históricos'!$B:$B,0),MATCH($A165,'[2]Precios Históricos'!$6:$6,0))</f>
        <v>1.28404717</v>
      </c>
      <c r="V165">
        <f>INDEX('[2]Precios Históricos'!$A:$AZ,MATCH(V$1,'[2]Precios Históricos'!$B:$B,0),MATCH($A165,'[2]Precios Históricos'!$6:$6,0))</f>
        <v>1.26702314</v>
      </c>
      <c r="W165">
        <f>INDEX('[2]Precios Históricos'!$A:$AZ,MATCH(W$1,'[2]Precios Históricos'!$B:$B,0),MATCH($A165,'[2]Precios Históricos'!$6:$6,0))</f>
        <v>4.1445826600000002</v>
      </c>
      <c r="X165">
        <f>INDEX('[2]Precios Históricos'!$A:$AZ,MATCH(X$1,'[2]Precios Históricos'!$B:$B,0),MATCH($A165,'[2]Precios Históricos'!$6:$6,0))</f>
        <v>1.12673896</v>
      </c>
      <c r="Y165">
        <f>INDEX('[2]Precios Históricos'!$A:$AZ,MATCH(Y$1,'[2]Precios Históricos'!$B:$B,0),MATCH($A165,'[2]Precios Históricos'!$6:$6,0))</f>
        <v>1.0166987700000001</v>
      </c>
      <c r="Z165">
        <f>INDEX('[2]Precios Históricos'!$A:$AZ,MATCH(Z$1,'[2]Precios Históricos'!$B:$B,0),MATCH($A165,'[2]Precios Históricos'!$6:$6,0))</f>
        <v>2.9025093200000001</v>
      </c>
      <c r="AA165">
        <f>INDEX('[2]Precios Históricos'!$A:$AZ,MATCH(AA$1,'[2]Precios Históricos'!$B:$B,0),MATCH($A165,'[2]Precios Históricos'!$6:$6,0))</f>
        <v>1.03936071</v>
      </c>
      <c r="AB165">
        <f>INDEX('[2]Precios Históricos'!$A:$AZ,MATCH(AB$1,'[2]Precios Históricos'!$B:$B,0),MATCH($A165,'[2]Precios Históricos'!$6:$6,0))</f>
        <v>3.61664108</v>
      </c>
      <c r="AC165">
        <f>INDEX('[2]Precios Históricos'!$A:$AZ,MATCH(AC$1,'[2]Precios Históricos'!$B:$B,0),MATCH($A165,'[2]Precios Históricos'!$6:$6,0))</f>
        <v>0.98362095000000005</v>
      </c>
      <c r="AD165">
        <f>INDEX('[2]Precios Históricos'!$A:$AZ,MATCH(AD$1,'[2]Precios Históricos'!$B:$B,0),MATCH($A165,'[2]Precios Históricos'!$6:$6,0))</f>
        <v>0.87749999999999995</v>
      </c>
      <c r="AE165">
        <f>INDEX('[2]Precios Históricos'!$A:$AZ,MATCH(AE$1,'[2]Precios Históricos'!$B:$B,0),MATCH($A165,'[2]Precios Históricos'!$6:$6,0))</f>
        <v>0.93130204000000005</v>
      </c>
    </row>
    <row r="166" spans="1:31" x14ac:dyDescent="0.3">
      <c r="A166" s="4">
        <f>+WORKDAY(A165,1,Feriados!$A$2:$A$38)</f>
        <v>46315</v>
      </c>
      <c r="B166">
        <f>INDEX('[2]Precios Históricos'!$A:$AZ,MATCH(B$1,'[2]Precios Históricos'!$B:$B,0),MATCH($A166,'[2]Precios Históricos'!$6:$6,0))</f>
        <v>1.3462021099999999</v>
      </c>
      <c r="C166">
        <f>INDEX('[2]Precios Históricos'!$A:$AZ,MATCH(C$1,'[2]Precios Históricos'!$B:$B,0),MATCH($A166,'[2]Precios Históricos'!$6:$6,0))</f>
        <v>1.08108965</v>
      </c>
      <c r="D166">
        <f>INDEX('[2]Precios Históricos'!$A:$AZ,MATCH(D$1,'[2]Precios Históricos'!$B:$B,0),MATCH($A166,'[2]Precios Históricos'!$6:$6,0))</f>
        <v>1.2667788499999999</v>
      </c>
      <c r="E166">
        <f>INDEX('[2]Precios Históricos'!$A:$AZ,MATCH(E$1,'[2]Precios Históricos'!$B:$B,0),MATCH($A166,'[2]Precios Históricos'!$6:$6,0))</f>
        <v>1.5249278500000001</v>
      </c>
      <c r="F166">
        <f>INDEX('[2]Precios Históricos'!$A:$AZ,MATCH(F$1,'[2]Precios Históricos'!$B:$B,0),MATCH($A166,'[2]Precios Históricos'!$6:$6,0))</f>
        <v>1.04730795</v>
      </c>
      <c r="G166">
        <f>INDEX('[2]Precios Históricos'!$A:$AZ,MATCH(G$1,'[2]Precios Históricos'!$B:$B,0),MATCH($A166,'[2]Precios Históricos'!$6:$6,0))</f>
        <v>1.38088601</v>
      </c>
      <c r="H166">
        <f>INDEX('[2]Precios Históricos'!$A:$AZ,MATCH(H$1,'[2]Precios Históricos'!$B:$B,0),MATCH($A166,'[2]Precios Históricos'!$6:$6,0))</f>
        <v>1.3009219000000001</v>
      </c>
      <c r="I166">
        <f>INDEX('[2]Precios Históricos'!$A:$AZ,MATCH(I$1,'[2]Precios Históricos'!$B:$B,0),MATCH($A166,'[2]Precios Históricos'!$6:$6,0))</f>
        <v>1.32152921</v>
      </c>
      <c r="J166">
        <f>INDEX('[2]Precios Históricos'!$A:$AZ,MATCH(J$1,'[2]Precios Históricos'!$B:$B,0),MATCH($A166,'[2]Precios Históricos'!$6:$6,0))</f>
        <v>1.03749885</v>
      </c>
      <c r="K166">
        <f>INDEX('[2]Precios Históricos'!$A:$AZ,MATCH(K$1,'[2]Precios Históricos'!$B:$B,0),MATCH($A166,'[2]Precios Históricos'!$6:$6,0))</f>
        <v>1.2677409399999999</v>
      </c>
      <c r="N166">
        <f>INDEX('[2]Precios Históricos'!$A:$AZ,MATCH(N$1,'[2]Precios Históricos'!$B:$B,0),MATCH($A166,'[2]Precios Históricos'!$6:$6,0))</f>
        <v>1.2627306899999999</v>
      </c>
      <c r="O166">
        <f>INDEX('[2]Precios Históricos'!$A:$AZ,MATCH(O$1,'[2]Precios Históricos'!$B:$B,0),MATCH($A166,'[2]Precios Históricos'!$6:$6,0))</f>
        <v>1.11652306</v>
      </c>
      <c r="Q166">
        <f>INDEX('[2]Precios Históricos'!$A:$AZ,MATCH(Q$1,'[2]Precios Históricos'!$B:$B,0),MATCH($A166,'[2]Precios Históricos'!$6:$6,0))</f>
        <v>1.2854595799999999</v>
      </c>
      <c r="R166">
        <f>INDEX('[2]Precios Históricos'!$A:$AZ,MATCH(R$1,'[2]Precios Históricos'!$B:$B,0),MATCH($A166,'[2]Precios Históricos'!$6:$6,0))</f>
        <v>3.12464619</v>
      </c>
      <c r="S166">
        <f>INDEX('[2]Precios Históricos'!$A:$AZ,MATCH(S$1,'[2]Precios Históricos'!$B:$B,0),MATCH($A166,'[2]Precios Históricos'!$6:$6,0))</f>
        <v>1.03749885</v>
      </c>
      <c r="T166">
        <f>INDEX('[2]Precios Históricos'!$A:$AZ,MATCH(T$1,'[2]Precios Históricos'!$B:$B,0),MATCH($A166,'[2]Precios Históricos'!$6:$6,0))</f>
        <v>2.3298943300000001</v>
      </c>
      <c r="U166">
        <f>INDEX('[2]Precios Históricos'!$A:$AZ,MATCH(U$1,'[2]Precios Históricos'!$B:$B,0),MATCH($A166,'[2]Precios Históricos'!$6:$6,0))</f>
        <v>1.28724576</v>
      </c>
      <c r="V166">
        <f>INDEX('[2]Precios Históricos'!$A:$AZ,MATCH(V$1,'[2]Precios Históricos'!$B:$B,0),MATCH($A166,'[2]Precios Históricos'!$6:$6,0))</f>
        <v>1.2677409399999999</v>
      </c>
      <c r="W166">
        <f>INDEX('[2]Precios Históricos'!$A:$AZ,MATCH(W$1,'[2]Precios Históricos'!$B:$B,0),MATCH($A166,'[2]Precios Históricos'!$6:$6,0))</f>
        <v>4.1452876099999996</v>
      </c>
      <c r="X166">
        <f>INDEX('[2]Precios Históricos'!$A:$AZ,MATCH(X$1,'[2]Precios Históricos'!$B:$B,0),MATCH($A166,'[2]Precios Históricos'!$6:$6,0))</f>
        <v>1.1264308700000001</v>
      </c>
      <c r="Y166">
        <f>INDEX('[2]Precios Históricos'!$A:$AZ,MATCH(Y$1,'[2]Precios Históricos'!$B:$B,0),MATCH($A166,'[2]Precios Históricos'!$6:$6,0))</f>
        <v>1.0215940000000001</v>
      </c>
      <c r="Z166">
        <f>INDEX('[2]Precios Históricos'!$A:$AZ,MATCH(Z$1,'[2]Precios Históricos'!$B:$B,0),MATCH($A166,'[2]Precios Históricos'!$6:$6,0))</f>
        <v>2.8988112400000001</v>
      </c>
      <c r="AA166">
        <f>INDEX('[2]Precios Históricos'!$A:$AZ,MATCH(AA$1,'[2]Precios Históricos'!$B:$B,0),MATCH($A166,'[2]Precios Históricos'!$6:$6,0))</f>
        <v>1.0492393099999999</v>
      </c>
      <c r="AB166">
        <f>INDEX('[2]Precios Históricos'!$A:$AZ,MATCH(AB$1,'[2]Precios Históricos'!$B:$B,0),MATCH($A166,'[2]Precios Históricos'!$6:$6,0))</f>
        <v>3.6326244999999999</v>
      </c>
      <c r="AC166">
        <f>INDEX('[2]Precios Históricos'!$A:$AZ,MATCH(AC$1,'[2]Precios Históricos'!$B:$B,0),MATCH($A166,'[2]Precios Históricos'!$6:$6,0))</f>
        <v>0.98249960000000003</v>
      </c>
      <c r="AD166">
        <f>INDEX('[2]Precios Históricos'!$A:$AZ,MATCH(AD$1,'[2]Precios Históricos'!$B:$B,0),MATCH($A166,'[2]Precios Históricos'!$6:$6,0))</f>
        <v>0.87882985000000002</v>
      </c>
      <c r="AE166">
        <f>INDEX('[2]Precios Históricos'!$A:$AZ,MATCH(AE$1,'[2]Precios Históricos'!$B:$B,0),MATCH($A166,'[2]Precios Históricos'!$6:$6,0))</f>
        <v>0.92414275000000001</v>
      </c>
    </row>
    <row r="167" spans="1:31" x14ac:dyDescent="0.3">
      <c r="A167" s="4">
        <f>+WORKDAY(A166,1,Feriados!$A$2:$A$38)</f>
        <v>46316</v>
      </c>
      <c r="B167">
        <f>INDEX('[2]Precios Históricos'!$A:$AZ,MATCH(B$1,'[2]Precios Históricos'!$B:$B,0),MATCH($A167,'[2]Precios Históricos'!$6:$6,0))</f>
        <v>1.34694896</v>
      </c>
      <c r="C167">
        <f>INDEX('[2]Precios Históricos'!$A:$AZ,MATCH(C$1,'[2]Precios Históricos'!$B:$B,0),MATCH($A167,'[2]Precios Históricos'!$6:$6,0))</f>
        <v>1.0817655799999999</v>
      </c>
      <c r="D167">
        <f>INDEX('[2]Precios Históricos'!$A:$AZ,MATCH(D$1,'[2]Precios Históricos'!$B:$B,0),MATCH($A167,'[2]Precios Históricos'!$6:$6,0))</f>
        <v>1.2678373000000001</v>
      </c>
      <c r="E167">
        <f>INDEX('[2]Precios Históricos'!$A:$AZ,MATCH(E$1,'[2]Precios Históricos'!$B:$B,0),MATCH($A167,'[2]Precios Históricos'!$6:$6,0))</f>
        <v>1.5252739099999999</v>
      </c>
      <c r="F167">
        <f>INDEX('[2]Precios Históricos'!$A:$AZ,MATCH(F$1,'[2]Precios Históricos'!$B:$B,0),MATCH($A167,'[2]Precios Históricos'!$6:$6,0))</f>
        <v>1.0483183599999999</v>
      </c>
      <c r="G167">
        <f>INDEX('[2]Precios Históricos'!$A:$AZ,MATCH(G$1,'[2]Precios Históricos'!$B:$B,0),MATCH($A167,'[2]Precios Históricos'!$6:$6,0))</f>
        <v>1.38344445</v>
      </c>
      <c r="H167">
        <f>INDEX('[2]Precios Históricos'!$A:$AZ,MATCH(H$1,'[2]Precios Históricos'!$B:$B,0),MATCH($A167,'[2]Precios Históricos'!$6:$6,0))</f>
        <v>1.3035093099999999</v>
      </c>
      <c r="I167">
        <f>INDEX('[2]Precios Históricos'!$A:$AZ,MATCH(I$1,'[2]Precios Históricos'!$B:$B,0),MATCH($A167,'[2]Precios Históricos'!$6:$6,0))</f>
        <v>1.31171438</v>
      </c>
      <c r="J167">
        <f>INDEX('[2]Precios Históricos'!$A:$AZ,MATCH(J$1,'[2]Precios Históricos'!$B:$B,0),MATCH($A167,'[2]Precios Históricos'!$6:$6,0))</f>
        <v>1.0379849699999999</v>
      </c>
      <c r="K167">
        <f>INDEX('[2]Precios Históricos'!$A:$AZ,MATCH(K$1,'[2]Precios Históricos'!$B:$B,0),MATCH($A167,'[2]Precios Históricos'!$6:$6,0))</f>
        <v>1.26960213</v>
      </c>
      <c r="N167">
        <f>INDEX('[2]Precios Históricos'!$A:$AZ,MATCH(N$1,'[2]Precios Históricos'!$B:$B,0),MATCH($A167,'[2]Precios Históricos'!$6:$6,0))</f>
        <v>1.26323282</v>
      </c>
      <c r="O167">
        <f>INDEX('[2]Precios Históricos'!$A:$AZ,MATCH(O$1,'[2]Precios Históricos'!$B:$B,0),MATCH($A167,'[2]Precios Históricos'!$6:$6,0))</f>
        <v>1.1193425800000001</v>
      </c>
      <c r="Q167">
        <f>INDEX('[2]Precios Históricos'!$A:$AZ,MATCH(Q$1,'[2]Precios Históricos'!$B:$B,0),MATCH($A167,'[2]Precios Históricos'!$6:$6,0))</f>
        <v>1.2865622699999999</v>
      </c>
      <c r="R167">
        <f>INDEX('[2]Precios Históricos'!$A:$AZ,MATCH(R$1,'[2]Precios Históricos'!$B:$B,0),MATCH($A167,'[2]Precios Históricos'!$6:$6,0))</f>
        <v>3.1273752899999998</v>
      </c>
      <c r="S167">
        <f>INDEX('[2]Precios Históricos'!$A:$AZ,MATCH(S$1,'[2]Precios Históricos'!$B:$B,0),MATCH($A167,'[2]Precios Históricos'!$6:$6,0))</f>
        <v>1.0379849699999999</v>
      </c>
      <c r="T167">
        <f>INDEX('[2]Precios Históricos'!$A:$AZ,MATCH(T$1,'[2]Precios Históricos'!$B:$B,0),MATCH($A167,'[2]Precios Históricos'!$6:$6,0))</f>
        <v>2.3315063999999999</v>
      </c>
      <c r="U167">
        <f>INDEX('[2]Precios Históricos'!$A:$AZ,MATCH(U$1,'[2]Precios Históricos'!$B:$B,0),MATCH($A167,'[2]Precios Históricos'!$6:$6,0))</f>
        <v>1.2895944800000001</v>
      </c>
      <c r="V167">
        <f>INDEX('[2]Precios Históricos'!$A:$AZ,MATCH(V$1,'[2]Precios Históricos'!$B:$B,0),MATCH($A167,'[2]Precios Históricos'!$6:$6,0))</f>
        <v>1.26960213</v>
      </c>
      <c r="W167">
        <f>INDEX('[2]Precios Históricos'!$A:$AZ,MATCH(W$1,'[2]Precios Históricos'!$B:$B,0),MATCH($A167,'[2]Precios Históricos'!$6:$6,0))</f>
        <v>4.15149597</v>
      </c>
      <c r="X167">
        <f>INDEX('[2]Precios Históricos'!$A:$AZ,MATCH(X$1,'[2]Precios Históricos'!$B:$B,0),MATCH($A167,'[2]Precios Históricos'!$6:$6,0))</f>
        <v>1.1262223</v>
      </c>
      <c r="Y167">
        <f>INDEX('[2]Precios Históricos'!$A:$AZ,MATCH(Y$1,'[2]Precios Históricos'!$B:$B,0),MATCH($A167,'[2]Precios Históricos'!$6:$6,0))</f>
        <v>1.0229999999999999</v>
      </c>
      <c r="Z167">
        <f>INDEX('[2]Precios Históricos'!$A:$AZ,MATCH(Z$1,'[2]Precios Históricos'!$B:$B,0),MATCH($A167,'[2]Precios Históricos'!$6:$6,0))</f>
        <v>2.9093671799999998</v>
      </c>
      <c r="AA167">
        <f>INDEX('[2]Precios Históricos'!$A:$AZ,MATCH(AA$1,'[2]Precios Históricos'!$B:$B,0),MATCH($A167,'[2]Precios Históricos'!$6:$6,0))</f>
        <v>1.0453569700000001</v>
      </c>
      <c r="AB167">
        <f>INDEX('[2]Precios Históricos'!$A:$AZ,MATCH(AB$1,'[2]Precios Históricos'!$B:$B,0),MATCH($A167,'[2]Precios Históricos'!$6:$6,0))</f>
        <v>3.6433714799999999</v>
      </c>
      <c r="AC167">
        <f>INDEX('[2]Precios Históricos'!$A:$AZ,MATCH(AC$1,'[2]Precios Históricos'!$B:$B,0),MATCH($A167,'[2]Precios Históricos'!$6:$6,0))</f>
        <v>0.98438888999999996</v>
      </c>
      <c r="AD167">
        <f>INDEX('[2]Precios Históricos'!$A:$AZ,MATCH(AD$1,'[2]Precios Históricos'!$B:$B,0),MATCH($A167,'[2]Precios Históricos'!$6:$6,0))</f>
        <v>0.87983224000000004</v>
      </c>
      <c r="AE167">
        <f>INDEX('[2]Precios Históricos'!$A:$AZ,MATCH(AE$1,'[2]Precios Históricos'!$B:$B,0),MATCH($A167,'[2]Precios Históricos'!$6:$6,0))</f>
        <v>0.92962405999999997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35" sqref="B435"/>
    </sheetView>
  </sheetViews>
  <sheetFormatPr baseColWidth="10" defaultRowHeight="14.4" x14ac:dyDescent="0.3"/>
  <cols>
    <col min="1" max="1" width="11.44140625" style="2"/>
    <col min="2" max="2" width="11.44140625" style="3"/>
  </cols>
  <sheetData>
    <row r="1" spans="1:2" x14ac:dyDescent="0.3">
      <c r="A1" s="2" t="s">
        <v>2</v>
      </c>
      <c r="B1" s="3" t="s">
        <v>1</v>
      </c>
    </row>
    <row r="2" spans="1:2" x14ac:dyDescent="0.3">
      <c r="A2" s="2">
        <v>45659</v>
      </c>
      <c r="B2" s="3">
        <v>34.3125</v>
      </c>
    </row>
    <row r="3" spans="1:2" x14ac:dyDescent="0.3">
      <c r="A3" s="2">
        <v>45660</v>
      </c>
      <c r="B3" s="3">
        <v>34.5</v>
      </c>
    </row>
    <row r="4" spans="1:2" x14ac:dyDescent="0.3">
      <c r="A4" s="2">
        <v>45663</v>
      </c>
      <c r="B4" s="3">
        <v>34.75</v>
      </c>
    </row>
    <row r="5" spans="1:2" x14ac:dyDescent="0.3">
      <c r="A5" s="2">
        <v>45664</v>
      </c>
      <c r="B5" s="3">
        <v>34.8125</v>
      </c>
    </row>
    <row r="6" spans="1:2" x14ac:dyDescent="0.3">
      <c r="A6" s="2">
        <v>45665</v>
      </c>
      <c r="B6" s="3">
        <v>33.9375</v>
      </c>
    </row>
    <row r="7" spans="1:2" x14ac:dyDescent="0.3">
      <c r="A7" s="2">
        <v>45666</v>
      </c>
      <c r="B7" s="3">
        <v>34.1875</v>
      </c>
    </row>
    <row r="8" spans="1:2" x14ac:dyDescent="0.3">
      <c r="A8" s="2">
        <v>45667</v>
      </c>
      <c r="B8" s="3">
        <v>34.1875</v>
      </c>
    </row>
    <row r="9" spans="1:2" x14ac:dyDescent="0.3">
      <c r="A9" s="2">
        <v>45670</v>
      </c>
      <c r="B9" s="3">
        <v>34.25</v>
      </c>
    </row>
    <row r="10" spans="1:2" x14ac:dyDescent="0.3">
      <c r="A10" s="2">
        <v>45671</v>
      </c>
      <c r="B10" s="3">
        <v>34.5625</v>
      </c>
    </row>
    <row r="11" spans="1:2" x14ac:dyDescent="0.3">
      <c r="A11" s="2">
        <v>45672</v>
      </c>
      <c r="B11" s="3">
        <v>32.875</v>
      </c>
    </row>
    <row r="12" spans="1:2" x14ac:dyDescent="0.3">
      <c r="A12" s="2">
        <v>45673</v>
      </c>
      <c r="B12" s="3">
        <v>33.1875</v>
      </c>
    </row>
    <row r="13" spans="1:2" x14ac:dyDescent="0.3">
      <c r="A13" s="2">
        <v>45674</v>
      </c>
      <c r="B13" s="3">
        <v>32.5625</v>
      </c>
    </row>
    <row r="14" spans="1:2" x14ac:dyDescent="0.3">
      <c r="A14" s="2">
        <v>45677</v>
      </c>
      <c r="B14" s="3">
        <v>32.8125</v>
      </c>
    </row>
    <row r="15" spans="1:2" x14ac:dyDescent="0.3">
      <c r="A15" s="2">
        <v>45678</v>
      </c>
      <c r="B15" s="3">
        <v>33.1875</v>
      </c>
    </row>
    <row r="16" spans="1:2" x14ac:dyDescent="0.3">
      <c r="A16" s="2">
        <v>45679</v>
      </c>
      <c r="B16" s="3">
        <v>33.1875</v>
      </c>
    </row>
    <row r="17" spans="1:2" x14ac:dyDescent="0.3">
      <c r="A17" s="2">
        <v>45680</v>
      </c>
      <c r="B17" s="3">
        <v>33.3125</v>
      </c>
    </row>
    <row r="18" spans="1:2" x14ac:dyDescent="0.3">
      <c r="A18" s="2">
        <v>45681</v>
      </c>
      <c r="B18" s="3">
        <v>33.9375</v>
      </c>
    </row>
    <row r="19" spans="1:2" x14ac:dyDescent="0.3">
      <c r="A19" s="2">
        <v>45684</v>
      </c>
      <c r="B19" s="3">
        <v>32.75</v>
      </c>
    </row>
    <row r="20" spans="1:2" x14ac:dyDescent="0.3">
      <c r="A20" s="2">
        <v>45685</v>
      </c>
      <c r="B20" s="3">
        <v>33.875</v>
      </c>
    </row>
    <row r="21" spans="1:2" x14ac:dyDescent="0.3">
      <c r="A21" s="2">
        <v>45686</v>
      </c>
      <c r="B21" s="3">
        <v>33.8125</v>
      </c>
    </row>
    <row r="22" spans="1:2" x14ac:dyDescent="0.3">
      <c r="A22" s="2">
        <v>45687</v>
      </c>
      <c r="B22" s="3">
        <v>33.5</v>
      </c>
    </row>
    <row r="23" spans="1:2" x14ac:dyDescent="0.3">
      <c r="A23" s="2">
        <v>45688</v>
      </c>
      <c r="B23" s="3">
        <v>30.625</v>
      </c>
    </row>
    <row r="24" spans="1:2" x14ac:dyDescent="0.3">
      <c r="A24" s="2">
        <v>45691</v>
      </c>
      <c r="B24" s="3">
        <v>30.4375</v>
      </c>
    </row>
    <row r="25" spans="1:2" x14ac:dyDescent="0.3">
      <c r="A25" s="2">
        <v>45692</v>
      </c>
      <c r="B25" s="3">
        <v>30.6875</v>
      </c>
    </row>
    <row r="26" spans="1:2" x14ac:dyDescent="0.3">
      <c r="A26" s="2">
        <v>45693</v>
      </c>
      <c r="B26" s="3">
        <v>30.8125</v>
      </c>
    </row>
    <row r="27" spans="1:2" x14ac:dyDescent="0.3">
      <c r="A27" s="2">
        <v>45694</v>
      </c>
      <c r="B27" s="3">
        <v>30.625</v>
      </c>
    </row>
    <row r="28" spans="1:2" x14ac:dyDescent="0.3">
      <c r="A28" s="2">
        <v>45695</v>
      </c>
      <c r="B28" s="3">
        <v>30.5</v>
      </c>
    </row>
    <row r="29" spans="1:2" x14ac:dyDescent="0.3">
      <c r="A29" s="2">
        <v>45698</v>
      </c>
      <c r="B29" s="3">
        <v>30.4375</v>
      </c>
    </row>
    <row r="30" spans="1:2" x14ac:dyDescent="0.3">
      <c r="A30" s="2">
        <v>45699</v>
      </c>
      <c r="B30" s="3">
        <v>30.375</v>
      </c>
    </row>
    <row r="31" spans="1:2" x14ac:dyDescent="0.3">
      <c r="A31" s="2">
        <v>45700</v>
      </c>
      <c r="B31" s="3">
        <v>30.1875</v>
      </c>
    </row>
    <row r="32" spans="1:2" x14ac:dyDescent="0.3">
      <c r="A32" s="2">
        <v>45701</v>
      </c>
      <c r="B32" s="3">
        <v>30.25</v>
      </c>
    </row>
    <row r="33" spans="1:2" x14ac:dyDescent="0.3">
      <c r="A33" s="2">
        <v>45702</v>
      </c>
      <c r="B33" s="3">
        <v>30.1875</v>
      </c>
    </row>
    <row r="34" spans="1:2" x14ac:dyDescent="0.3">
      <c r="A34" s="2">
        <v>45705</v>
      </c>
      <c r="B34" s="3">
        <v>30.3125</v>
      </c>
    </row>
    <row r="35" spans="1:2" x14ac:dyDescent="0.3">
      <c r="A35" s="2">
        <v>45706</v>
      </c>
      <c r="B35" s="3">
        <v>30.125</v>
      </c>
    </row>
    <row r="36" spans="1:2" x14ac:dyDescent="0.3">
      <c r="A36" s="2">
        <v>45707</v>
      </c>
      <c r="B36" s="3">
        <v>29.9375</v>
      </c>
    </row>
    <row r="37" spans="1:2" x14ac:dyDescent="0.3">
      <c r="A37" s="2">
        <v>45708</v>
      </c>
      <c r="B37" s="3">
        <v>28.25</v>
      </c>
    </row>
    <row r="38" spans="1:2" x14ac:dyDescent="0.3">
      <c r="A38" s="2">
        <v>45709</v>
      </c>
      <c r="B38" s="3">
        <v>29.4375</v>
      </c>
    </row>
    <row r="39" spans="1:2" x14ac:dyDescent="0.3">
      <c r="A39" s="2">
        <v>45712</v>
      </c>
      <c r="B39" s="3">
        <v>29.0625</v>
      </c>
    </row>
    <row r="40" spans="1:2" x14ac:dyDescent="0.3">
      <c r="A40" s="2">
        <v>45713</v>
      </c>
      <c r="B40" s="3">
        <v>29.0625</v>
      </c>
    </row>
    <row r="41" spans="1:2" x14ac:dyDescent="0.3">
      <c r="A41" s="2">
        <v>45714</v>
      </c>
      <c r="B41" s="3">
        <v>29.375</v>
      </c>
    </row>
    <row r="42" spans="1:2" x14ac:dyDescent="0.3">
      <c r="A42" s="2">
        <v>45715</v>
      </c>
      <c r="B42" s="3">
        <v>29.5625</v>
      </c>
    </row>
    <row r="43" spans="1:2" x14ac:dyDescent="0.3">
      <c r="A43" s="2">
        <v>45716</v>
      </c>
      <c r="B43" s="3">
        <v>29.625</v>
      </c>
    </row>
    <row r="44" spans="1:2" x14ac:dyDescent="0.3">
      <c r="A44" s="2">
        <v>45721</v>
      </c>
      <c r="B44" s="3">
        <v>29.5625</v>
      </c>
    </row>
    <row r="45" spans="1:2" x14ac:dyDescent="0.3">
      <c r="A45" s="2">
        <v>45722</v>
      </c>
      <c r="B45" s="3">
        <v>29.8125</v>
      </c>
    </row>
    <row r="46" spans="1:2" x14ac:dyDescent="0.3">
      <c r="A46" s="2">
        <v>45723</v>
      </c>
      <c r="B46" s="3">
        <v>29.875</v>
      </c>
    </row>
    <row r="47" spans="1:2" x14ac:dyDescent="0.3">
      <c r="A47" s="2">
        <v>45726</v>
      </c>
      <c r="B47" s="3">
        <v>29.875</v>
      </c>
    </row>
    <row r="48" spans="1:2" x14ac:dyDescent="0.3">
      <c r="A48" s="2">
        <v>45727</v>
      </c>
      <c r="B48" s="3">
        <v>29.9375</v>
      </c>
    </row>
    <row r="49" spans="1:2" x14ac:dyDescent="0.3">
      <c r="A49" s="2">
        <v>45728</v>
      </c>
      <c r="B49" s="3">
        <v>30.125</v>
      </c>
    </row>
    <row r="50" spans="1:2" x14ac:dyDescent="0.3">
      <c r="A50" s="2">
        <v>45729</v>
      </c>
      <c r="B50" s="3">
        <v>30.1875</v>
      </c>
    </row>
    <row r="51" spans="1:2" x14ac:dyDescent="0.3">
      <c r="A51" s="2">
        <v>45730</v>
      </c>
      <c r="B51" s="3">
        <v>30.625</v>
      </c>
    </row>
    <row r="52" spans="1:2" x14ac:dyDescent="0.3">
      <c r="A52" s="2">
        <v>45733</v>
      </c>
      <c r="B52" s="3">
        <v>30.8125</v>
      </c>
    </row>
    <row r="53" spans="1:2" x14ac:dyDescent="0.3">
      <c r="A53" s="2">
        <v>45734</v>
      </c>
      <c r="B53" s="3">
        <v>31.0625</v>
      </c>
    </row>
    <row r="54" spans="1:2" x14ac:dyDescent="0.3">
      <c r="A54" s="2">
        <v>45735</v>
      </c>
      <c r="B54" s="3">
        <v>31.375</v>
      </c>
    </row>
    <row r="55" spans="1:2" x14ac:dyDescent="0.3">
      <c r="A55" s="2">
        <v>45736</v>
      </c>
      <c r="B55" s="3">
        <v>31.625</v>
      </c>
    </row>
    <row r="56" spans="1:2" x14ac:dyDescent="0.3">
      <c r="A56" s="2">
        <v>45737</v>
      </c>
      <c r="B56" s="3">
        <v>31.5</v>
      </c>
    </row>
    <row r="57" spans="1:2" x14ac:dyDescent="0.3">
      <c r="A57" s="2">
        <v>45741</v>
      </c>
      <c r="B57" s="3">
        <v>31.3125</v>
      </c>
    </row>
    <row r="58" spans="1:2" x14ac:dyDescent="0.3">
      <c r="A58" s="2">
        <v>45742</v>
      </c>
      <c r="B58" s="3">
        <v>31.875</v>
      </c>
    </row>
    <row r="59" spans="1:2" x14ac:dyDescent="0.3">
      <c r="A59" s="2">
        <v>45743</v>
      </c>
      <c r="B59" s="3">
        <v>31.6875</v>
      </c>
    </row>
    <row r="60" spans="1:2" x14ac:dyDescent="0.3">
      <c r="A60" s="2">
        <v>45744</v>
      </c>
      <c r="B60" s="3">
        <v>31.875</v>
      </c>
    </row>
    <row r="61" spans="1:2" x14ac:dyDescent="0.3">
      <c r="A61" s="2">
        <v>45747</v>
      </c>
      <c r="B61" s="3">
        <v>32.0625</v>
      </c>
    </row>
    <row r="62" spans="1:2" x14ac:dyDescent="0.3">
      <c r="A62" s="2">
        <v>45748</v>
      </c>
      <c r="B62" s="3">
        <v>32.625</v>
      </c>
    </row>
    <row r="63" spans="1:2" x14ac:dyDescent="0.3">
      <c r="A63" s="2">
        <v>45750</v>
      </c>
      <c r="B63" s="3">
        <v>32.9375</v>
      </c>
    </row>
    <row r="64" spans="1:2" x14ac:dyDescent="0.3">
      <c r="A64" s="2">
        <v>45751</v>
      </c>
      <c r="B64" s="3">
        <v>32.4375</v>
      </c>
    </row>
    <row r="65" spans="1:2" x14ac:dyDescent="0.3">
      <c r="A65" s="2">
        <v>45754</v>
      </c>
      <c r="B65" s="3">
        <v>33.25</v>
      </c>
    </row>
    <row r="66" spans="1:2" x14ac:dyDescent="0.3">
      <c r="A66" s="2">
        <v>45755</v>
      </c>
      <c r="B66" s="3">
        <v>32.8125</v>
      </c>
    </row>
    <row r="67" spans="1:2" x14ac:dyDescent="0.3">
      <c r="A67" s="2">
        <v>45756</v>
      </c>
      <c r="B67" s="3">
        <v>32.875</v>
      </c>
    </row>
    <row r="68" spans="1:2" x14ac:dyDescent="0.3">
      <c r="A68" s="2">
        <v>45757</v>
      </c>
      <c r="B68" s="3">
        <v>33.875</v>
      </c>
    </row>
    <row r="69" spans="1:2" x14ac:dyDescent="0.3">
      <c r="A69" s="2">
        <v>45758</v>
      </c>
      <c r="B69" s="3">
        <v>34.1875</v>
      </c>
    </row>
    <row r="70" spans="1:2" x14ac:dyDescent="0.3">
      <c r="A70" s="2">
        <v>45761</v>
      </c>
      <c r="B70" s="3">
        <v>39.1875</v>
      </c>
    </row>
    <row r="71" spans="1:2" x14ac:dyDescent="0.3">
      <c r="A71" s="2">
        <v>45762</v>
      </c>
      <c r="B71" s="3">
        <v>36.5</v>
      </c>
    </row>
    <row r="72" spans="1:2" x14ac:dyDescent="0.3">
      <c r="A72" s="2">
        <v>45763</v>
      </c>
      <c r="B72" s="3">
        <v>39.125</v>
      </c>
    </row>
    <row r="73" spans="1:2" x14ac:dyDescent="0.3">
      <c r="A73" s="2">
        <v>45768</v>
      </c>
      <c r="B73" s="3">
        <v>36.5</v>
      </c>
    </row>
    <row r="74" spans="1:2" x14ac:dyDescent="0.3">
      <c r="A74" s="2">
        <v>45769</v>
      </c>
      <c r="B74" s="3">
        <v>35.6875</v>
      </c>
    </row>
    <row r="75" spans="1:2" x14ac:dyDescent="0.3">
      <c r="A75" s="2">
        <v>45770</v>
      </c>
      <c r="B75" s="3">
        <v>35.625</v>
      </c>
    </row>
    <row r="76" spans="1:2" x14ac:dyDescent="0.3">
      <c r="A76" s="2">
        <v>45771</v>
      </c>
      <c r="B76" s="3">
        <v>35.0625</v>
      </c>
    </row>
    <row r="77" spans="1:2" x14ac:dyDescent="0.3">
      <c r="A77" s="2">
        <v>45772</v>
      </c>
      <c r="B77" s="3">
        <v>34.875</v>
      </c>
    </row>
    <row r="78" spans="1:2" x14ac:dyDescent="0.3">
      <c r="A78" s="2">
        <v>45775</v>
      </c>
      <c r="B78" s="3">
        <v>34.8125</v>
      </c>
    </row>
    <row r="79" spans="1:2" x14ac:dyDescent="0.3">
      <c r="A79" s="2">
        <v>45776</v>
      </c>
      <c r="B79" s="3">
        <v>34.0625</v>
      </c>
    </row>
    <row r="80" spans="1:2" x14ac:dyDescent="0.3">
      <c r="A80" s="2">
        <v>45777</v>
      </c>
      <c r="B80" s="3">
        <v>34.625</v>
      </c>
    </row>
    <row r="81" spans="1:2" x14ac:dyDescent="0.3">
      <c r="A81" s="2">
        <v>45782</v>
      </c>
      <c r="B81" s="3">
        <v>33.4375</v>
      </c>
    </row>
    <row r="82" spans="1:2" x14ac:dyDescent="0.3">
      <c r="A82" s="2">
        <v>45783</v>
      </c>
      <c r="B82" s="3">
        <v>35.3125</v>
      </c>
    </row>
    <row r="83" spans="1:2" x14ac:dyDescent="0.3">
      <c r="A83" s="2">
        <v>45784</v>
      </c>
      <c r="B83" s="3">
        <v>34.8125</v>
      </c>
    </row>
    <row r="84" spans="1:2" x14ac:dyDescent="0.3">
      <c r="A84" s="2">
        <v>45785</v>
      </c>
      <c r="B84" s="3">
        <v>34.5</v>
      </c>
    </row>
    <row r="85" spans="1:2" x14ac:dyDescent="0.3">
      <c r="A85" s="2">
        <v>45786</v>
      </c>
      <c r="B85" s="3">
        <v>34.25</v>
      </c>
    </row>
    <row r="86" spans="1:2" x14ac:dyDescent="0.3">
      <c r="A86" s="2">
        <v>45789</v>
      </c>
      <c r="B86" s="3">
        <v>33.8125</v>
      </c>
    </row>
    <row r="87" spans="1:2" x14ac:dyDescent="0.3">
      <c r="A87" s="2">
        <v>45790</v>
      </c>
      <c r="B87" s="3">
        <v>34.875</v>
      </c>
    </row>
    <row r="88" spans="1:2" x14ac:dyDescent="0.3">
      <c r="A88" s="2">
        <v>45791</v>
      </c>
      <c r="B88" s="3">
        <v>34.5</v>
      </c>
    </row>
    <row r="89" spans="1:2" x14ac:dyDescent="0.3">
      <c r="A89" s="2">
        <v>45792</v>
      </c>
      <c r="B89" s="3">
        <v>34.5625</v>
      </c>
    </row>
    <row r="90" spans="1:2" x14ac:dyDescent="0.3">
      <c r="A90" s="2">
        <v>45793</v>
      </c>
      <c r="B90" s="3">
        <v>32.0625</v>
      </c>
    </row>
    <row r="91" spans="1:2" x14ac:dyDescent="0.3">
      <c r="A91" s="2">
        <v>45796</v>
      </c>
      <c r="B91" s="3">
        <v>34.6875</v>
      </c>
    </row>
    <row r="92" spans="1:2" x14ac:dyDescent="0.3">
      <c r="A92" s="2">
        <v>45797</v>
      </c>
      <c r="B92" s="3">
        <v>34.6875</v>
      </c>
    </row>
    <row r="93" spans="1:2" x14ac:dyDescent="0.3">
      <c r="A93" s="2">
        <v>45798</v>
      </c>
      <c r="B93" s="3">
        <v>34.125</v>
      </c>
    </row>
    <row r="94" spans="1:2" x14ac:dyDescent="0.3">
      <c r="A94" s="2">
        <v>45799</v>
      </c>
      <c r="B94" s="3">
        <v>34.0625</v>
      </c>
    </row>
    <row r="95" spans="1:2" x14ac:dyDescent="0.3">
      <c r="A95" s="2">
        <v>45800</v>
      </c>
      <c r="B95" s="3">
        <v>34.5625</v>
      </c>
    </row>
    <row r="96" spans="1:2" x14ac:dyDescent="0.3">
      <c r="A96" s="2">
        <v>45803</v>
      </c>
      <c r="B96" s="3">
        <v>33.6875</v>
      </c>
    </row>
    <row r="97" spans="1:2" x14ac:dyDescent="0.3">
      <c r="A97" s="2">
        <v>45804</v>
      </c>
      <c r="B97" s="3">
        <v>34.1875</v>
      </c>
    </row>
    <row r="98" spans="1:2" x14ac:dyDescent="0.3">
      <c r="A98" s="2">
        <v>45805</v>
      </c>
      <c r="B98" s="3">
        <v>33.875</v>
      </c>
    </row>
    <row r="99" spans="1:2" x14ac:dyDescent="0.3">
      <c r="A99" s="2">
        <v>45806</v>
      </c>
      <c r="B99" s="3">
        <v>34.0625</v>
      </c>
    </row>
    <row r="100" spans="1:2" x14ac:dyDescent="0.3">
      <c r="A100" s="2">
        <v>45807</v>
      </c>
      <c r="B100" s="3">
        <v>33.1875</v>
      </c>
    </row>
    <row r="101" spans="1:2" x14ac:dyDescent="0.3">
      <c r="A101" s="2">
        <v>45810</v>
      </c>
      <c r="B101" s="3">
        <v>34.25</v>
      </c>
    </row>
    <row r="102" spans="1:2" x14ac:dyDescent="0.3">
      <c r="A102" s="2">
        <v>45811</v>
      </c>
      <c r="B102" s="3">
        <v>34.4375</v>
      </c>
    </row>
    <row r="103" spans="1:2" x14ac:dyDescent="0.3">
      <c r="A103" s="2">
        <v>45812</v>
      </c>
      <c r="B103" s="3">
        <v>33</v>
      </c>
    </row>
    <row r="104" spans="1:2" x14ac:dyDescent="0.3">
      <c r="A104" s="2">
        <v>45813</v>
      </c>
      <c r="B104" s="3">
        <v>33.5625</v>
      </c>
    </row>
    <row r="105" spans="1:2" x14ac:dyDescent="0.3">
      <c r="A105" s="2">
        <v>45814</v>
      </c>
      <c r="B105" s="3">
        <v>34.0625</v>
      </c>
    </row>
    <row r="106" spans="1:2" x14ac:dyDescent="0.3">
      <c r="A106" s="2">
        <v>45817</v>
      </c>
      <c r="B106" s="3">
        <v>32.9375</v>
      </c>
    </row>
    <row r="107" spans="1:2" x14ac:dyDescent="0.3">
      <c r="A107" s="2">
        <v>45818</v>
      </c>
      <c r="B107" s="3">
        <v>34</v>
      </c>
    </row>
    <row r="108" spans="1:2" x14ac:dyDescent="0.3">
      <c r="A108" s="2">
        <v>45819</v>
      </c>
      <c r="B108" s="3">
        <v>33.75</v>
      </c>
    </row>
    <row r="109" spans="1:2" x14ac:dyDescent="0.3">
      <c r="A109" s="2">
        <v>45820</v>
      </c>
      <c r="B109" s="3">
        <v>33.8125</v>
      </c>
    </row>
    <row r="110" spans="1:2" x14ac:dyDescent="0.3">
      <c r="A110" s="2">
        <v>45821</v>
      </c>
      <c r="B110" s="3">
        <v>33.5625</v>
      </c>
    </row>
    <row r="111" spans="1:2" x14ac:dyDescent="0.3">
      <c r="A111" s="2">
        <v>45825</v>
      </c>
      <c r="B111" s="3">
        <v>33.9375</v>
      </c>
    </row>
    <row r="112" spans="1:2" x14ac:dyDescent="0.3">
      <c r="A112" s="2">
        <v>45826</v>
      </c>
      <c r="B112" s="3">
        <v>32.375</v>
      </c>
    </row>
    <row r="113" spans="1:2" x14ac:dyDescent="0.3">
      <c r="A113" s="2">
        <v>45827</v>
      </c>
      <c r="B113" s="3">
        <v>34.0625</v>
      </c>
    </row>
    <row r="114" spans="1:2" x14ac:dyDescent="0.3">
      <c r="A114" s="2">
        <v>45831</v>
      </c>
      <c r="B114" s="3">
        <v>33.25</v>
      </c>
    </row>
    <row r="115" spans="1:2" x14ac:dyDescent="0.3">
      <c r="A115" s="2">
        <v>45832</v>
      </c>
      <c r="B115" s="3">
        <v>34.25</v>
      </c>
    </row>
    <row r="116" spans="1:2" x14ac:dyDescent="0.3">
      <c r="A116" s="2">
        <v>45833</v>
      </c>
      <c r="B116" s="3">
        <v>34</v>
      </c>
    </row>
    <row r="117" spans="1:2" x14ac:dyDescent="0.3">
      <c r="A117" s="2">
        <v>45834</v>
      </c>
      <c r="B117" s="3">
        <v>33.25</v>
      </c>
    </row>
    <row r="118" spans="1:2" x14ac:dyDescent="0.3">
      <c r="A118" s="2">
        <v>45835</v>
      </c>
      <c r="B118" s="3">
        <v>34.3125</v>
      </c>
    </row>
    <row r="119" spans="1:2" x14ac:dyDescent="0.3">
      <c r="A119" s="2">
        <v>45838</v>
      </c>
      <c r="B119" s="3">
        <v>33.625</v>
      </c>
    </row>
    <row r="120" spans="1:2" x14ac:dyDescent="0.3">
      <c r="A120" s="2">
        <v>45839</v>
      </c>
      <c r="B120" s="3">
        <v>34.1875</v>
      </c>
    </row>
    <row r="121" spans="1:2" x14ac:dyDescent="0.3">
      <c r="A121" s="2">
        <v>45840</v>
      </c>
      <c r="B121" s="3">
        <v>34.1875</v>
      </c>
    </row>
    <row r="122" spans="1:2" x14ac:dyDescent="0.3">
      <c r="A122" s="2">
        <v>45841</v>
      </c>
      <c r="B122" s="3">
        <v>34.0625</v>
      </c>
    </row>
    <row r="123" spans="1:2" x14ac:dyDescent="0.3">
      <c r="A123" s="2">
        <v>45842</v>
      </c>
      <c r="B123" s="3">
        <v>33.75</v>
      </c>
    </row>
    <row r="124" spans="1:2" x14ac:dyDescent="0.3">
      <c r="A124" s="2">
        <v>45845</v>
      </c>
      <c r="B124" s="3">
        <v>33.625</v>
      </c>
    </row>
    <row r="125" spans="1:2" x14ac:dyDescent="0.3">
      <c r="A125" s="2">
        <v>45846</v>
      </c>
      <c r="B125" s="3">
        <v>33.5</v>
      </c>
    </row>
    <row r="126" spans="1:2" x14ac:dyDescent="0.3">
      <c r="A126" s="2">
        <v>45848</v>
      </c>
      <c r="B126" s="3">
        <v>32.8125</v>
      </c>
    </row>
    <row r="127" spans="1:2" x14ac:dyDescent="0.3">
      <c r="A127" s="2">
        <v>45849</v>
      </c>
      <c r="B127" s="3">
        <v>31.125</v>
      </c>
    </row>
    <row r="128" spans="1:2" x14ac:dyDescent="0.3">
      <c r="A128" s="2">
        <v>45852</v>
      </c>
      <c r="B128" s="3">
        <v>29.1875</v>
      </c>
    </row>
    <row r="129" spans="1:2" x14ac:dyDescent="0.3">
      <c r="A129" s="2">
        <v>45853</v>
      </c>
      <c r="B129" s="3">
        <v>29.5</v>
      </c>
    </row>
    <row r="130" spans="1:2" x14ac:dyDescent="0.3">
      <c r="A130" s="2">
        <v>45854</v>
      </c>
      <c r="B130" s="3">
        <v>31.25</v>
      </c>
    </row>
    <row r="131" spans="1:2" x14ac:dyDescent="0.3">
      <c r="A131" s="2">
        <v>45855</v>
      </c>
      <c r="B131" s="3">
        <v>32.375</v>
      </c>
    </row>
    <row r="132" spans="1:2" x14ac:dyDescent="0.3">
      <c r="A132" s="2">
        <v>45856</v>
      </c>
      <c r="B132" s="3">
        <v>33.3125</v>
      </c>
    </row>
    <row r="133" spans="1:2" x14ac:dyDescent="0.3">
      <c r="A133" s="2">
        <v>45859</v>
      </c>
      <c r="B133" s="3">
        <v>34.1875</v>
      </c>
    </row>
    <row r="134" spans="1:2" x14ac:dyDescent="0.3">
      <c r="A134" s="2">
        <v>45860</v>
      </c>
      <c r="B134" s="3">
        <v>37.875</v>
      </c>
    </row>
    <row r="135" spans="1:2" x14ac:dyDescent="0.3">
      <c r="A135" s="2">
        <v>45861</v>
      </c>
      <c r="B135" s="3">
        <v>36.875</v>
      </c>
    </row>
    <row r="136" spans="1:2" x14ac:dyDescent="0.3">
      <c r="A136" s="2">
        <v>45862</v>
      </c>
      <c r="B136" s="3">
        <v>37</v>
      </c>
    </row>
    <row r="137" spans="1:2" x14ac:dyDescent="0.3">
      <c r="A137" s="2">
        <v>45863</v>
      </c>
      <c r="B137" s="3">
        <v>35.625</v>
      </c>
    </row>
    <row r="138" spans="1:2" x14ac:dyDescent="0.3">
      <c r="A138" s="2">
        <v>45866</v>
      </c>
      <c r="B138" s="3">
        <v>35.25</v>
      </c>
    </row>
    <row r="139" spans="1:2" x14ac:dyDescent="0.3">
      <c r="A139" s="2">
        <v>45867</v>
      </c>
      <c r="B139" s="3">
        <v>38</v>
      </c>
    </row>
    <row r="140" spans="1:2" x14ac:dyDescent="0.3">
      <c r="A140" s="2">
        <v>45868</v>
      </c>
      <c r="B140" s="3">
        <v>39.125</v>
      </c>
    </row>
    <row r="141" spans="1:2" x14ac:dyDescent="0.3">
      <c r="A141" s="2">
        <v>45869</v>
      </c>
      <c r="B141" s="3">
        <v>40.25</v>
      </c>
    </row>
    <row r="142" spans="1:2" x14ac:dyDescent="0.3">
      <c r="A142" s="2">
        <v>45870</v>
      </c>
      <c r="B142" s="3">
        <v>41.75</v>
      </c>
    </row>
    <row r="143" spans="1:2" x14ac:dyDescent="0.3">
      <c r="A143" s="2">
        <v>45873</v>
      </c>
      <c r="B143" s="3">
        <v>42.1875</v>
      </c>
    </row>
    <row r="144" spans="1:2" x14ac:dyDescent="0.3">
      <c r="A144" s="2">
        <v>45874</v>
      </c>
      <c r="B144" s="3">
        <v>42.625</v>
      </c>
    </row>
    <row r="145" spans="1:2" x14ac:dyDescent="0.3">
      <c r="A145" s="2">
        <v>45875</v>
      </c>
      <c r="B145" s="3">
        <v>41.75</v>
      </c>
    </row>
    <row r="146" spans="1:2" x14ac:dyDescent="0.3">
      <c r="A146" s="2">
        <v>45876</v>
      </c>
      <c r="B146" s="3">
        <v>43.75</v>
      </c>
    </row>
    <row r="147" spans="1:2" x14ac:dyDescent="0.3">
      <c r="A147" s="2">
        <v>45877</v>
      </c>
      <c r="B147" s="3">
        <v>45.375</v>
      </c>
    </row>
    <row r="148" spans="1:2" x14ac:dyDescent="0.3">
      <c r="A148" s="2">
        <v>45880</v>
      </c>
      <c r="B148" s="3">
        <v>47.75</v>
      </c>
    </row>
    <row r="149" spans="1:2" x14ac:dyDescent="0.3">
      <c r="A149" s="2">
        <v>45881</v>
      </c>
      <c r="B149" s="3">
        <v>49.75</v>
      </c>
    </row>
    <row r="150" spans="1:2" x14ac:dyDescent="0.3">
      <c r="A150" s="2">
        <v>45882</v>
      </c>
      <c r="B150" s="3">
        <v>49.9375</v>
      </c>
    </row>
    <row r="151" spans="1:2" x14ac:dyDescent="0.3">
      <c r="A151" s="2">
        <v>45883</v>
      </c>
      <c r="B151" s="3">
        <v>52.5625</v>
      </c>
    </row>
    <row r="152" spans="1:2" x14ac:dyDescent="0.3">
      <c r="A152" s="2">
        <v>45887</v>
      </c>
      <c r="B152" s="3">
        <v>56.5625</v>
      </c>
    </row>
    <row r="153" spans="1:2" x14ac:dyDescent="0.3">
      <c r="A153" s="2">
        <v>45888</v>
      </c>
      <c r="B153" s="3">
        <v>58.3125</v>
      </c>
    </row>
    <row r="154" spans="1:2" x14ac:dyDescent="0.3">
      <c r="A154" s="2">
        <v>45889</v>
      </c>
      <c r="B154" s="3">
        <v>58.8125</v>
      </c>
    </row>
    <row r="155" spans="1:2" x14ac:dyDescent="0.3">
      <c r="A155" s="2">
        <v>45890</v>
      </c>
      <c r="B155" s="3">
        <v>59.25</v>
      </c>
    </row>
    <row r="156" spans="1:2" x14ac:dyDescent="0.3">
      <c r="A156" s="2">
        <v>45891</v>
      </c>
      <c r="B156" s="3">
        <v>59.8125</v>
      </c>
    </row>
    <row r="157" spans="1:2" x14ac:dyDescent="0.3">
      <c r="A157" s="2">
        <v>45894</v>
      </c>
      <c r="B157" s="3">
        <v>60.25</v>
      </c>
    </row>
    <row r="158" spans="1:2" x14ac:dyDescent="0.3">
      <c r="A158" s="2">
        <v>45895</v>
      </c>
      <c r="B158" s="3">
        <v>64.125</v>
      </c>
    </row>
    <row r="159" spans="1:2" x14ac:dyDescent="0.3">
      <c r="A159" s="2">
        <v>45896</v>
      </c>
      <c r="B159" s="3">
        <v>61.1875</v>
      </c>
    </row>
    <row r="160" spans="1:2" x14ac:dyDescent="0.3">
      <c r="A160" s="2">
        <v>45897</v>
      </c>
      <c r="B160" s="3">
        <v>66.125</v>
      </c>
    </row>
    <row r="161" spans="1:2" x14ac:dyDescent="0.3">
      <c r="A161" s="2">
        <v>45898</v>
      </c>
      <c r="B161" s="3">
        <v>66.1875</v>
      </c>
    </row>
    <row r="162" spans="1:2" x14ac:dyDescent="0.3">
      <c r="A162" s="2">
        <v>45901</v>
      </c>
      <c r="B162" s="3">
        <v>67</v>
      </c>
    </row>
    <row r="163" spans="1:2" x14ac:dyDescent="0.3">
      <c r="A163" s="2">
        <v>45902</v>
      </c>
      <c r="B163" s="3">
        <v>58.4375</v>
      </c>
    </row>
    <row r="164" spans="1:2" x14ac:dyDescent="0.3">
      <c r="A164" s="2">
        <v>45903</v>
      </c>
      <c r="B164" s="3">
        <v>66</v>
      </c>
    </row>
    <row r="165" spans="1:2" x14ac:dyDescent="0.3">
      <c r="A165" s="2">
        <v>45904</v>
      </c>
      <c r="B165" s="3">
        <v>65.9375</v>
      </c>
    </row>
    <row r="166" spans="1:2" x14ac:dyDescent="0.3">
      <c r="A166" s="2">
        <v>45905</v>
      </c>
      <c r="B166" s="3">
        <v>64.0625</v>
      </c>
    </row>
    <row r="167" spans="1:2" x14ac:dyDescent="0.3">
      <c r="A167" s="2">
        <v>45908</v>
      </c>
      <c r="B167" s="3">
        <v>63.5</v>
      </c>
    </row>
    <row r="168" spans="1:2" x14ac:dyDescent="0.3">
      <c r="A168" s="2">
        <v>45909</v>
      </c>
      <c r="B168" s="3">
        <v>64.9375</v>
      </c>
    </row>
    <row r="169" spans="1:2" x14ac:dyDescent="0.3">
      <c r="A169" s="2">
        <v>45910</v>
      </c>
      <c r="B169" s="3">
        <v>59</v>
      </c>
    </row>
    <row r="170" spans="1:2" x14ac:dyDescent="0.3">
      <c r="A170" s="2">
        <v>45911</v>
      </c>
      <c r="B170" s="3">
        <v>52.5</v>
      </c>
    </row>
    <row r="171" spans="1:2" x14ac:dyDescent="0.3">
      <c r="A171" s="2">
        <v>45912</v>
      </c>
      <c r="B171" s="3">
        <v>47.6875</v>
      </c>
    </row>
    <row r="172" spans="1:2" x14ac:dyDescent="0.3">
      <c r="A172" s="2">
        <v>45915</v>
      </c>
      <c r="B172" s="3">
        <v>45.9375</v>
      </c>
    </row>
    <row r="173" spans="1:2" x14ac:dyDescent="0.3">
      <c r="A173" s="2">
        <v>45916</v>
      </c>
      <c r="B173" s="3">
        <v>43.6875</v>
      </c>
    </row>
    <row r="174" spans="1:2" x14ac:dyDescent="0.3">
      <c r="A174" s="2">
        <v>45917</v>
      </c>
      <c r="B174" s="3">
        <v>45.125</v>
      </c>
    </row>
    <row r="175" spans="1:2" x14ac:dyDescent="0.3">
      <c r="A175" s="2">
        <v>45918</v>
      </c>
      <c r="B175" s="3">
        <v>46.375</v>
      </c>
    </row>
    <row r="176" spans="1:2" x14ac:dyDescent="0.3">
      <c r="A176" s="2">
        <v>45919</v>
      </c>
      <c r="B176" s="3">
        <v>47.5625</v>
      </c>
    </row>
    <row r="177" spans="1:2" x14ac:dyDescent="0.3">
      <c r="A177" s="2">
        <v>45922</v>
      </c>
      <c r="B177" s="3">
        <v>48.1875</v>
      </c>
    </row>
    <row r="178" spans="1:2" x14ac:dyDescent="0.3">
      <c r="A178" s="2">
        <v>45923</v>
      </c>
      <c r="B178" s="3">
        <v>48.8125</v>
      </c>
    </row>
    <row r="179" spans="1:2" x14ac:dyDescent="0.3">
      <c r="A179" s="2">
        <v>45924</v>
      </c>
      <c r="B179" s="3">
        <v>44.1875</v>
      </c>
    </row>
    <row r="180" spans="1:2" x14ac:dyDescent="0.3">
      <c r="A180" s="2">
        <v>45925</v>
      </c>
      <c r="B180" s="3">
        <v>41.625</v>
      </c>
    </row>
    <row r="181" spans="1:2" x14ac:dyDescent="0.3">
      <c r="A181" s="2">
        <v>45926</v>
      </c>
      <c r="B181" s="3">
        <v>41</v>
      </c>
    </row>
    <row r="182" spans="1:2" x14ac:dyDescent="0.3">
      <c r="A182" s="2">
        <v>45929</v>
      </c>
      <c r="B182" s="3">
        <v>41.5</v>
      </c>
    </row>
    <row r="183" spans="1:2" x14ac:dyDescent="0.3">
      <c r="A183" s="2">
        <v>45930</v>
      </c>
      <c r="B183" s="3">
        <v>42.375</v>
      </c>
    </row>
    <row r="184" spans="1:2" x14ac:dyDescent="0.3">
      <c r="A184" s="2">
        <v>45931</v>
      </c>
      <c r="B184" s="3">
        <v>42.875</v>
      </c>
    </row>
    <row r="185" spans="1:2" x14ac:dyDescent="0.3">
      <c r="A185" s="2">
        <v>45932</v>
      </c>
      <c r="B185" s="3">
        <v>42</v>
      </c>
    </row>
    <row r="186" spans="1:2" x14ac:dyDescent="0.3">
      <c r="A186" s="2">
        <v>45933</v>
      </c>
      <c r="B186" s="3">
        <v>44.125</v>
      </c>
    </row>
    <row r="187" spans="1:2" x14ac:dyDescent="0.3">
      <c r="A187" s="2">
        <v>45936</v>
      </c>
      <c r="B187" s="3">
        <v>44.75</v>
      </c>
    </row>
    <row r="188" spans="1:2" x14ac:dyDescent="0.3">
      <c r="A188" s="2">
        <v>45937</v>
      </c>
      <c r="B188" s="3">
        <v>47.125</v>
      </c>
    </row>
    <row r="189" spans="1:2" x14ac:dyDescent="0.3">
      <c r="A189" s="2">
        <v>45938</v>
      </c>
      <c r="B189" s="3">
        <v>50.1875</v>
      </c>
    </row>
    <row r="190" spans="1:2" x14ac:dyDescent="0.3">
      <c r="A190" s="2">
        <v>45939</v>
      </c>
      <c r="B190" s="3">
        <v>54.375</v>
      </c>
    </row>
    <row r="191" spans="1:2" x14ac:dyDescent="0.3">
      <c r="A191" s="2">
        <v>45940</v>
      </c>
      <c r="B191" s="3">
        <v>54.375</v>
      </c>
    </row>
    <row r="192" spans="1:2" x14ac:dyDescent="0.3">
      <c r="A192" s="2">
        <v>45943</v>
      </c>
      <c r="B192" s="3">
        <v>53.75</v>
      </c>
    </row>
    <row r="193" spans="1:2" x14ac:dyDescent="0.3">
      <c r="A193" s="2">
        <v>45944</v>
      </c>
      <c r="B193" s="3">
        <v>59.125</v>
      </c>
    </row>
    <row r="194" spans="1:2" x14ac:dyDescent="0.3">
      <c r="A194" s="2">
        <v>45945</v>
      </c>
      <c r="B194" s="3">
        <v>66</v>
      </c>
    </row>
    <row r="195" spans="1:2" x14ac:dyDescent="0.3">
      <c r="A195" s="2">
        <v>45946</v>
      </c>
      <c r="B195" s="3">
        <v>60.125</v>
      </c>
    </row>
    <row r="196" spans="1:2" x14ac:dyDescent="0.3">
      <c r="A196" s="2">
        <v>45947</v>
      </c>
      <c r="B196" s="3">
        <v>57.9375</v>
      </c>
    </row>
    <row r="197" spans="1:2" x14ac:dyDescent="0.3">
      <c r="A197" s="2">
        <v>45950</v>
      </c>
      <c r="B197" s="3">
        <v>53.0625</v>
      </c>
    </row>
    <row r="198" spans="1:2" x14ac:dyDescent="0.3">
      <c r="A198" s="2">
        <v>45951</v>
      </c>
      <c r="B198" s="3">
        <v>52.8125</v>
      </c>
    </row>
    <row r="199" spans="1:2" x14ac:dyDescent="0.3">
      <c r="A199" s="2">
        <v>45952</v>
      </c>
      <c r="B199" s="3">
        <v>53.6875</v>
      </c>
    </row>
    <row r="200" spans="1:2" x14ac:dyDescent="0.3">
      <c r="A200" s="2">
        <v>45953</v>
      </c>
      <c r="B200" s="3">
        <v>54.875</v>
      </c>
    </row>
    <row r="201" spans="1:2" x14ac:dyDescent="0.3">
      <c r="A201" s="2">
        <v>45954</v>
      </c>
      <c r="B201" s="3">
        <v>58.5</v>
      </c>
    </row>
    <row r="202" spans="1:2" x14ac:dyDescent="0.3">
      <c r="A202" s="2">
        <v>45957</v>
      </c>
      <c r="B202" s="3">
        <v>45.9375</v>
      </c>
    </row>
    <row r="203" spans="1:2" x14ac:dyDescent="0.3">
      <c r="A203" s="2">
        <v>45958</v>
      </c>
      <c r="B203" s="3">
        <v>49.1875</v>
      </c>
    </row>
    <row r="204" spans="1:2" x14ac:dyDescent="0.3">
      <c r="A204" s="2">
        <v>45959</v>
      </c>
      <c r="B204" s="3">
        <v>44.625</v>
      </c>
    </row>
    <row r="205" spans="1:2" x14ac:dyDescent="0.3">
      <c r="A205" s="2">
        <v>45960</v>
      </c>
      <c r="B205" s="3">
        <v>43.375</v>
      </c>
    </row>
    <row r="206" spans="1:2" x14ac:dyDescent="0.3">
      <c r="A206" s="2">
        <v>45961</v>
      </c>
      <c r="B206" s="3">
        <v>38.3125</v>
      </c>
    </row>
    <row r="207" spans="1:2" x14ac:dyDescent="0.3">
      <c r="A207" s="2">
        <v>45964</v>
      </c>
      <c r="B207" s="3">
        <v>36.75</v>
      </c>
    </row>
    <row r="208" spans="1:2" x14ac:dyDescent="0.3">
      <c r="A208" s="2">
        <v>45965</v>
      </c>
      <c r="B208" s="3">
        <v>37.5625</v>
      </c>
    </row>
    <row r="209" spans="1:2" x14ac:dyDescent="0.3">
      <c r="A209" s="2">
        <v>45966</v>
      </c>
      <c r="B209" s="3">
        <v>36.3125</v>
      </c>
    </row>
    <row r="210" spans="1:2" x14ac:dyDescent="0.3">
      <c r="A210" s="2">
        <v>45968</v>
      </c>
      <c r="B210" s="3">
        <v>34.8125</v>
      </c>
    </row>
    <row r="211" spans="1:2" x14ac:dyDescent="0.3">
      <c r="A211" s="2">
        <v>45971</v>
      </c>
      <c r="B211" s="3">
        <v>34.75</v>
      </c>
    </row>
    <row r="212" spans="1:2" x14ac:dyDescent="0.3">
      <c r="A212" s="2">
        <v>45972</v>
      </c>
      <c r="B212" s="3">
        <v>35</v>
      </c>
    </row>
    <row r="213" spans="1:2" x14ac:dyDescent="0.3">
      <c r="A213" s="2">
        <v>45973</v>
      </c>
      <c r="B213" s="3">
        <v>34.625</v>
      </c>
    </row>
    <row r="214" spans="1:2" x14ac:dyDescent="0.3">
      <c r="A214" s="2">
        <v>45974</v>
      </c>
      <c r="B214" s="3">
        <v>33.9375</v>
      </c>
    </row>
    <row r="215" spans="1:2" x14ac:dyDescent="0.3">
      <c r="A215" s="2">
        <v>45975</v>
      </c>
      <c r="B215" s="3">
        <v>33.4375</v>
      </c>
    </row>
    <row r="216" spans="1:2" x14ac:dyDescent="0.3">
      <c r="A216" s="2">
        <v>45978</v>
      </c>
      <c r="B216" s="3">
        <v>33</v>
      </c>
    </row>
    <row r="217" spans="1:2" x14ac:dyDescent="0.3">
      <c r="A217" s="2">
        <v>45979</v>
      </c>
      <c r="B217" s="3">
        <v>33.5</v>
      </c>
    </row>
    <row r="218" spans="1:2" x14ac:dyDescent="0.3">
      <c r="A218" s="2">
        <v>45980</v>
      </c>
      <c r="B218" s="3">
        <v>33.8125</v>
      </c>
    </row>
    <row r="219" spans="1:2" x14ac:dyDescent="0.3">
      <c r="A219" s="2">
        <v>45981</v>
      </c>
      <c r="B219" s="3">
        <v>31.6875</v>
      </c>
    </row>
    <row r="220" spans="1:2" x14ac:dyDescent="0.3">
      <c r="A220" s="2">
        <v>45986</v>
      </c>
      <c r="B220" s="3">
        <v>32.0625</v>
      </c>
    </row>
    <row r="221" spans="1:2" x14ac:dyDescent="0.3">
      <c r="A221" s="2">
        <v>45987</v>
      </c>
      <c r="B221" s="3">
        <v>31.6875</v>
      </c>
    </row>
    <row r="222" spans="1:2" x14ac:dyDescent="0.3">
      <c r="A222" s="2">
        <v>45988</v>
      </c>
      <c r="B222" s="3">
        <v>31.75</v>
      </c>
    </row>
    <row r="223" spans="1:2" x14ac:dyDescent="0.3">
      <c r="A223" s="2">
        <v>45989</v>
      </c>
      <c r="B223" s="3">
        <v>31.4375</v>
      </c>
    </row>
    <row r="224" spans="1:2" x14ac:dyDescent="0.3">
      <c r="A224" s="2">
        <v>45992</v>
      </c>
      <c r="B224" s="3">
        <v>30.9375</v>
      </c>
    </row>
    <row r="225" spans="1:2" x14ac:dyDescent="0.3">
      <c r="A225" s="2">
        <v>45993</v>
      </c>
      <c r="B225" s="3">
        <v>29.6875</v>
      </c>
    </row>
    <row r="226" spans="1:2" x14ac:dyDescent="0.3">
      <c r="A226" s="2">
        <v>45994</v>
      </c>
      <c r="B226" s="3">
        <v>27.8125</v>
      </c>
    </row>
    <row r="227" spans="1:2" x14ac:dyDescent="0.3">
      <c r="A227" s="2">
        <v>45995</v>
      </c>
      <c r="B227" s="3">
        <v>26.625</v>
      </c>
    </row>
    <row r="228" spans="1:2" x14ac:dyDescent="0.3">
      <c r="A228" s="2">
        <v>45996</v>
      </c>
      <c r="B228" s="3">
        <v>26.8125</v>
      </c>
    </row>
    <row r="229" spans="1:2" x14ac:dyDescent="0.3">
      <c r="A229" s="2">
        <v>46000</v>
      </c>
      <c r="B229" s="3">
        <v>26.4375</v>
      </c>
    </row>
    <row r="230" spans="1:2" x14ac:dyDescent="0.3">
      <c r="A230" s="2">
        <v>46001</v>
      </c>
      <c r="B230" s="3">
        <v>26.6875</v>
      </c>
    </row>
    <row r="231" spans="1:2" x14ac:dyDescent="0.3">
      <c r="A231" s="2">
        <v>46002</v>
      </c>
      <c r="B231" s="3">
        <v>26.75</v>
      </c>
    </row>
    <row r="232" spans="1:2" x14ac:dyDescent="0.3">
      <c r="A232" s="2">
        <v>46003</v>
      </c>
      <c r="B232" s="3">
        <v>26.75</v>
      </c>
    </row>
    <row r="233" spans="1:2" x14ac:dyDescent="0.3">
      <c r="A233" s="2">
        <v>46006</v>
      </c>
      <c r="B233" s="3">
        <v>26.75</v>
      </c>
    </row>
    <row r="234" spans="1:2" x14ac:dyDescent="0.3">
      <c r="A234" s="2">
        <v>46007</v>
      </c>
      <c r="B234" s="3">
        <v>27.125</v>
      </c>
    </row>
    <row r="235" spans="1:2" x14ac:dyDescent="0.3">
      <c r="A235" s="2">
        <v>46008</v>
      </c>
      <c r="B235" s="3">
        <v>27.375</v>
      </c>
    </row>
    <row r="236" spans="1:2" x14ac:dyDescent="0.3">
      <c r="A236" s="2">
        <v>46009</v>
      </c>
      <c r="B236" s="3">
        <v>27.3125</v>
      </c>
    </row>
    <row r="237" spans="1:2" x14ac:dyDescent="0.3">
      <c r="A237" s="2">
        <v>46010</v>
      </c>
      <c r="B237" s="3">
        <v>28.25</v>
      </c>
    </row>
    <row r="238" spans="1:2" x14ac:dyDescent="0.3">
      <c r="A238" s="2">
        <v>46013</v>
      </c>
      <c r="B238" s="3">
        <v>28.375</v>
      </c>
    </row>
    <row r="239" spans="1:2" x14ac:dyDescent="0.3">
      <c r="A239" s="2">
        <v>46014</v>
      </c>
      <c r="B239" s="3">
        <v>29.4375</v>
      </c>
    </row>
    <row r="240" spans="1:2" x14ac:dyDescent="0.3">
      <c r="A240" s="2">
        <v>46017</v>
      </c>
      <c r="B240" s="3">
        <v>28.6875</v>
      </c>
    </row>
    <row r="241" spans="1:3" x14ac:dyDescent="0.3">
      <c r="A241" s="2">
        <v>46020</v>
      </c>
      <c r="B241" s="3">
        <v>27.9375</v>
      </c>
    </row>
    <row r="242" spans="1:3" x14ac:dyDescent="0.3">
      <c r="A242" s="2">
        <v>46021</v>
      </c>
      <c r="B242" s="3">
        <v>28.875</v>
      </c>
    </row>
    <row r="243" spans="1:3" x14ac:dyDescent="0.3">
      <c r="A243" s="2">
        <v>46024</v>
      </c>
      <c r="B243" s="3">
        <v>29.375</v>
      </c>
    </row>
    <row r="244" spans="1:3" x14ac:dyDescent="0.3">
      <c r="A244" s="2">
        <v>46027</v>
      </c>
      <c r="B244" s="3">
        <v>28.75</v>
      </c>
    </row>
    <row r="245" spans="1:3" x14ac:dyDescent="0.3">
      <c r="A245" s="2">
        <v>46028</v>
      </c>
      <c r="B245" s="3">
        <v>29.375</v>
      </c>
    </row>
    <row r="246" spans="1:3" x14ac:dyDescent="0.3">
      <c r="A246" s="2">
        <v>46029</v>
      </c>
      <c r="B246" s="3">
        <v>31.75</v>
      </c>
    </row>
    <row r="247" spans="1:3" x14ac:dyDescent="0.3">
      <c r="A247" s="2">
        <v>46030</v>
      </c>
      <c r="B247" s="3">
        <v>33.125</v>
      </c>
    </row>
    <row r="248" spans="1:3" x14ac:dyDescent="0.3">
      <c r="A248" s="2">
        <v>46031</v>
      </c>
      <c r="B248" s="3">
        <v>32.625</v>
      </c>
    </row>
    <row r="249" spans="1:3" x14ac:dyDescent="0.3">
      <c r="A249" s="2">
        <v>46034</v>
      </c>
      <c r="B249" s="3">
        <v>32.4375</v>
      </c>
    </row>
    <row r="250" spans="1:3" x14ac:dyDescent="0.3">
      <c r="A250" s="2">
        <v>46035</v>
      </c>
      <c r="B250" s="3">
        <v>34.4375</v>
      </c>
    </row>
    <row r="251" spans="1:3" x14ac:dyDescent="0.3">
      <c r="A251" s="2">
        <v>46036</v>
      </c>
      <c r="B251" s="3">
        <v>34.9375</v>
      </c>
    </row>
    <row r="252" spans="1:3" x14ac:dyDescent="0.3">
      <c r="A252" s="2">
        <v>46037</v>
      </c>
      <c r="B252" s="3">
        <v>35.6875</v>
      </c>
    </row>
    <row r="253" spans="1:3" x14ac:dyDescent="0.3">
      <c r="A253" s="2">
        <v>46038</v>
      </c>
      <c r="B253" s="3">
        <v>35.5625</v>
      </c>
    </row>
    <row r="254" spans="1:3" x14ac:dyDescent="0.3">
      <c r="A254" s="2">
        <v>46041</v>
      </c>
      <c r="B254" s="3">
        <v>36.6875</v>
      </c>
    </row>
    <row r="255" spans="1:3" x14ac:dyDescent="0.3">
      <c r="A255" s="2">
        <v>46042</v>
      </c>
      <c r="B255" s="3">
        <v>36.6875</v>
      </c>
    </row>
    <row r="256" spans="1:3" x14ac:dyDescent="0.3">
      <c r="A256" s="2">
        <v>46043</v>
      </c>
      <c r="B256" s="3">
        <v>36.9375</v>
      </c>
      <c r="C256" t="s">
        <v>5</v>
      </c>
    </row>
    <row r="257" spans="1:3" x14ac:dyDescent="0.3">
      <c r="A257" s="2">
        <v>46044</v>
      </c>
      <c r="B257" s="3">
        <v>38.0625</v>
      </c>
    </row>
    <row r="258" spans="1:3" x14ac:dyDescent="0.3">
      <c r="A258" s="2">
        <v>46045</v>
      </c>
      <c r="B258" s="3">
        <v>37.8125</v>
      </c>
    </row>
    <row r="259" spans="1:3" x14ac:dyDescent="0.3">
      <c r="A259" s="2">
        <v>46048</v>
      </c>
      <c r="B259" s="3">
        <v>35.625</v>
      </c>
    </row>
    <row r="260" spans="1:3" x14ac:dyDescent="0.3">
      <c r="A260" s="2">
        <v>46049</v>
      </c>
      <c r="B260" s="3">
        <v>34.5</v>
      </c>
    </row>
    <row r="261" spans="1:3" x14ac:dyDescent="0.3">
      <c r="A261" s="2">
        <v>46050</v>
      </c>
      <c r="B261" s="3">
        <v>32.625</v>
      </c>
    </row>
    <row r="262" spans="1:3" x14ac:dyDescent="0.3">
      <c r="A262" s="2">
        <v>46051</v>
      </c>
      <c r="B262" s="3">
        <v>31.75</v>
      </c>
    </row>
    <row r="263" spans="1:3" x14ac:dyDescent="0.3">
      <c r="A263" s="2">
        <v>46052</v>
      </c>
      <c r="B263" s="3">
        <v>32.9375</v>
      </c>
      <c r="C263" t="s">
        <v>5</v>
      </c>
    </row>
    <row r="264" spans="1:3" x14ac:dyDescent="0.3">
      <c r="A264" s="2">
        <v>46055</v>
      </c>
      <c r="B264" s="3">
        <v>32.6875</v>
      </c>
    </row>
    <row r="265" spans="1:3" x14ac:dyDescent="0.3">
      <c r="A265" s="2">
        <v>46056</v>
      </c>
      <c r="B265" s="3">
        <v>34</v>
      </c>
    </row>
    <row r="266" spans="1:3" x14ac:dyDescent="0.3">
      <c r="A266" s="2">
        <v>46057</v>
      </c>
      <c r="B266" s="3">
        <v>32.5625</v>
      </c>
    </row>
    <row r="267" spans="1:3" x14ac:dyDescent="0.3">
      <c r="A267" s="2">
        <v>46058</v>
      </c>
      <c r="B267" s="3">
        <v>32.1875</v>
      </c>
    </row>
    <row r="268" spans="1:3" x14ac:dyDescent="0.3">
      <c r="A268" s="2">
        <v>46059</v>
      </c>
      <c r="B268" s="3">
        <v>31.8125</v>
      </c>
    </row>
    <row r="269" spans="1:3" x14ac:dyDescent="0.3">
      <c r="A269" s="2">
        <v>46062</v>
      </c>
      <c r="B269" s="3">
        <v>31.1875</v>
      </c>
    </row>
    <row r="270" spans="1:3" x14ac:dyDescent="0.3">
      <c r="A270" s="2">
        <v>46063</v>
      </c>
      <c r="B270" s="3">
        <v>31.375</v>
      </c>
    </row>
    <row r="271" spans="1:3" x14ac:dyDescent="0.3">
      <c r="A271" s="2">
        <v>46064</v>
      </c>
      <c r="B271" s="3">
        <v>31.5625</v>
      </c>
    </row>
    <row r="272" spans="1:3" x14ac:dyDescent="0.3">
      <c r="A272" s="2">
        <v>46065</v>
      </c>
      <c r="B272" s="3">
        <v>32.375</v>
      </c>
    </row>
    <row r="273" spans="1:2" x14ac:dyDescent="0.3">
      <c r="A273" s="2">
        <v>46066</v>
      </c>
      <c r="B273" s="3">
        <v>33.4375</v>
      </c>
    </row>
    <row r="274" spans="1:2" x14ac:dyDescent="0.3">
      <c r="A274" s="2">
        <v>46071</v>
      </c>
      <c r="B274" s="3">
        <v>33.6875</v>
      </c>
    </row>
    <row r="275" spans="1:2" x14ac:dyDescent="0.3">
      <c r="A275" s="2">
        <v>46072</v>
      </c>
      <c r="B275" s="3">
        <v>34.625</v>
      </c>
    </row>
    <row r="276" spans="1:2" x14ac:dyDescent="0.3">
      <c r="A276" s="2">
        <v>46073</v>
      </c>
      <c r="B276" s="3">
        <v>34.875</v>
      </c>
    </row>
    <row r="277" spans="1:2" x14ac:dyDescent="0.3">
      <c r="A277" s="2">
        <v>46076</v>
      </c>
      <c r="B277" s="3">
        <v>36.5</v>
      </c>
    </row>
    <row r="278" spans="1:2" x14ac:dyDescent="0.3">
      <c r="A278" s="2">
        <v>46077</v>
      </c>
      <c r="B278" s="3">
        <v>35.625</v>
      </c>
    </row>
    <row r="279" spans="1:2" x14ac:dyDescent="0.3">
      <c r="A279" s="2">
        <v>46078</v>
      </c>
      <c r="B279" s="3">
        <v>33.25</v>
      </c>
    </row>
    <row r="280" spans="1:2" x14ac:dyDescent="0.3">
      <c r="A280" s="2">
        <v>46079</v>
      </c>
      <c r="B280" s="3">
        <v>31.25</v>
      </c>
    </row>
    <row r="281" spans="1:2" x14ac:dyDescent="0.3">
      <c r="A281" s="2">
        <v>46080</v>
      </c>
      <c r="B281" s="3">
        <v>31.0625</v>
      </c>
    </row>
    <row r="282" spans="1:2" x14ac:dyDescent="0.3">
      <c r="A282" s="2">
        <v>46083</v>
      </c>
      <c r="B282" s="3">
        <v>30.75</v>
      </c>
    </row>
    <row r="283" spans="1:2" x14ac:dyDescent="0.3">
      <c r="A283" s="2">
        <v>46084</v>
      </c>
      <c r="B283" s="3">
        <v>31</v>
      </c>
    </row>
    <row r="284" spans="1:2" x14ac:dyDescent="0.3">
      <c r="A284" s="2">
        <v>46085</v>
      </c>
      <c r="B284" s="3">
        <v>31</v>
      </c>
    </row>
    <row r="285" spans="1:2" x14ac:dyDescent="0.3">
      <c r="A285" s="2">
        <v>46086</v>
      </c>
      <c r="B285" s="3">
        <v>31.25</v>
      </c>
    </row>
    <row r="286" spans="1:2" x14ac:dyDescent="0.3">
      <c r="A286" s="2">
        <v>46087</v>
      </c>
      <c r="B286" s="3">
        <v>30.875</v>
      </c>
    </row>
    <row r="287" spans="1:2" x14ac:dyDescent="0.3">
      <c r="A287" s="2">
        <v>46090</v>
      </c>
      <c r="B287" s="3">
        <v>30.875</v>
      </c>
    </row>
    <row r="288" spans="1:2" x14ac:dyDescent="0.3">
      <c r="A288" s="2">
        <v>46091</v>
      </c>
      <c r="B288" s="3">
        <v>31.0625</v>
      </c>
    </row>
    <row r="289" spans="1:2" x14ac:dyDescent="0.3">
      <c r="A289" s="2">
        <v>46092</v>
      </c>
      <c r="B289" s="3">
        <v>31</v>
      </c>
    </row>
    <row r="290" spans="1:2" x14ac:dyDescent="0.3">
      <c r="A290" s="2">
        <v>46093</v>
      </c>
      <c r="B290" s="3">
        <v>31</v>
      </c>
    </row>
    <row r="291" spans="1:2" x14ac:dyDescent="0.3">
      <c r="A291" s="2">
        <v>46094</v>
      </c>
      <c r="B291" s="3">
        <v>31.0625</v>
      </c>
    </row>
    <row r="292" spans="1:2" x14ac:dyDescent="0.3">
      <c r="A292" s="2">
        <v>46097</v>
      </c>
      <c r="B292" s="3">
        <v>30.625</v>
      </c>
    </row>
    <row r="293" spans="1:2" x14ac:dyDescent="0.3">
      <c r="A293" s="2">
        <v>46098</v>
      </c>
      <c r="B293" s="3">
        <v>28.8125</v>
      </c>
    </row>
    <row r="294" spans="1:2" x14ac:dyDescent="0.3">
      <c r="A294" s="2">
        <v>46099</v>
      </c>
      <c r="B294" s="3">
        <v>27.1875</v>
      </c>
    </row>
    <row r="295" spans="1:2" x14ac:dyDescent="0.3">
      <c r="A295" s="2">
        <v>46100</v>
      </c>
      <c r="B295" s="3">
        <v>26.5625</v>
      </c>
    </row>
    <row r="296" spans="1:2" x14ac:dyDescent="0.3">
      <c r="A296" s="2">
        <v>46101</v>
      </c>
      <c r="B296" s="3">
        <v>26.75</v>
      </c>
    </row>
    <row r="297" spans="1:2" x14ac:dyDescent="0.3">
      <c r="A297" s="2">
        <v>46106</v>
      </c>
      <c r="B297" s="3">
        <v>26.4375</v>
      </c>
    </row>
    <row r="298" spans="1:2" x14ac:dyDescent="0.3">
      <c r="A298" s="2">
        <v>46107</v>
      </c>
      <c r="B298" s="3">
        <v>26.3125</v>
      </c>
    </row>
    <row r="299" spans="1:2" x14ac:dyDescent="0.3">
      <c r="A299" s="2">
        <v>46108</v>
      </c>
      <c r="B299" s="3">
        <v>26.125</v>
      </c>
    </row>
    <row r="300" spans="1:2" x14ac:dyDescent="0.3">
      <c r="A300" s="2">
        <v>46111</v>
      </c>
      <c r="B300" s="3">
        <v>26.1875</v>
      </c>
    </row>
    <row r="301" spans="1:2" x14ac:dyDescent="0.3">
      <c r="A301" s="2">
        <v>46112</v>
      </c>
      <c r="B301" s="3">
        <v>26.3125</v>
      </c>
    </row>
    <row r="302" spans="1:2" x14ac:dyDescent="0.3">
      <c r="A302" s="2">
        <v>46113</v>
      </c>
      <c r="B302" s="3">
        <v>26.25</v>
      </c>
    </row>
    <row r="303" spans="1:2" x14ac:dyDescent="0.3">
      <c r="A303" s="2">
        <v>46118</v>
      </c>
      <c r="B303" s="3">
        <v>26.125</v>
      </c>
    </row>
    <row r="304" spans="1:2" x14ac:dyDescent="0.3">
      <c r="A304" s="2">
        <v>46119</v>
      </c>
      <c r="B304" s="3">
        <v>26.1875</v>
      </c>
    </row>
    <row r="305" spans="1:2" x14ac:dyDescent="0.3">
      <c r="A305" s="2">
        <v>46120</v>
      </c>
      <c r="B305" s="3">
        <v>25.625</v>
      </c>
    </row>
    <row r="306" spans="1:2" x14ac:dyDescent="0.3">
      <c r="A306" s="2">
        <v>46121</v>
      </c>
      <c r="B306" s="3">
        <v>23.4375</v>
      </c>
    </row>
    <row r="307" spans="1:2" x14ac:dyDescent="0.3">
      <c r="A307" s="2">
        <v>46122</v>
      </c>
      <c r="B307" s="3">
        <v>22.8125</v>
      </c>
    </row>
    <row r="308" spans="1:2" x14ac:dyDescent="0.3">
      <c r="A308" s="2">
        <v>46125</v>
      </c>
      <c r="B308" s="3">
        <v>22.5</v>
      </c>
    </row>
    <row r="309" spans="1:2" x14ac:dyDescent="0.3">
      <c r="A309" s="2">
        <v>46126</v>
      </c>
      <c r="B309" s="3">
        <v>23.0625</v>
      </c>
    </row>
    <row r="310" spans="1:2" x14ac:dyDescent="0.3">
      <c r="A310" s="2">
        <v>46127</v>
      </c>
      <c r="B310" s="3">
        <v>22.875</v>
      </c>
    </row>
    <row r="311" spans="1:2" x14ac:dyDescent="0.3">
      <c r="A311" s="2">
        <v>46128</v>
      </c>
      <c r="B311" s="3">
        <v>23.125</v>
      </c>
    </row>
    <row r="312" spans="1:2" x14ac:dyDescent="0.3">
      <c r="A312" s="2">
        <v>46129</v>
      </c>
      <c r="B312" s="3">
        <v>22.75</v>
      </c>
    </row>
    <row r="313" spans="1:2" x14ac:dyDescent="0.3">
      <c r="A313" s="2">
        <v>46132</v>
      </c>
      <c r="B313" s="3">
        <v>22.3125</v>
      </c>
    </row>
    <row r="314" spans="1:2" x14ac:dyDescent="0.3">
      <c r="A314" s="2">
        <v>46133</v>
      </c>
      <c r="B314" s="3">
        <v>22.4375</v>
      </c>
    </row>
    <row r="315" spans="1:2" x14ac:dyDescent="0.3">
      <c r="A315" s="2">
        <v>46134</v>
      </c>
      <c r="B315" s="3">
        <v>22.5</v>
      </c>
    </row>
    <row r="316" spans="1:2" x14ac:dyDescent="0.3">
      <c r="A316" s="2">
        <v>46135</v>
      </c>
      <c r="B316" s="3">
        <v>22.5625</v>
      </c>
    </row>
    <row r="317" spans="1:2" x14ac:dyDescent="0.3">
      <c r="A317" s="2">
        <v>46136</v>
      </c>
      <c r="B317" s="3">
        <v>22.4375</v>
      </c>
    </row>
    <row r="318" spans="1:2" x14ac:dyDescent="0.3">
      <c r="A318" s="2">
        <v>46139</v>
      </c>
      <c r="B318" s="3">
        <v>22.3125</v>
      </c>
    </row>
    <row r="319" spans="1:2" x14ac:dyDescent="0.3">
      <c r="A319" s="2">
        <v>46140</v>
      </c>
      <c r="B319" s="3">
        <v>22.625</v>
      </c>
    </row>
    <row r="320" spans="1:2" x14ac:dyDescent="0.3">
      <c r="A320" s="2">
        <v>46141</v>
      </c>
      <c r="B320" s="3">
        <v>22.625</v>
      </c>
    </row>
    <row r="321" spans="1:2" x14ac:dyDescent="0.3">
      <c r="A321" s="2">
        <v>46142</v>
      </c>
      <c r="B321" s="3">
        <v>23.125</v>
      </c>
    </row>
    <row r="322" spans="1:2" x14ac:dyDescent="0.3">
      <c r="A322" s="2">
        <v>46146</v>
      </c>
      <c r="B322" s="3">
        <v>23.125</v>
      </c>
    </row>
    <row r="323" spans="1:2" x14ac:dyDescent="0.3">
      <c r="A323" s="2">
        <v>46147</v>
      </c>
      <c r="B323" s="3">
        <v>23.4375</v>
      </c>
    </row>
    <row r="324" spans="1:2" x14ac:dyDescent="0.3">
      <c r="A324" s="2">
        <v>46148</v>
      </c>
      <c r="B324" s="3">
        <v>22.75</v>
      </c>
    </row>
    <row r="325" spans="1:2" x14ac:dyDescent="0.3">
      <c r="A325" s="2">
        <v>46149</v>
      </c>
      <c r="B325" s="3">
        <v>22.8125</v>
      </c>
    </row>
    <row r="326" spans="1:2" x14ac:dyDescent="0.3">
      <c r="A326" s="2">
        <v>46150</v>
      </c>
      <c r="B326" s="3">
        <v>22.5625</v>
      </c>
    </row>
    <row r="327" spans="1:2" x14ac:dyDescent="0.3">
      <c r="A327" s="2">
        <v>46153</v>
      </c>
      <c r="B327" s="3">
        <v>22.75</v>
      </c>
    </row>
    <row r="328" spans="1:2" x14ac:dyDescent="0.3">
      <c r="A328" s="2">
        <v>46154</v>
      </c>
      <c r="B328" s="3">
        <v>22.625</v>
      </c>
    </row>
    <row r="329" spans="1:2" x14ac:dyDescent="0.3">
      <c r="A329" s="2">
        <v>46155</v>
      </c>
      <c r="B329" s="3">
        <v>22.5</v>
      </c>
    </row>
    <row r="330" spans="1:2" x14ac:dyDescent="0.3">
      <c r="A330" s="2">
        <v>46156</v>
      </c>
      <c r="B330" s="3">
        <v>22.8125</v>
      </c>
    </row>
    <row r="331" spans="1:2" x14ac:dyDescent="0.3">
      <c r="A331" s="2">
        <v>46157</v>
      </c>
      <c r="B331" s="3">
        <v>22.8125</v>
      </c>
    </row>
    <row r="332" spans="1:2" x14ac:dyDescent="0.3">
      <c r="A332" s="2">
        <v>46160</v>
      </c>
      <c r="B332" s="3">
        <v>22.8125</v>
      </c>
    </row>
    <row r="333" spans="1:2" x14ac:dyDescent="0.3">
      <c r="A333" s="2">
        <v>46161</v>
      </c>
      <c r="B333" s="3">
        <v>22.9375</v>
      </c>
    </row>
    <row r="334" spans="1:2" x14ac:dyDescent="0.3">
      <c r="A334" s="2">
        <v>46162</v>
      </c>
      <c r="B334" s="3">
        <v>22.75</v>
      </c>
    </row>
    <row r="335" spans="1:2" x14ac:dyDescent="0.3">
      <c r="A335" s="2">
        <v>46163</v>
      </c>
      <c r="B335" s="3">
        <v>22.9375</v>
      </c>
    </row>
    <row r="336" spans="1:2" x14ac:dyDescent="0.3">
      <c r="A336" s="2">
        <v>46164</v>
      </c>
      <c r="B336" s="3">
        <v>22.9375</v>
      </c>
    </row>
    <row r="337" spans="1:2" x14ac:dyDescent="0.3">
      <c r="A337" s="2">
        <v>46168</v>
      </c>
      <c r="B337" s="3">
        <v>22.8125</v>
      </c>
    </row>
    <row r="338" spans="1:2" x14ac:dyDescent="0.3">
      <c r="A338" s="2">
        <v>46169</v>
      </c>
      <c r="B338" s="3">
        <v>22.8125</v>
      </c>
    </row>
    <row r="339" spans="1:2" x14ac:dyDescent="0.3">
      <c r="A339" s="2">
        <v>46170</v>
      </c>
      <c r="B339" s="3">
        <v>23</v>
      </c>
    </row>
    <row r="340" spans="1:2" x14ac:dyDescent="0.3">
      <c r="A340" s="2">
        <v>46171</v>
      </c>
      <c r="B340" s="3">
        <v>22.25</v>
      </c>
    </row>
    <row r="341" spans="1:2" x14ac:dyDescent="0.3">
      <c r="A341" s="2">
        <v>46174</v>
      </c>
      <c r="B341" s="3">
        <v>22.9375</v>
      </c>
    </row>
    <row r="342" spans="1:2" x14ac:dyDescent="0.3">
      <c r="A342" s="2">
        <v>46175</v>
      </c>
      <c r="B342" s="3">
        <v>22.75</v>
      </c>
    </row>
    <row r="343" spans="1:2" x14ac:dyDescent="0.3">
      <c r="A343" s="2">
        <v>46176</v>
      </c>
      <c r="B343" s="3">
        <v>22.125</v>
      </c>
    </row>
    <row r="344" spans="1:2" x14ac:dyDescent="0.3">
      <c r="A344" s="2">
        <v>46177</v>
      </c>
      <c r="B344" s="3">
        <v>22.25</v>
      </c>
    </row>
    <row r="345" spans="1:2" x14ac:dyDescent="0.3">
      <c r="A345" s="2">
        <v>46178</v>
      </c>
      <c r="B345" s="3">
        <v>21.8125</v>
      </c>
    </row>
    <row r="346" spans="1:2" x14ac:dyDescent="0.3">
      <c r="A346" s="2">
        <v>46181</v>
      </c>
      <c r="B346" s="3">
        <v>21.625</v>
      </c>
    </row>
    <row r="347" spans="1:2" x14ac:dyDescent="0.3">
      <c r="A347" s="2">
        <v>46182</v>
      </c>
      <c r="B347" s="3">
        <v>21.5</v>
      </c>
    </row>
    <row r="348" spans="1:2" x14ac:dyDescent="0.3">
      <c r="A348" s="2">
        <v>46183</v>
      </c>
      <c r="B348" s="3">
        <v>21.5625</v>
      </c>
    </row>
    <row r="349" spans="1:2" x14ac:dyDescent="0.3">
      <c r="A349" s="2">
        <v>46184</v>
      </c>
      <c r="B349" s="3">
        <v>21.5</v>
      </c>
    </row>
    <row r="350" spans="1:2" x14ac:dyDescent="0.3">
      <c r="A350" s="2">
        <v>46185</v>
      </c>
      <c r="B350" s="3">
        <v>21.375</v>
      </c>
    </row>
    <row r="351" spans="1:2" x14ac:dyDescent="0.3">
      <c r="A351" s="2">
        <v>46189</v>
      </c>
      <c r="B351" s="3">
        <v>21.75</v>
      </c>
    </row>
    <row r="352" spans="1:2" x14ac:dyDescent="0.3">
      <c r="A352" s="2">
        <v>46190</v>
      </c>
      <c r="B352" s="3">
        <v>21.9375</v>
      </c>
    </row>
    <row r="353" spans="1:2" x14ac:dyDescent="0.3">
      <c r="A353" s="2">
        <v>46191</v>
      </c>
      <c r="B353" s="3">
        <v>22.25</v>
      </c>
    </row>
    <row r="354" spans="1:2" x14ac:dyDescent="0.3">
      <c r="A354" s="2">
        <v>46192</v>
      </c>
      <c r="B354" s="3">
        <v>22.1875</v>
      </c>
    </row>
    <row r="355" spans="1:2" x14ac:dyDescent="0.3">
      <c r="A355" s="2">
        <v>46195</v>
      </c>
      <c r="B355" s="3">
        <v>22.375</v>
      </c>
    </row>
    <row r="356" spans="1:2" x14ac:dyDescent="0.3">
      <c r="A356" s="2">
        <v>46196</v>
      </c>
      <c r="B356" s="3">
        <v>22.5</v>
      </c>
    </row>
    <row r="357" spans="1:2" x14ac:dyDescent="0.3">
      <c r="A357" s="2">
        <v>46197</v>
      </c>
      <c r="B357" s="3">
        <v>22.25</v>
      </c>
    </row>
    <row r="358" spans="1:2" x14ac:dyDescent="0.3">
      <c r="A358" s="2">
        <v>46198</v>
      </c>
      <c r="B358" s="3">
        <v>22.8125</v>
      </c>
    </row>
    <row r="359" spans="1:2" x14ac:dyDescent="0.3">
      <c r="A359" s="2">
        <v>46199</v>
      </c>
      <c r="B359" s="3">
        <v>22.5625</v>
      </c>
    </row>
    <row r="360" spans="1:2" x14ac:dyDescent="0.3">
      <c r="A360" s="2">
        <v>46202</v>
      </c>
      <c r="B360" s="3">
        <v>22.9375</v>
      </c>
    </row>
    <row r="361" spans="1:2" x14ac:dyDescent="0.3">
      <c r="A361" s="2">
        <v>46203</v>
      </c>
      <c r="B361" s="3">
        <v>22.6875</v>
      </c>
    </row>
    <row r="362" spans="1:2" x14ac:dyDescent="0.3">
      <c r="A362" s="2">
        <v>46204</v>
      </c>
      <c r="B362" s="3">
        <v>22.1875</v>
      </c>
    </row>
    <row r="363" spans="1:2" x14ac:dyDescent="0.3">
      <c r="A363" s="2">
        <v>46205</v>
      </c>
      <c r="B363" s="3">
        <v>22.125</v>
      </c>
    </row>
    <row r="364" spans="1:2" x14ac:dyDescent="0.3">
      <c r="A364" s="2">
        <v>46206</v>
      </c>
      <c r="B364" s="3">
        <v>21.875</v>
      </c>
    </row>
    <row r="365" spans="1:2" x14ac:dyDescent="0.3">
      <c r="A365" s="2">
        <v>46209</v>
      </c>
      <c r="B365" s="3">
        <v>21.9375</v>
      </c>
    </row>
    <row r="366" spans="1:2" x14ac:dyDescent="0.3">
      <c r="A366" s="2">
        <v>46210</v>
      </c>
      <c r="B366" s="3">
        <v>21.9375</v>
      </c>
    </row>
    <row r="367" spans="1:2" x14ac:dyDescent="0.3">
      <c r="A367" s="2">
        <v>46211</v>
      </c>
      <c r="B367" s="3">
        <v>21.9375</v>
      </c>
    </row>
    <row r="368" spans="1:2" x14ac:dyDescent="0.3">
      <c r="A368" s="2">
        <v>46216</v>
      </c>
      <c r="B368" s="3">
        <v>22.4375</v>
      </c>
    </row>
    <row r="369" spans="1:2" x14ac:dyDescent="0.3">
      <c r="A369" s="2">
        <v>46217</v>
      </c>
      <c r="B369" s="3">
        <v>22.625</v>
      </c>
    </row>
    <row r="370" spans="1:2" x14ac:dyDescent="0.3">
      <c r="A370" s="2">
        <v>46218</v>
      </c>
      <c r="B370" s="3">
        <v>22.625</v>
      </c>
    </row>
    <row r="371" spans="1:2" x14ac:dyDescent="0.3">
      <c r="A371" s="2">
        <v>46219</v>
      </c>
      <c r="B371" s="3">
        <v>22.625</v>
      </c>
    </row>
    <row r="372" spans="1:2" x14ac:dyDescent="0.3">
      <c r="A372" s="2">
        <v>46220</v>
      </c>
      <c r="B372" s="3">
        <v>22.875</v>
      </c>
    </row>
    <row r="373" spans="1:2" x14ac:dyDescent="0.3">
      <c r="A373" s="2">
        <v>46223</v>
      </c>
      <c r="B373" s="3">
        <v>22.6875</v>
      </c>
    </row>
    <row r="374" spans="1:2" x14ac:dyDescent="0.3">
      <c r="A374" s="2">
        <v>46224</v>
      </c>
      <c r="B374" s="3">
        <v>22.9375</v>
      </c>
    </row>
    <row r="375" spans="1:2" x14ac:dyDescent="0.3">
      <c r="A375" s="2">
        <v>46225</v>
      </c>
      <c r="B375" s="3">
        <v>22.9375</v>
      </c>
    </row>
    <row r="376" spans="1:2" x14ac:dyDescent="0.3">
      <c r="A376" s="2">
        <v>46226</v>
      </c>
      <c r="B376" s="3">
        <v>22.9375</v>
      </c>
    </row>
    <row r="377" spans="1:2" x14ac:dyDescent="0.3">
      <c r="A377" s="2">
        <v>46227</v>
      </c>
      <c r="B377" s="3">
        <v>22.6875</v>
      </c>
    </row>
    <row r="378" spans="1:2" x14ac:dyDescent="0.3">
      <c r="A378" s="2">
        <v>46230</v>
      </c>
      <c r="B378" s="3">
        <v>22.8125</v>
      </c>
    </row>
    <row r="379" spans="1:2" x14ac:dyDescent="0.3">
      <c r="A379" s="2">
        <v>46231</v>
      </c>
      <c r="B379" s="3">
        <v>22.875</v>
      </c>
    </row>
    <row r="380" spans="1:2" x14ac:dyDescent="0.3">
      <c r="A380" s="2">
        <v>46232</v>
      </c>
      <c r="B380" s="3">
        <v>22.375</v>
      </c>
    </row>
    <row r="381" spans="1:2" x14ac:dyDescent="0.3">
      <c r="A381" s="2">
        <v>46233</v>
      </c>
      <c r="B381" s="3">
        <v>22.875</v>
      </c>
    </row>
    <row r="382" spans="1:2" x14ac:dyDescent="0.3">
      <c r="A382" s="2">
        <v>46234</v>
      </c>
      <c r="B382" s="3">
        <v>23.3125</v>
      </c>
    </row>
    <row r="383" spans="1:2" x14ac:dyDescent="0.3">
      <c r="A383" s="2">
        <v>46237</v>
      </c>
      <c r="B383" s="3">
        <v>22.9375</v>
      </c>
    </row>
    <row r="384" spans="1:2" x14ac:dyDescent="0.3">
      <c r="A384" s="2">
        <v>46238</v>
      </c>
      <c r="B384" s="3">
        <v>23.125</v>
      </c>
    </row>
    <row r="385" spans="1:2" x14ac:dyDescent="0.3">
      <c r="A385" s="2">
        <v>46239</v>
      </c>
      <c r="B385" s="3">
        <v>22.875</v>
      </c>
    </row>
    <row r="386" spans="1:2" x14ac:dyDescent="0.3">
      <c r="A386" s="2">
        <v>46240</v>
      </c>
      <c r="B386" s="3">
        <v>23.25</v>
      </c>
    </row>
    <row r="387" spans="1:2" x14ac:dyDescent="0.3">
      <c r="A387" s="2">
        <v>46241</v>
      </c>
      <c r="B387" s="3">
        <v>23.375</v>
      </c>
    </row>
    <row r="388" spans="1:2" x14ac:dyDescent="0.3">
      <c r="A388" s="2">
        <v>46244</v>
      </c>
      <c r="B388" s="3">
        <v>23.3125</v>
      </c>
    </row>
    <row r="389" spans="1:2" x14ac:dyDescent="0.3">
      <c r="A389" s="2">
        <v>46245</v>
      </c>
      <c r="B389" s="3">
        <v>23.875</v>
      </c>
    </row>
    <row r="390" spans="1:2" x14ac:dyDescent="0.3">
      <c r="A390" s="2">
        <v>46246</v>
      </c>
      <c r="B390" s="3">
        <v>23.1875</v>
      </c>
    </row>
    <row r="391" spans="1:2" x14ac:dyDescent="0.3">
      <c r="A391" s="2">
        <v>46247</v>
      </c>
      <c r="B391" s="3">
        <v>24.1875</v>
      </c>
    </row>
    <row r="392" spans="1:2" x14ac:dyDescent="0.3">
      <c r="A392" s="2">
        <v>46248</v>
      </c>
      <c r="B392" s="3">
        <v>24.5625</v>
      </c>
    </row>
    <row r="393" spans="1:2" x14ac:dyDescent="0.3">
      <c r="A393" s="2">
        <v>46252</v>
      </c>
      <c r="B393" s="3">
        <v>24.5</v>
      </c>
    </row>
    <row r="394" spans="1:2" x14ac:dyDescent="0.3">
      <c r="A394" s="2">
        <v>46253</v>
      </c>
      <c r="B394" s="3">
        <v>25.1875</v>
      </c>
    </row>
    <row r="395" spans="1:2" x14ac:dyDescent="0.3">
      <c r="A395" s="2">
        <v>46254</v>
      </c>
      <c r="B395" s="3">
        <v>26.5</v>
      </c>
    </row>
    <row r="396" spans="1:2" x14ac:dyDescent="0.3">
      <c r="A396" s="2">
        <v>46255</v>
      </c>
      <c r="B396" s="3">
        <v>25.3125</v>
      </c>
    </row>
    <row r="397" spans="1:2" x14ac:dyDescent="0.3">
      <c r="A397" s="2">
        <v>46258</v>
      </c>
      <c r="B397" s="3">
        <v>25.0625</v>
      </c>
    </row>
    <row r="398" spans="1:2" x14ac:dyDescent="0.3">
      <c r="A398" s="2">
        <v>46259</v>
      </c>
      <c r="B398" s="3">
        <v>25.25</v>
      </c>
    </row>
    <row r="399" spans="1:2" x14ac:dyDescent="0.3">
      <c r="A399" s="2">
        <v>46260</v>
      </c>
      <c r="B399" s="3">
        <v>25.125</v>
      </c>
    </row>
    <row r="400" spans="1:2" x14ac:dyDescent="0.3">
      <c r="A400" s="2">
        <v>46261</v>
      </c>
      <c r="B400" s="3">
        <v>25.1875</v>
      </c>
    </row>
    <row r="401" spans="1:2" x14ac:dyDescent="0.3">
      <c r="A401" s="2">
        <v>46262</v>
      </c>
      <c r="B401" s="3">
        <v>24.625</v>
      </c>
    </row>
    <row r="402" spans="1:2" x14ac:dyDescent="0.3">
      <c r="A402" s="2">
        <v>46265</v>
      </c>
      <c r="B402" s="3">
        <v>24.6875</v>
      </c>
    </row>
    <row r="403" spans="1:2" x14ac:dyDescent="0.3">
      <c r="A403" s="2">
        <v>46266</v>
      </c>
      <c r="B403" s="3">
        <v>23.8125</v>
      </c>
    </row>
    <row r="404" spans="1:2" x14ac:dyDescent="0.3">
      <c r="A404" s="2">
        <v>46267</v>
      </c>
      <c r="B404" s="3">
        <v>24.5</v>
      </c>
    </row>
    <row r="405" spans="1:2" x14ac:dyDescent="0.3">
      <c r="A405" s="2">
        <v>46268</v>
      </c>
      <c r="B405" s="3">
        <v>24.25</v>
      </c>
    </row>
    <row r="406" spans="1:2" x14ac:dyDescent="0.3">
      <c r="A406" s="2">
        <v>46269</v>
      </c>
      <c r="B406" s="3">
        <v>24.0625</v>
      </c>
    </row>
    <row r="407" spans="1:2" x14ac:dyDescent="0.3">
      <c r="A407" s="2">
        <v>46272</v>
      </c>
      <c r="B407" s="3">
        <v>24.1875</v>
      </c>
    </row>
    <row r="408" spans="1:2" x14ac:dyDescent="0.3">
      <c r="A408" s="2">
        <v>46273</v>
      </c>
      <c r="B408" s="3">
        <v>24</v>
      </c>
    </row>
    <row r="409" spans="1:2" x14ac:dyDescent="0.3">
      <c r="A409" s="2">
        <v>46274</v>
      </c>
      <c r="B409" s="3">
        <v>23.5625</v>
      </c>
    </row>
    <row r="410" spans="1:2" x14ac:dyDescent="0.3">
      <c r="A410" s="2">
        <v>46275</v>
      </c>
      <c r="B410" s="3">
        <v>23.8125</v>
      </c>
    </row>
    <row r="411" spans="1:2" x14ac:dyDescent="0.3">
      <c r="A411" s="2">
        <v>46276</v>
      </c>
      <c r="B411" s="3">
        <v>23.4375</v>
      </c>
    </row>
    <row r="412" spans="1:2" x14ac:dyDescent="0.3">
      <c r="A412" s="2">
        <v>46279</v>
      </c>
      <c r="B412" s="3">
        <v>23.625</v>
      </c>
    </row>
    <row r="413" spans="1:2" x14ac:dyDescent="0.3">
      <c r="A413" s="2">
        <v>46280</v>
      </c>
      <c r="B413" s="3">
        <v>23.625</v>
      </c>
    </row>
    <row r="414" spans="1:2" x14ac:dyDescent="0.3">
      <c r="A414" s="2">
        <v>46281</v>
      </c>
      <c r="B414" s="3">
        <v>23.625</v>
      </c>
    </row>
    <row r="415" spans="1:2" x14ac:dyDescent="0.3">
      <c r="A415" s="2">
        <v>46282</v>
      </c>
      <c r="B415" s="3">
        <v>23.5625</v>
      </c>
    </row>
    <row r="416" spans="1:2" x14ac:dyDescent="0.3">
      <c r="A416" s="2">
        <v>46283</v>
      </c>
      <c r="B416" s="3">
        <v>23.25</v>
      </c>
    </row>
    <row r="417" spans="1:2" x14ac:dyDescent="0.3">
      <c r="A417" s="2">
        <v>46286</v>
      </c>
      <c r="B417" s="3">
        <v>23.5</v>
      </c>
    </row>
    <row r="418" spans="1:2" x14ac:dyDescent="0.3">
      <c r="A418" s="2">
        <v>46287</v>
      </c>
      <c r="B418" s="3">
        <v>23.625</v>
      </c>
    </row>
    <row r="419" spans="1:2" x14ac:dyDescent="0.3">
      <c r="A419" s="2">
        <v>46288</v>
      </c>
      <c r="B419" s="3">
        <v>23.6875</v>
      </c>
    </row>
    <row r="420" spans="1:2" x14ac:dyDescent="0.3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3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3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3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3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3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3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3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3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3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3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3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3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3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3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3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3">
      <c r="A436" s="2">
        <f>+WORKDAY(A435,1,Feriados!$A$2:$A$38)</f>
        <v>46314</v>
      </c>
    </row>
    <row r="437" spans="1:3" x14ac:dyDescent="0.3">
      <c r="A437" s="2">
        <f>+WORKDAY(A436,1,Feriados!$A$2:$A$38)</f>
        <v>46315</v>
      </c>
    </row>
    <row r="438" spans="1:3" x14ac:dyDescent="0.3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61" workbookViewId="0">
      <selection activeCell="B418" sqref="B418"/>
    </sheetView>
  </sheetViews>
  <sheetFormatPr baseColWidth="10" defaultRowHeight="14.4" x14ac:dyDescent="0.3"/>
  <sheetData>
    <row r="1" spans="1:2" x14ac:dyDescent="0.3">
      <c r="A1" s="2" t="s">
        <v>2</v>
      </c>
      <c r="B1" s="3" t="s">
        <v>21</v>
      </c>
    </row>
    <row r="2" spans="1:2" x14ac:dyDescent="0.3">
      <c r="A2" s="2">
        <v>45659</v>
      </c>
      <c r="B2" s="3">
        <v>516.30553999999995</v>
      </c>
    </row>
    <row r="3" spans="1:2" x14ac:dyDescent="0.3">
      <c r="A3" s="2">
        <v>45660</v>
      </c>
      <c r="B3" s="3">
        <v>516.70069000000001</v>
      </c>
    </row>
    <row r="4" spans="1:2" x14ac:dyDescent="0.3">
      <c r="A4" s="2">
        <v>45663</v>
      </c>
      <c r="B4" s="3">
        <v>517.88795700000003</v>
      </c>
    </row>
    <row r="5" spans="1:2" x14ac:dyDescent="0.3">
      <c r="A5" s="2">
        <v>45664</v>
      </c>
      <c r="B5" s="3">
        <v>518.28431799999998</v>
      </c>
    </row>
    <row r="6" spans="1:2" x14ac:dyDescent="0.3">
      <c r="A6" s="2">
        <v>45665</v>
      </c>
      <c r="B6" s="3">
        <v>518.68098299999997</v>
      </c>
    </row>
    <row r="7" spans="1:2" x14ac:dyDescent="0.3">
      <c r="A7" s="2">
        <v>45666</v>
      </c>
      <c r="B7" s="3">
        <v>519.07795099999998</v>
      </c>
    </row>
    <row r="8" spans="1:2" x14ac:dyDescent="0.3">
      <c r="A8" s="2">
        <v>45667</v>
      </c>
      <c r="B8" s="3">
        <v>519.47522300000003</v>
      </c>
    </row>
    <row r="9" spans="1:2" x14ac:dyDescent="0.3">
      <c r="A9" s="2">
        <v>45670</v>
      </c>
      <c r="B9" s="3">
        <v>520.66886499999998</v>
      </c>
    </row>
    <row r="10" spans="1:2" x14ac:dyDescent="0.3">
      <c r="A10" s="2">
        <v>45671</v>
      </c>
      <c r="B10" s="3">
        <v>521.06735500000002</v>
      </c>
    </row>
    <row r="11" spans="1:2" x14ac:dyDescent="0.3">
      <c r="A11" s="2">
        <v>45672</v>
      </c>
      <c r="B11" s="3">
        <v>521.46614899999997</v>
      </c>
    </row>
    <row r="12" spans="1:2" x14ac:dyDescent="0.3">
      <c r="A12" s="2">
        <v>45673</v>
      </c>
      <c r="B12" s="3">
        <v>521.91449899999998</v>
      </c>
    </row>
    <row r="13" spans="1:2" x14ac:dyDescent="0.3">
      <c r="A13" s="2">
        <v>45674</v>
      </c>
      <c r="B13" s="3">
        <v>522.36323400000003</v>
      </c>
    </row>
    <row r="14" spans="1:2" x14ac:dyDescent="0.3">
      <c r="A14" s="2">
        <v>45677</v>
      </c>
      <c r="B14" s="3">
        <v>523.71175500000004</v>
      </c>
    </row>
    <row r="15" spans="1:2" x14ac:dyDescent="0.3">
      <c r="A15" s="2">
        <v>45678</v>
      </c>
      <c r="B15" s="3">
        <v>524.16203599999994</v>
      </c>
    </row>
    <row r="16" spans="1:2" x14ac:dyDescent="0.3">
      <c r="A16" s="2">
        <v>45679</v>
      </c>
      <c r="B16" s="3">
        <v>524.61270300000001</v>
      </c>
    </row>
    <row r="17" spans="1:2" x14ac:dyDescent="0.3">
      <c r="A17" s="2">
        <v>45680</v>
      </c>
      <c r="B17" s="3">
        <v>525.06375800000001</v>
      </c>
    </row>
    <row r="18" spans="1:2" x14ac:dyDescent="0.3">
      <c r="A18" s="2">
        <v>45681</v>
      </c>
      <c r="B18" s="3">
        <v>525.51520100000005</v>
      </c>
    </row>
    <row r="19" spans="1:2" x14ac:dyDescent="0.3">
      <c r="A19" s="2">
        <v>45684</v>
      </c>
      <c r="B19" s="3">
        <v>526.87185899999997</v>
      </c>
    </row>
    <row r="20" spans="1:2" x14ac:dyDescent="0.3">
      <c r="A20" s="2">
        <v>45685</v>
      </c>
      <c r="B20" s="3">
        <v>527.32485699999995</v>
      </c>
    </row>
    <row r="21" spans="1:2" x14ac:dyDescent="0.3">
      <c r="A21" s="2">
        <v>45686</v>
      </c>
      <c r="B21" s="3">
        <v>527.77824299999997</v>
      </c>
    </row>
    <row r="22" spans="1:2" x14ac:dyDescent="0.3">
      <c r="A22" s="2">
        <v>45687</v>
      </c>
      <c r="B22" s="3">
        <v>528.23202000000003</v>
      </c>
    </row>
    <row r="23" spans="1:2" x14ac:dyDescent="0.3">
      <c r="A23" s="2">
        <v>45688</v>
      </c>
      <c r="B23" s="3">
        <v>528.68618700000002</v>
      </c>
    </row>
    <row r="24" spans="1:2" x14ac:dyDescent="0.3">
      <c r="A24" s="2">
        <v>45691</v>
      </c>
      <c r="B24" s="3">
        <v>530.05103099999997</v>
      </c>
    </row>
    <row r="25" spans="1:2" x14ac:dyDescent="0.3">
      <c r="A25" s="2">
        <v>45692</v>
      </c>
      <c r="B25" s="3">
        <v>530.50676199999998</v>
      </c>
    </row>
    <row r="26" spans="1:2" x14ac:dyDescent="0.3">
      <c r="A26" s="2">
        <v>45693</v>
      </c>
      <c r="B26" s="3">
        <v>530.96288500000003</v>
      </c>
    </row>
    <row r="27" spans="1:2" x14ac:dyDescent="0.3">
      <c r="A27" s="2">
        <v>45694</v>
      </c>
      <c r="B27" s="3">
        <v>531.4194</v>
      </c>
    </row>
    <row r="28" spans="1:2" x14ac:dyDescent="0.3">
      <c r="A28" s="2">
        <v>45695</v>
      </c>
      <c r="B28" s="3">
        <v>531.876307</v>
      </c>
    </row>
    <row r="29" spans="1:2" x14ac:dyDescent="0.3">
      <c r="A29" s="2">
        <v>45698</v>
      </c>
      <c r="B29" s="3">
        <v>533.24938699999996</v>
      </c>
    </row>
    <row r="30" spans="1:2" x14ac:dyDescent="0.3">
      <c r="A30" s="2">
        <v>45699</v>
      </c>
      <c r="B30" s="3">
        <v>533.70786799999996</v>
      </c>
    </row>
    <row r="31" spans="1:2" x14ac:dyDescent="0.3">
      <c r="A31" s="2">
        <v>45700</v>
      </c>
      <c r="B31" s="3">
        <v>534.166742</v>
      </c>
    </row>
    <row r="32" spans="1:2" x14ac:dyDescent="0.3">
      <c r="A32" s="2">
        <v>45701</v>
      </c>
      <c r="B32" s="3">
        <v>534.62601199999995</v>
      </c>
    </row>
    <row r="33" spans="1:2" x14ac:dyDescent="0.3">
      <c r="A33" s="2">
        <v>45702</v>
      </c>
      <c r="B33" s="3">
        <v>535.08567600000003</v>
      </c>
    </row>
    <row r="34" spans="1:2" x14ac:dyDescent="0.3">
      <c r="A34" s="2">
        <v>45705</v>
      </c>
      <c r="B34" s="3">
        <v>536.37883099999999</v>
      </c>
    </row>
    <row r="35" spans="1:2" x14ac:dyDescent="0.3">
      <c r="A35" s="2">
        <v>45706</v>
      </c>
      <c r="B35" s="3">
        <v>536.79586400000005</v>
      </c>
    </row>
    <row r="36" spans="1:2" x14ac:dyDescent="0.3">
      <c r="A36" s="2">
        <v>45707</v>
      </c>
      <c r="B36" s="3">
        <v>537.21322199999997</v>
      </c>
    </row>
    <row r="37" spans="1:2" x14ac:dyDescent="0.3">
      <c r="A37" s="2">
        <v>45708</v>
      </c>
      <c r="B37" s="3">
        <v>537.63090499999998</v>
      </c>
    </row>
    <row r="38" spans="1:2" x14ac:dyDescent="0.3">
      <c r="A38" s="2">
        <v>45709</v>
      </c>
      <c r="B38" s="3">
        <v>538.04891199999997</v>
      </c>
    </row>
    <row r="39" spans="1:2" x14ac:dyDescent="0.3">
      <c r="A39" s="2">
        <v>45712</v>
      </c>
      <c r="B39" s="3">
        <v>539.30488400000002</v>
      </c>
    </row>
    <row r="40" spans="1:2" x14ac:dyDescent="0.3">
      <c r="A40" s="2">
        <v>45713</v>
      </c>
      <c r="B40" s="3">
        <v>539.72419300000001</v>
      </c>
    </row>
    <row r="41" spans="1:2" x14ac:dyDescent="0.3">
      <c r="A41" s="2">
        <v>45714</v>
      </c>
      <c r="B41" s="3">
        <v>540.14382699999999</v>
      </c>
    </row>
    <row r="42" spans="1:2" x14ac:dyDescent="0.3">
      <c r="A42" s="2">
        <v>45715</v>
      </c>
      <c r="B42" s="3">
        <v>540.56378800000005</v>
      </c>
    </row>
    <row r="43" spans="1:2" x14ac:dyDescent="0.3">
      <c r="A43" s="2">
        <v>45716</v>
      </c>
      <c r="B43" s="3">
        <v>540.98407499999996</v>
      </c>
    </row>
    <row r="44" spans="1:2" x14ac:dyDescent="0.3">
      <c r="A44" s="2">
        <v>45721</v>
      </c>
      <c r="B44" s="3">
        <v>543.090419</v>
      </c>
    </row>
    <row r="45" spans="1:2" x14ac:dyDescent="0.3">
      <c r="A45" s="2">
        <v>45722</v>
      </c>
      <c r="B45" s="3">
        <v>543.51267099999995</v>
      </c>
    </row>
    <row r="46" spans="1:2" x14ac:dyDescent="0.3">
      <c r="A46" s="2">
        <v>45723</v>
      </c>
      <c r="B46" s="3">
        <v>543.93525099999999</v>
      </c>
    </row>
    <row r="47" spans="1:2" x14ac:dyDescent="0.3">
      <c r="A47" s="2">
        <v>45726</v>
      </c>
      <c r="B47" s="3">
        <v>545.20496400000002</v>
      </c>
    </row>
    <row r="48" spans="1:2" x14ac:dyDescent="0.3">
      <c r="A48" s="2">
        <v>45727</v>
      </c>
      <c r="B48" s="3">
        <v>545.62886000000003</v>
      </c>
    </row>
    <row r="49" spans="1:2" x14ac:dyDescent="0.3">
      <c r="A49" s="2">
        <v>45728</v>
      </c>
      <c r="B49" s="3">
        <v>546.05308500000001</v>
      </c>
    </row>
    <row r="50" spans="1:2" x14ac:dyDescent="0.3">
      <c r="A50" s="2">
        <v>45729</v>
      </c>
      <c r="B50" s="3">
        <v>546.47763999999995</v>
      </c>
    </row>
    <row r="51" spans="1:2" x14ac:dyDescent="0.3">
      <c r="A51" s="2">
        <v>45730</v>
      </c>
      <c r="B51" s="3">
        <v>546.90252599999997</v>
      </c>
    </row>
    <row r="52" spans="1:2" x14ac:dyDescent="0.3">
      <c r="A52" s="2">
        <v>45733</v>
      </c>
      <c r="B52" s="3">
        <v>548.16584799999998</v>
      </c>
    </row>
    <row r="53" spans="1:2" x14ac:dyDescent="0.3">
      <c r="A53" s="2">
        <v>45734</v>
      </c>
      <c r="B53" s="3">
        <v>548.58538199999998</v>
      </c>
    </row>
    <row r="54" spans="1:2" x14ac:dyDescent="0.3">
      <c r="A54" s="2">
        <v>45735</v>
      </c>
      <c r="B54" s="3">
        <v>549.00523799999996</v>
      </c>
    </row>
    <row r="55" spans="1:2" x14ac:dyDescent="0.3">
      <c r="A55" s="2">
        <v>45736</v>
      </c>
      <c r="B55" s="3">
        <v>549.42541500000004</v>
      </c>
    </row>
    <row r="56" spans="1:2" x14ac:dyDescent="0.3">
      <c r="A56" s="2">
        <v>45737</v>
      </c>
      <c r="B56" s="3">
        <v>549.845913</v>
      </c>
    </row>
    <row r="57" spans="1:2" x14ac:dyDescent="0.3">
      <c r="A57" s="2">
        <v>45741</v>
      </c>
      <c r="B57" s="3">
        <v>551.53112699999997</v>
      </c>
    </row>
    <row r="58" spans="1:2" x14ac:dyDescent="0.3">
      <c r="A58" s="2">
        <v>45742</v>
      </c>
      <c r="B58" s="3">
        <v>551.95323699999994</v>
      </c>
    </row>
    <row r="59" spans="1:2" x14ac:dyDescent="0.3">
      <c r="A59" s="2">
        <v>45743</v>
      </c>
      <c r="B59" s="3">
        <v>552.37567000000001</v>
      </c>
    </row>
    <row r="60" spans="1:2" x14ac:dyDescent="0.3">
      <c r="A60" s="2">
        <v>45744</v>
      </c>
      <c r="B60" s="3">
        <v>552.79842599999995</v>
      </c>
    </row>
    <row r="61" spans="1:2" x14ac:dyDescent="0.3">
      <c r="A61" s="2">
        <v>45747</v>
      </c>
      <c r="B61" s="3">
        <v>554.06863699999997</v>
      </c>
    </row>
    <row r="62" spans="1:2" x14ac:dyDescent="0.3">
      <c r="A62" s="2">
        <v>45748</v>
      </c>
      <c r="B62" s="3">
        <v>554.49268900000004</v>
      </c>
    </row>
    <row r="63" spans="1:2" x14ac:dyDescent="0.3">
      <c r="A63" s="2">
        <v>45750</v>
      </c>
      <c r="B63" s="3">
        <v>555.341767</v>
      </c>
    </row>
    <row r="64" spans="1:2" x14ac:dyDescent="0.3">
      <c r="A64" s="2">
        <v>45751</v>
      </c>
      <c r="B64" s="3">
        <v>555.76679300000001</v>
      </c>
    </row>
    <row r="65" spans="1:2" x14ac:dyDescent="0.3">
      <c r="A65" s="2">
        <v>45754</v>
      </c>
      <c r="B65" s="3">
        <v>557.04382499999997</v>
      </c>
    </row>
    <row r="66" spans="1:2" x14ac:dyDescent="0.3">
      <c r="A66" s="2">
        <v>45755</v>
      </c>
      <c r="B66" s="3">
        <v>557.47015399999998</v>
      </c>
    </row>
    <row r="67" spans="1:2" x14ac:dyDescent="0.3">
      <c r="A67" s="2">
        <v>45756</v>
      </c>
      <c r="B67" s="3">
        <v>557.89680999999996</v>
      </c>
    </row>
    <row r="68" spans="1:2" x14ac:dyDescent="0.3">
      <c r="A68" s="2">
        <v>45757</v>
      </c>
      <c r="B68" s="3">
        <v>558.32379100000003</v>
      </c>
    </row>
    <row r="69" spans="1:2" x14ac:dyDescent="0.3">
      <c r="A69" s="2">
        <v>45758</v>
      </c>
      <c r="B69" s="3">
        <v>558.75109999999995</v>
      </c>
    </row>
    <row r="70" spans="1:2" x14ac:dyDescent="0.3">
      <c r="A70" s="2">
        <v>45761</v>
      </c>
      <c r="B70" s="3">
        <v>560.034989</v>
      </c>
    </row>
    <row r="71" spans="1:2" x14ac:dyDescent="0.3">
      <c r="A71" s="2">
        <v>45762</v>
      </c>
      <c r="B71" s="3">
        <v>560.46360700000002</v>
      </c>
    </row>
    <row r="72" spans="1:2" x14ac:dyDescent="0.3">
      <c r="A72" s="2">
        <v>45763</v>
      </c>
      <c r="B72" s="3">
        <v>561.14277600000003</v>
      </c>
    </row>
    <row r="73" spans="1:2" x14ac:dyDescent="0.3">
      <c r="A73" s="2">
        <v>45768</v>
      </c>
      <c r="B73" s="3">
        <v>564.55098399999997</v>
      </c>
    </row>
    <row r="74" spans="1:2" x14ac:dyDescent="0.3">
      <c r="A74" s="2">
        <v>45769</v>
      </c>
      <c r="B74" s="3">
        <v>565.23510599999997</v>
      </c>
    </row>
    <row r="75" spans="1:2" x14ac:dyDescent="0.3">
      <c r="A75" s="2">
        <v>45770</v>
      </c>
      <c r="B75" s="3">
        <v>565.92005700000004</v>
      </c>
    </row>
    <row r="76" spans="1:2" x14ac:dyDescent="0.3">
      <c r="A76" s="2">
        <v>45771</v>
      </c>
      <c r="B76" s="3">
        <v>566.60583799999995</v>
      </c>
    </row>
    <row r="77" spans="1:2" x14ac:dyDescent="0.3">
      <c r="A77" s="2">
        <v>45772</v>
      </c>
      <c r="B77" s="3">
        <v>567.29245000000003</v>
      </c>
    </row>
    <row r="78" spans="1:2" x14ac:dyDescent="0.3">
      <c r="A78" s="2">
        <v>45775</v>
      </c>
      <c r="B78" s="3">
        <v>569.35728099999994</v>
      </c>
    </row>
    <row r="79" spans="1:2" x14ac:dyDescent="0.3">
      <c r="A79" s="2">
        <v>45776</v>
      </c>
      <c r="B79" s="3">
        <v>570.04722700000002</v>
      </c>
    </row>
    <row r="80" spans="1:2" x14ac:dyDescent="0.3">
      <c r="A80" s="2">
        <v>45777</v>
      </c>
      <c r="B80" s="3">
        <v>570.73800900000003</v>
      </c>
    </row>
    <row r="81" spans="1:2" x14ac:dyDescent="0.3">
      <c r="A81" s="2">
        <v>45782</v>
      </c>
      <c r="B81" s="3">
        <v>574.20449599999995</v>
      </c>
    </row>
    <row r="82" spans="1:2" x14ac:dyDescent="0.3">
      <c r="A82" s="2">
        <v>45783</v>
      </c>
      <c r="B82" s="3">
        <v>574.90031599999998</v>
      </c>
    </row>
    <row r="83" spans="1:2" x14ac:dyDescent="0.3">
      <c r="A83" s="2">
        <v>45784</v>
      </c>
      <c r="B83" s="3">
        <v>575.59697900000003</v>
      </c>
    </row>
    <row r="84" spans="1:2" x14ac:dyDescent="0.3">
      <c r="A84" s="2">
        <v>45785</v>
      </c>
      <c r="B84" s="3">
        <v>576.29448600000001</v>
      </c>
    </row>
    <row r="85" spans="1:2" x14ac:dyDescent="0.3">
      <c r="A85" s="2">
        <v>45786</v>
      </c>
      <c r="B85" s="3">
        <v>576.992839</v>
      </c>
    </row>
    <row r="86" spans="1:2" x14ac:dyDescent="0.3">
      <c r="A86" s="2">
        <v>45789</v>
      </c>
      <c r="B86" s="3">
        <v>579.09297800000002</v>
      </c>
    </row>
    <row r="87" spans="1:2" x14ac:dyDescent="0.3">
      <c r="A87" s="2">
        <v>45790</v>
      </c>
      <c r="B87" s="3">
        <v>579.79472099999998</v>
      </c>
    </row>
    <row r="88" spans="1:2" x14ac:dyDescent="0.3">
      <c r="A88" s="2">
        <v>45791</v>
      </c>
      <c r="B88" s="3">
        <v>580.49731499999996</v>
      </c>
    </row>
    <row r="89" spans="1:2" x14ac:dyDescent="0.3">
      <c r="A89" s="2">
        <v>45792</v>
      </c>
      <c r="B89" s="3">
        <v>581.20076100000006</v>
      </c>
    </row>
    <row r="90" spans="1:2" x14ac:dyDescent="0.3">
      <c r="A90" s="2">
        <v>45793</v>
      </c>
      <c r="B90" s="3">
        <v>581.71873200000005</v>
      </c>
    </row>
    <row r="91" spans="1:2" x14ac:dyDescent="0.3">
      <c r="A91" s="2">
        <v>45796</v>
      </c>
      <c r="B91" s="3">
        <v>583.27541699999995</v>
      </c>
    </row>
    <row r="92" spans="1:2" x14ac:dyDescent="0.3">
      <c r="A92" s="2">
        <v>45797</v>
      </c>
      <c r="B92" s="3">
        <v>583.79523700000004</v>
      </c>
    </row>
    <row r="93" spans="1:2" x14ac:dyDescent="0.3">
      <c r="A93" s="2">
        <v>45798</v>
      </c>
      <c r="B93" s="3">
        <v>584.31552099999999</v>
      </c>
    </row>
    <row r="94" spans="1:2" x14ac:dyDescent="0.3">
      <c r="A94" s="2">
        <v>45799</v>
      </c>
      <c r="B94" s="3">
        <v>584.83626800000002</v>
      </c>
    </row>
    <row r="95" spans="1:2" x14ac:dyDescent="0.3">
      <c r="A95" s="2">
        <v>45800</v>
      </c>
      <c r="B95" s="3">
        <v>585.35747900000001</v>
      </c>
    </row>
    <row r="96" spans="1:2" x14ac:dyDescent="0.3">
      <c r="A96" s="2">
        <v>45803</v>
      </c>
      <c r="B96" s="3">
        <v>586.923901</v>
      </c>
    </row>
    <row r="97" spans="1:2" x14ac:dyDescent="0.3">
      <c r="A97" s="2">
        <v>45804</v>
      </c>
      <c r="B97" s="3">
        <v>587.44697299999996</v>
      </c>
    </row>
    <row r="98" spans="1:2" x14ac:dyDescent="0.3">
      <c r="A98" s="2">
        <v>45805</v>
      </c>
      <c r="B98" s="3">
        <v>587.97051099999999</v>
      </c>
    </row>
    <row r="99" spans="1:2" x14ac:dyDescent="0.3">
      <c r="A99" s="2">
        <v>45806</v>
      </c>
      <c r="B99" s="3">
        <v>588.49451499999998</v>
      </c>
    </row>
    <row r="100" spans="1:2" x14ac:dyDescent="0.3">
      <c r="A100" s="2">
        <v>45807</v>
      </c>
      <c r="B100" s="3">
        <v>589.01898700000004</v>
      </c>
    </row>
    <row r="101" spans="1:2" x14ac:dyDescent="0.3">
      <c r="A101" s="2">
        <v>45810</v>
      </c>
      <c r="B101" s="3">
        <v>590.59520699999996</v>
      </c>
    </row>
    <row r="102" spans="1:2" x14ac:dyDescent="0.3">
      <c r="A102" s="2">
        <v>45811</v>
      </c>
      <c r="B102" s="3">
        <v>591.12155099999995</v>
      </c>
    </row>
    <row r="103" spans="1:2" x14ac:dyDescent="0.3">
      <c r="A103" s="2">
        <v>45812</v>
      </c>
      <c r="B103" s="3">
        <v>591.64836300000002</v>
      </c>
    </row>
    <row r="104" spans="1:2" x14ac:dyDescent="0.3">
      <c r="A104" s="2">
        <v>45813</v>
      </c>
      <c r="B104" s="3">
        <v>592.17564600000003</v>
      </c>
    </row>
    <row r="105" spans="1:2" x14ac:dyDescent="0.3">
      <c r="A105" s="2">
        <v>45814</v>
      </c>
      <c r="B105" s="3">
        <v>592.70339799999999</v>
      </c>
    </row>
    <row r="106" spans="1:2" x14ac:dyDescent="0.3">
      <c r="A106" s="2">
        <v>45817</v>
      </c>
      <c r="B106" s="3">
        <v>594.28947800000003</v>
      </c>
    </row>
    <row r="107" spans="1:2" x14ac:dyDescent="0.3">
      <c r="A107" s="2">
        <v>45818</v>
      </c>
      <c r="B107" s="3">
        <v>594.81911400000001</v>
      </c>
    </row>
    <row r="108" spans="1:2" x14ac:dyDescent="0.3">
      <c r="A108" s="2">
        <v>45819</v>
      </c>
      <c r="B108" s="3">
        <v>595.34922200000005</v>
      </c>
    </row>
    <row r="109" spans="1:2" x14ac:dyDescent="0.3">
      <c r="A109" s="2">
        <v>45820</v>
      </c>
      <c r="B109" s="3">
        <v>595.87980200000004</v>
      </c>
    </row>
    <row r="110" spans="1:2" x14ac:dyDescent="0.3">
      <c r="A110" s="2">
        <v>45821</v>
      </c>
      <c r="B110" s="3">
        <v>596.41085499999997</v>
      </c>
    </row>
    <row r="111" spans="1:2" x14ac:dyDescent="0.3">
      <c r="A111" s="2">
        <v>45825</v>
      </c>
      <c r="B111" s="3">
        <v>598.06771400000002</v>
      </c>
    </row>
    <row r="112" spans="1:2" x14ac:dyDescent="0.3">
      <c r="A112" s="2">
        <v>45826</v>
      </c>
      <c r="B112" s="3">
        <v>598.36460099999999</v>
      </c>
    </row>
    <row r="113" spans="1:2" x14ac:dyDescent="0.3">
      <c r="A113" s="2">
        <v>45827</v>
      </c>
      <c r="B113" s="3">
        <v>598.66163600000004</v>
      </c>
    </row>
    <row r="114" spans="1:2" x14ac:dyDescent="0.3">
      <c r="A114" s="2">
        <v>45831</v>
      </c>
      <c r="B114" s="3">
        <v>599.85124800000006</v>
      </c>
    </row>
    <row r="115" spans="1:2" x14ac:dyDescent="0.3">
      <c r="A115" s="2">
        <v>45832</v>
      </c>
      <c r="B115" s="3">
        <v>600.14901999999995</v>
      </c>
    </row>
    <row r="116" spans="1:2" x14ac:dyDescent="0.3">
      <c r="A116" s="2">
        <v>45833</v>
      </c>
      <c r="B116" s="3">
        <v>600.44694000000004</v>
      </c>
    </row>
    <row r="117" spans="1:2" x14ac:dyDescent="0.3">
      <c r="A117" s="2">
        <v>45834</v>
      </c>
      <c r="B117" s="3">
        <v>600.74500899999998</v>
      </c>
    </row>
    <row r="118" spans="1:2" x14ac:dyDescent="0.3">
      <c r="A118" s="2">
        <v>45835</v>
      </c>
      <c r="B118" s="3">
        <v>601.04322400000001</v>
      </c>
    </row>
    <row r="119" spans="1:2" x14ac:dyDescent="0.3">
      <c r="A119" s="2">
        <v>45838</v>
      </c>
      <c r="B119" s="3">
        <v>601.938761</v>
      </c>
    </row>
    <row r="120" spans="1:2" x14ac:dyDescent="0.3">
      <c r="A120" s="2">
        <v>45839</v>
      </c>
      <c r="B120" s="3">
        <v>602.23757000000001</v>
      </c>
    </row>
    <row r="121" spans="1:2" x14ac:dyDescent="0.3">
      <c r="A121" s="2">
        <v>45840</v>
      </c>
      <c r="B121" s="3">
        <v>602.53652599999998</v>
      </c>
    </row>
    <row r="122" spans="1:2" x14ac:dyDescent="0.3">
      <c r="A122" s="2">
        <v>45841</v>
      </c>
      <c r="B122" s="3">
        <v>602.83563200000003</v>
      </c>
    </row>
    <row r="123" spans="1:2" x14ac:dyDescent="0.3">
      <c r="A123" s="2">
        <v>45842</v>
      </c>
      <c r="B123" s="3">
        <v>603.13488600000005</v>
      </c>
    </row>
    <row r="124" spans="1:2" x14ac:dyDescent="0.3">
      <c r="A124" s="2">
        <v>45845</v>
      </c>
      <c r="B124" s="3">
        <v>604.03353900000002</v>
      </c>
    </row>
    <row r="125" spans="1:2" x14ac:dyDescent="0.3">
      <c r="A125" s="2">
        <v>45846</v>
      </c>
      <c r="B125" s="3">
        <v>604.33338700000002</v>
      </c>
    </row>
    <row r="126" spans="1:2" x14ac:dyDescent="0.3">
      <c r="A126" s="2">
        <v>45848</v>
      </c>
      <c r="B126" s="3">
        <v>604.93353000000002</v>
      </c>
    </row>
    <row r="127" spans="1:2" x14ac:dyDescent="0.3">
      <c r="A127" s="2">
        <v>45849</v>
      </c>
      <c r="B127" s="3">
        <v>605.23382600000002</v>
      </c>
    </row>
    <row r="128" spans="1:2" x14ac:dyDescent="0.3">
      <c r="A128" s="2">
        <v>45852</v>
      </c>
      <c r="B128" s="3">
        <v>606.13560600000005</v>
      </c>
    </row>
    <row r="129" spans="1:2" x14ac:dyDescent="0.3">
      <c r="A129" s="2">
        <v>45853</v>
      </c>
      <c r="B129" s="3">
        <v>606.43649800000003</v>
      </c>
    </row>
    <row r="130" spans="1:2" x14ac:dyDescent="0.3">
      <c r="A130" s="2">
        <v>45854</v>
      </c>
      <c r="B130" s="3">
        <v>606.74709900000005</v>
      </c>
    </row>
    <row r="131" spans="1:2" x14ac:dyDescent="0.3">
      <c r="A131" s="2">
        <v>45855</v>
      </c>
      <c r="B131" s="3">
        <v>607.05786000000001</v>
      </c>
    </row>
    <row r="132" spans="1:2" x14ac:dyDescent="0.3">
      <c r="A132" s="2">
        <v>45856</v>
      </c>
      <c r="B132" s="3">
        <v>607.36877900000002</v>
      </c>
    </row>
    <row r="133" spans="1:2" x14ac:dyDescent="0.3">
      <c r="A133" s="2">
        <v>45859</v>
      </c>
      <c r="B133" s="3">
        <v>608.30249400000002</v>
      </c>
    </row>
    <row r="134" spans="1:2" x14ac:dyDescent="0.3">
      <c r="A134" s="2">
        <v>45860</v>
      </c>
      <c r="B134" s="3">
        <v>608.61405100000002</v>
      </c>
    </row>
    <row r="135" spans="1:2" x14ac:dyDescent="0.3">
      <c r="A135" s="2">
        <v>45861</v>
      </c>
      <c r="B135" s="3">
        <v>608.92576799999995</v>
      </c>
    </row>
    <row r="136" spans="1:2" x14ac:dyDescent="0.3">
      <c r="A136" s="2">
        <v>45862</v>
      </c>
      <c r="B136" s="3">
        <v>609.23764400000005</v>
      </c>
    </row>
    <row r="137" spans="1:2" x14ac:dyDescent="0.3">
      <c r="A137" s="2">
        <v>45863</v>
      </c>
      <c r="B137" s="3">
        <v>609.54967999999997</v>
      </c>
    </row>
    <row r="138" spans="1:2" x14ac:dyDescent="0.3">
      <c r="A138" s="2">
        <v>45866</v>
      </c>
      <c r="B138" s="3">
        <v>610.48674800000003</v>
      </c>
    </row>
    <row r="139" spans="1:2" x14ac:dyDescent="0.3">
      <c r="A139" s="2">
        <v>45867</v>
      </c>
      <c r="B139" s="3">
        <v>610.79942400000004</v>
      </c>
    </row>
    <row r="140" spans="1:2" x14ac:dyDescent="0.3">
      <c r="A140" s="2">
        <v>45868</v>
      </c>
      <c r="B140" s="3">
        <v>611.11225999999999</v>
      </c>
    </row>
    <row r="141" spans="1:2" x14ac:dyDescent="0.3">
      <c r="A141" s="2">
        <v>45869</v>
      </c>
      <c r="B141" s="3">
        <v>611.42525599999999</v>
      </c>
    </row>
    <row r="142" spans="1:2" x14ac:dyDescent="0.3">
      <c r="A142" s="2">
        <v>45870</v>
      </c>
      <c r="B142" s="3">
        <v>611.73841200000004</v>
      </c>
    </row>
    <row r="143" spans="1:2" x14ac:dyDescent="0.3">
      <c r="A143" s="2">
        <v>45873</v>
      </c>
      <c r="B143" s="3">
        <v>612.67884500000002</v>
      </c>
    </row>
    <row r="144" spans="1:2" x14ac:dyDescent="0.3">
      <c r="A144" s="2">
        <v>45874</v>
      </c>
      <c r="B144" s="3">
        <v>612.99264300000004</v>
      </c>
    </row>
    <row r="145" spans="1:2" x14ac:dyDescent="0.3">
      <c r="A145" s="2">
        <v>45875</v>
      </c>
      <c r="B145" s="3">
        <v>613.306602</v>
      </c>
    </row>
    <row r="146" spans="1:2" x14ac:dyDescent="0.3">
      <c r="A146" s="2">
        <v>45876</v>
      </c>
      <c r="B146" s="3">
        <v>613.620722</v>
      </c>
    </row>
    <row r="147" spans="1:2" x14ac:dyDescent="0.3">
      <c r="A147" s="2">
        <v>45877</v>
      </c>
      <c r="B147" s="3">
        <v>613.93500300000005</v>
      </c>
    </row>
    <row r="148" spans="1:2" x14ac:dyDescent="0.3">
      <c r="A148" s="2">
        <v>45880</v>
      </c>
      <c r="B148" s="3">
        <v>614.87881200000004</v>
      </c>
    </row>
    <row r="149" spans="1:2" x14ac:dyDescent="0.3">
      <c r="A149" s="2">
        <v>45881</v>
      </c>
      <c r="B149" s="3">
        <v>615.19373800000005</v>
      </c>
    </row>
    <row r="150" spans="1:2" x14ac:dyDescent="0.3">
      <c r="A150" s="2">
        <v>45882</v>
      </c>
      <c r="B150" s="3">
        <v>615.508824</v>
      </c>
    </row>
    <row r="151" spans="1:2" x14ac:dyDescent="0.3">
      <c r="A151" s="2">
        <v>45883</v>
      </c>
      <c r="B151" s="3">
        <v>615.824072</v>
      </c>
    </row>
    <row r="152" spans="1:2" x14ac:dyDescent="0.3">
      <c r="A152" s="2">
        <v>45887</v>
      </c>
      <c r="B152" s="3">
        <v>617.26277800000003</v>
      </c>
    </row>
    <row r="153" spans="1:2" x14ac:dyDescent="0.3">
      <c r="A153" s="2">
        <v>45888</v>
      </c>
      <c r="B153" s="3">
        <v>617.63766499999997</v>
      </c>
    </row>
    <row r="154" spans="1:2" x14ac:dyDescent="0.3">
      <c r="A154" s="2">
        <v>45889</v>
      </c>
      <c r="B154" s="3">
        <v>618.01278000000002</v>
      </c>
    </row>
    <row r="155" spans="1:2" x14ac:dyDescent="0.3">
      <c r="A155" s="2">
        <v>45890</v>
      </c>
      <c r="B155" s="3">
        <v>618.38812199999995</v>
      </c>
    </row>
    <row r="156" spans="1:2" x14ac:dyDescent="0.3">
      <c r="A156" s="2">
        <v>45891</v>
      </c>
      <c r="B156" s="3">
        <v>618.76369299999999</v>
      </c>
    </row>
    <row r="157" spans="1:2" x14ac:dyDescent="0.3">
      <c r="A157" s="2">
        <v>45894</v>
      </c>
      <c r="B157" s="3">
        <v>619.89177299999994</v>
      </c>
    </row>
    <row r="158" spans="1:2" x14ac:dyDescent="0.3">
      <c r="A158" s="2">
        <v>45895</v>
      </c>
      <c r="B158" s="3">
        <v>620.26825699999995</v>
      </c>
    </row>
    <row r="159" spans="1:2" x14ac:dyDescent="0.3">
      <c r="A159" s="2">
        <v>45896</v>
      </c>
      <c r="B159" s="3">
        <v>620.64496899999995</v>
      </c>
    </row>
    <row r="160" spans="1:2" x14ac:dyDescent="0.3">
      <c r="A160" s="2">
        <v>45897</v>
      </c>
      <c r="B160" s="3">
        <v>621.02191000000005</v>
      </c>
    </row>
    <row r="161" spans="1:2" x14ac:dyDescent="0.3">
      <c r="A161" s="2">
        <v>45898</v>
      </c>
      <c r="B161" s="3">
        <v>621.39908000000003</v>
      </c>
    </row>
    <row r="162" spans="1:2" x14ac:dyDescent="0.3">
      <c r="A162" s="2">
        <v>45901</v>
      </c>
      <c r="B162" s="3">
        <v>622.53196500000001</v>
      </c>
    </row>
    <row r="163" spans="1:2" x14ac:dyDescent="0.3">
      <c r="A163" s="2">
        <v>45902</v>
      </c>
      <c r="B163" s="3">
        <v>622.91005199999995</v>
      </c>
    </row>
    <row r="164" spans="1:2" x14ac:dyDescent="0.3">
      <c r="A164" s="2">
        <v>45903</v>
      </c>
      <c r="B164" s="3">
        <v>623.28836899999999</v>
      </c>
    </row>
    <row r="165" spans="1:2" x14ac:dyDescent="0.3">
      <c r="A165" s="2">
        <v>45904</v>
      </c>
      <c r="B165" s="3">
        <v>623.66691600000001</v>
      </c>
    </row>
    <row r="166" spans="1:2" x14ac:dyDescent="0.3">
      <c r="A166" s="2">
        <v>45905</v>
      </c>
      <c r="B166" s="3">
        <v>624.04569200000003</v>
      </c>
    </row>
    <row r="167" spans="1:2" x14ac:dyDescent="0.3">
      <c r="A167" s="2">
        <v>45908</v>
      </c>
      <c r="B167" s="3">
        <v>625.183402</v>
      </c>
    </row>
    <row r="168" spans="1:2" x14ac:dyDescent="0.3">
      <c r="A168" s="2">
        <v>45909</v>
      </c>
      <c r="B168" s="3">
        <v>625.56309999999996</v>
      </c>
    </row>
    <row r="169" spans="1:2" x14ac:dyDescent="0.3">
      <c r="A169" s="2">
        <v>45910</v>
      </c>
      <c r="B169" s="3">
        <v>625.94302800000003</v>
      </c>
    </row>
    <row r="170" spans="1:2" x14ac:dyDescent="0.3">
      <c r="A170" s="2">
        <v>45911</v>
      </c>
      <c r="B170" s="3">
        <v>626.32318699999996</v>
      </c>
    </row>
    <row r="171" spans="1:2" x14ac:dyDescent="0.3">
      <c r="A171" s="2">
        <v>45912</v>
      </c>
      <c r="B171" s="3">
        <v>626.703576</v>
      </c>
    </row>
    <row r="172" spans="1:2" x14ac:dyDescent="0.3">
      <c r="A172" s="2">
        <v>45915</v>
      </c>
      <c r="B172" s="3">
        <v>627.84613200000001</v>
      </c>
    </row>
    <row r="173" spans="1:2" x14ac:dyDescent="0.3">
      <c r="A173" s="2">
        <v>45916</v>
      </c>
      <c r="B173" s="3">
        <v>628.24016099999994</v>
      </c>
    </row>
    <row r="174" spans="1:2" x14ac:dyDescent="0.3">
      <c r="A174" s="2">
        <v>45917</v>
      </c>
      <c r="B174" s="3">
        <v>628.63443800000005</v>
      </c>
    </row>
    <row r="175" spans="1:2" x14ac:dyDescent="0.3">
      <c r="A175" s="2">
        <v>45918</v>
      </c>
      <c r="B175" s="3">
        <v>629.02896099999998</v>
      </c>
    </row>
    <row r="176" spans="1:2" x14ac:dyDescent="0.3">
      <c r="A176" s="2">
        <v>45919</v>
      </c>
      <c r="B176" s="3">
        <v>629.42373299999997</v>
      </c>
    </row>
    <row r="177" spans="1:2" x14ac:dyDescent="0.3">
      <c r="A177" s="2">
        <v>45922</v>
      </c>
      <c r="B177" s="3">
        <v>630.60953400000005</v>
      </c>
    </row>
    <row r="178" spans="1:2" x14ac:dyDescent="0.3">
      <c r="A178" s="2">
        <v>45923</v>
      </c>
      <c r="B178" s="3">
        <v>631.00529800000004</v>
      </c>
    </row>
    <row r="179" spans="1:2" x14ac:dyDescent="0.3">
      <c r="A179" s="2">
        <v>45924</v>
      </c>
      <c r="B179" s="3">
        <v>631.40130899999997</v>
      </c>
    </row>
    <row r="180" spans="1:2" x14ac:dyDescent="0.3">
      <c r="A180" s="2">
        <v>45925</v>
      </c>
      <c r="B180" s="3">
        <v>631.79756999999995</v>
      </c>
    </row>
    <row r="181" spans="1:2" x14ac:dyDescent="0.3">
      <c r="A181" s="2">
        <v>45926</v>
      </c>
      <c r="B181" s="3">
        <v>632.19407899999999</v>
      </c>
    </row>
    <row r="182" spans="1:2" x14ac:dyDescent="0.3">
      <c r="A182" s="2">
        <v>45929</v>
      </c>
      <c r="B182" s="3">
        <v>633.38509899999997</v>
      </c>
    </row>
    <row r="183" spans="1:2" x14ac:dyDescent="0.3">
      <c r="A183" s="2">
        <v>45930</v>
      </c>
      <c r="B183" s="3">
        <v>633.78260499999999</v>
      </c>
    </row>
    <row r="184" spans="1:2" x14ac:dyDescent="0.3">
      <c r="A184" s="2">
        <v>45931</v>
      </c>
      <c r="B184" s="3">
        <v>634.18035999999995</v>
      </c>
    </row>
    <row r="185" spans="1:2" x14ac:dyDescent="0.3">
      <c r="A185" s="2">
        <v>45932</v>
      </c>
      <c r="B185" s="3">
        <v>634.57836399999997</v>
      </c>
    </row>
    <row r="186" spans="1:2" x14ac:dyDescent="0.3">
      <c r="A186" s="2">
        <v>45933</v>
      </c>
      <c r="B186" s="3">
        <v>634.97661800000003</v>
      </c>
    </row>
    <row r="187" spans="1:2" x14ac:dyDescent="0.3">
      <c r="A187" s="2">
        <v>45936</v>
      </c>
      <c r="B187" s="3">
        <v>636.17288099999996</v>
      </c>
    </row>
    <row r="188" spans="1:2" x14ac:dyDescent="0.3">
      <c r="A188" s="2">
        <v>45937</v>
      </c>
      <c r="B188" s="3">
        <v>636.572136</v>
      </c>
    </row>
    <row r="189" spans="1:2" x14ac:dyDescent="0.3">
      <c r="A189" s="2">
        <v>45938</v>
      </c>
      <c r="B189" s="3">
        <v>636.97164099999998</v>
      </c>
    </row>
    <row r="190" spans="1:2" x14ac:dyDescent="0.3">
      <c r="A190" s="2">
        <v>45939</v>
      </c>
      <c r="B190" s="3">
        <v>637.371397</v>
      </c>
    </row>
    <row r="191" spans="1:2" x14ac:dyDescent="0.3">
      <c r="A191" s="2">
        <v>45940</v>
      </c>
      <c r="B191" s="3">
        <v>637.77140499999996</v>
      </c>
    </row>
    <row r="192" spans="1:2" x14ac:dyDescent="0.3">
      <c r="A192" s="2">
        <v>45943</v>
      </c>
      <c r="B192" s="3">
        <v>638.97293300000001</v>
      </c>
    </row>
    <row r="193" spans="1:2" x14ac:dyDescent="0.3">
      <c r="A193" s="2">
        <v>45944</v>
      </c>
      <c r="B193" s="3">
        <v>639.37394500000005</v>
      </c>
    </row>
    <row r="194" spans="1:2" x14ac:dyDescent="0.3">
      <c r="A194" s="2">
        <v>45945</v>
      </c>
      <c r="B194" s="3">
        <v>639.77520900000002</v>
      </c>
    </row>
    <row r="195" spans="1:2" x14ac:dyDescent="0.3">
      <c r="A195" s="2">
        <v>45946</v>
      </c>
      <c r="B195" s="3">
        <v>640.20426099999997</v>
      </c>
    </row>
    <row r="196" spans="1:2" x14ac:dyDescent="0.3">
      <c r="A196" s="2">
        <v>45947</v>
      </c>
      <c r="B196" s="3">
        <v>640.6336</v>
      </c>
    </row>
    <row r="197" spans="1:2" x14ac:dyDescent="0.3">
      <c r="A197" s="2">
        <v>45950</v>
      </c>
      <c r="B197" s="3">
        <v>641.92334800000003</v>
      </c>
    </row>
    <row r="198" spans="1:2" x14ac:dyDescent="0.3">
      <c r="A198" s="2">
        <v>45951</v>
      </c>
      <c r="B198" s="3">
        <v>642.35383999999999</v>
      </c>
    </row>
    <row r="199" spans="1:2" x14ac:dyDescent="0.3">
      <c r="A199" s="2">
        <v>45952</v>
      </c>
      <c r="B199" s="3">
        <v>642.78462200000001</v>
      </c>
    </row>
    <row r="200" spans="1:2" x14ac:dyDescent="0.3">
      <c r="A200" s="2">
        <v>45953</v>
      </c>
      <c r="B200" s="3">
        <v>643.21569199999999</v>
      </c>
    </row>
    <row r="201" spans="1:2" x14ac:dyDescent="0.3">
      <c r="A201" s="2">
        <v>45954</v>
      </c>
      <c r="B201" s="3">
        <v>643.64705100000003</v>
      </c>
    </row>
    <row r="202" spans="1:2" x14ac:dyDescent="0.3">
      <c r="A202" s="2">
        <v>45957</v>
      </c>
      <c r="B202" s="3">
        <v>644.94286499999998</v>
      </c>
    </row>
    <row r="203" spans="1:2" x14ac:dyDescent="0.3">
      <c r="A203" s="2">
        <v>45958</v>
      </c>
      <c r="B203" s="3">
        <v>645.37538300000006</v>
      </c>
    </row>
    <row r="204" spans="1:2" x14ac:dyDescent="0.3">
      <c r="A204" s="2">
        <v>45959</v>
      </c>
      <c r="B204" s="3">
        <v>645.80818999999997</v>
      </c>
    </row>
    <row r="205" spans="1:2" x14ac:dyDescent="0.3">
      <c r="A205" s="2">
        <v>45960</v>
      </c>
      <c r="B205" s="3">
        <v>646.24128800000005</v>
      </c>
    </row>
    <row r="206" spans="1:2" x14ac:dyDescent="0.3">
      <c r="A206" s="2">
        <v>45961</v>
      </c>
      <c r="B206" s="3">
        <v>646.67467699999997</v>
      </c>
    </row>
    <row r="207" spans="1:2" x14ac:dyDescent="0.3">
      <c r="A207" s="2">
        <v>45964</v>
      </c>
      <c r="B207" s="3">
        <v>647.976586</v>
      </c>
    </row>
    <row r="208" spans="1:2" x14ac:dyDescent="0.3">
      <c r="A208" s="2">
        <v>45965</v>
      </c>
      <c r="B208" s="3">
        <v>648.41113800000005</v>
      </c>
    </row>
    <row r="209" spans="1:2" x14ac:dyDescent="0.3">
      <c r="A209" s="2">
        <v>45966</v>
      </c>
      <c r="B209" s="3">
        <v>648.84598200000005</v>
      </c>
    </row>
    <row r="210" spans="1:2" x14ac:dyDescent="0.3">
      <c r="A210" s="2">
        <v>45968</v>
      </c>
      <c r="B210" s="3">
        <v>649.716544</v>
      </c>
    </row>
    <row r="211" spans="1:2" x14ac:dyDescent="0.3">
      <c r="A211" s="2">
        <v>45971</v>
      </c>
      <c r="B211" s="3">
        <v>651.02457700000002</v>
      </c>
    </row>
    <row r="212" spans="1:2" x14ac:dyDescent="0.3">
      <c r="A212" s="2">
        <v>45972</v>
      </c>
      <c r="B212" s="3">
        <v>651.46117400000003</v>
      </c>
    </row>
    <row r="213" spans="1:2" x14ac:dyDescent="0.3">
      <c r="A213" s="2">
        <v>45973</v>
      </c>
      <c r="B213" s="3">
        <v>651.89806199999998</v>
      </c>
    </row>
    <row r="214" spans="1:2" x14ac:dyDescent="0.3">
      <c r="A214" s="2">
        <v>45974</v>
      </c>
      <c r="B214" s="3">
        <v>652.33524399999999</v>
      </c>
    </row>
    <row r="215" spans="1:2" x14ac:dyDescent="0.3">
      <c r="A215" s="2">
        <v>45975</v>
      </c>
      <c r="B215" s="3">
        <v>652.77271900000005</v>
      </c>
    </row>
    <row r="216" spans="1:2" x14ac:dyDescent="0.3">
      <c r="A216" s="2">
        <v>45978</v>
      </c>
      <c r="B216" s="3">
        <v>654.20148400000005</v>
      </c>
    </row>
    <row r="217" spans="1:2" x14ac:dyDescent="0.3">
      <c r="A217" s="2">
        <v>45979</v>
      </c>
      <c r="B217" s="3">
        <v>654.69754499999999</v>
      </c>
    </row>
    <row r="218" spans="1:2" x14ac:dyDescent="0.3">
      <c r="A218" s="2">
        <v>45980</v>
      </c>
      <c r="B218" s="3">
        <v>655.193983</v>
      </c>
    </row>
    <row r="219" spans="1:2" x14ac:dyDescent="0.3">
      <c r="A219" s="2">
        <v>45981</v>
      </c>
      <c r="B219" s="3">
        <v>655.69079699999998</v>
      </c>
    </row>
    <row r="220" spans="1:2" x14ac:dyDescent="0.3">
      <c r="A220" s="2">
        <v>45986</v>
      </c>
      <c r="B220" s="3">
        <v>658.18052399999999</v>
      </c>
    </row>
    <row r="221" spans="1:2" x14ac:dyDescent="0.3">
      <c r="A221" s="2">
        <v>45987</v>
      </c>
      <c r="B221" s="3">
        <v>658.67960300000004</v>
      </c>
    </row>
    <row r="222" spans="1:2" x14ac:dyDescent="0.3">
      <c r="A222" s="2">
        <v>45988</v>
      </c>
      <c r="B222" s="3">
        <v>659.17906000000005</v>
      </c>
    </row>
    <row r="223" spans="1:2" x14ac:dyDescent="0.3">
      <c r="A223" s="2">
        <v>45989</v>
      </c>
      <c r="B223" s="3">
        <v>659.67889600000001</v>
      </c>
    </row>
    <row r="224" spans="1:2" x14ac:dyDescent="0.3">
      <c r="A224" s="2">
        <v>45992</v>
      </c>
      <c r="B224" s="3">
        <v>661.18067799999994</v>
      </c>
    </row>
    <row r="225" spans="1:2" x14ac:dyDescent="0.3">
      <c r="A225" s="2">
        <v>45993</v>
      </c>
      <c r="B225" s="3">
        <v>661.68203200000005</v>
      </c>
    </row>
    <row r="226" spans="1:2" x14ac:dyDescent="0.3">
      <c r="A226" s="2">
        <v>45994</v>
      </c>
      <c r="B226" s="3">
        <v>662.18376599999999</v>
      </c>
    </row>
    <row r="227" spans="1:2" x14ac:dyDescent="0.3">
      <c r="A227" s="2">
        <v>45995</v>
      </c>
      <c r="B227" s="3">
        <v>662.68588</v>
      </c>
    </row>
    <row r="228" spans="1:2" x14ac:dyDescent="0.3">
      <c r="A228" s="2">
        <v>45996</v>
      </c>
      <c r="B228" s="3">
        <v>663.18837499999995</v>
      </c>
    </row>
    <row r="229" spans="1:2" x14ac:dyDescent="0.3">
      <c r="A229" s="2">
        <v>46000</v>
      </c>
      <c r="B229" s="3">
        <v>665.20216800000003</v>
      </c>
    </row>
    <row r="230" spans="1:2" x14ac:dyDescent="0.3">
      <c r="A230" s="2">
        <v>46001</v>
      </c>
      <c r="B230" s="3">
        <v>665.70657100000005</v>
      </c>
    </row>
    <row r="231" spans="1:2" x14ac:dyDescent="0.3">
      <c r="A231" s="2">
        <v>46002</v>
      </c>
      <c r="B231" s="3">
        <v>666.21135700000002</v>
      </c>
    </row>
    <row r="232" spans="1:2" x14ac:dyDescent="0.3">
      <c r="A232" s="2">
        <v>46003</v>
      </c>
      <c r="B232" s="3">
        <v>666.71652500000005</v>
      </c>
    </row>
    <row r="233" spans="1:2" x14ac:dyDescent="0.3">
      <c r="A233" s="2">
        <v>46006</v>
      </c>
      <c r="B233" s="3">
        <v>668.23429999999996</v>
      </c>
    </row>
    <row r="234" spans="1:2" x14ac:dyDescent="0.3">
      <c r="A234" s="2">
        <v>46007</v>
      </c>
      <c r="B234" s="3">
        <v>668.76679999999999</v>
      </c>
    </row>
    <row r="235" spans="1:2" x14ac:dyDescent="0.3">
      <c r="A235" s="2">
        <v>46008</v>
      </c>
      <c r="B235" s="3">
        <v>669.29970000000003</v>
      </c>
    </row>
    <row r="236" spans="1:2" x14ac:dyDescent="0.3">
      <c r="A236" s="2">
        <v>46009</v>
      </c>
      <c r="B236" s="3">
        <v>669.83309999999994</v>
      </c>
    </row>
    <row r="237" spans="1:2" x14ac:dyDescent="0.3">
      <c r="A237" s="2">
        <v>46010</v>
      </c>
      <c r="B237" s="3">
        <v>670.36680000000001</v>
      </c>
    </row>
    <row r="238" spans="1:2" x14ac:dyDescent="0.3">
      <c r="A238" s="2">
        <v>46013</v>
      </c>
      <c r="B238" s="3">
        <v>671.97059999999999</v>
      </c>
    </row>
    <row r="239" spans="1:2" x14ac:dyDescent="0.3">
      <c r="A239" s="2">
        <v>46014</v>
      </c>
      <c r="B239" s="3">
        <v>672.50609999999995</v>
      </c>
    </row>
    <row r="240" spans="1:2" x14ac:dyDescent="0.3">
      <c r="A240" s="2">
        <v>46017</v>
      </c>
      <c r="B240" s="3">
        <v>674.11509999999998</v>
      </c>
    </row>
    <row r="241" spans="1:2" x14ac:dyDescent="0.3">
      <c r="A241" s="2">
        <v>46020</v>
      </c>
      <c r="B241" s="3">
        <v>675.72789999999998</v>
      </c>
    </row>
    <row r="242" spans="1:2" x14ac:dyDescent="0.3">
      <c r="A242" s="2">
        <v>46021</v>
      </c>
      <c r="B242" s="3">
        <v>676.2663</v>
      </c>
    </row>
    <row r="243" spans="1:2" x14ac:dyDescent="0.3">
      <c r="A243" s="2">
        <v>46024</v>
      </c>
      <c r="B243" s="3">
        <v>677.88419999999996</v>
      </c>
    </row>
    <row r="244" spans="1:2" x14ac:dyDescent="0.3">
      <c r="A244" s="2">
        <v>46027</v>
      </c>
      <c r="B244" s="3">
        <v>679.50609999999995</v>
      </c>
    </row>
    <row r="245" spans="1:2" x14ac:dyDescent="0.3">
      <c r="A245" s="2">
        <v>46028</v>
      </c>
      <c r="B245" s="3">
        <v>680.04750000000001</v>
      </c>
    </row>
    <row r="246" spans="1:2" x14ac:dyDescent="0.3">
      <c r="A246" s="2">
        <v>46029</v>
      </c>
      <c r="B246" s="3">
        <v>680.58939999999996</v>
      </c>
    </row>
    <row r="247" spans="1:2" x14ac:dyDescent="0.3">
      <c r="A247" s="2">
        <v>46030</v>
      </c>
      <c r="B247" s="3">
        <v>681.1318</v>
      </c>
    </row>
    <row r="248" spans="1:2" x14ac:dyDescent="0.3">
      <c r="A248" s="2">
        <v>46031</v>
      </c>
      <c r="B248" s="3">
        <v>681.67449999999997</v>
      </c>
    </row>
    <row r="249" spans="1:2" x14ac:dyDescent="0.3">
      <c r="A249" s="2">
        <v>46034</v>
      </c>
      <c r="B249" s="3">
        <v>683.30539999999996</v>
      </c>
    </row>
    <row r="250" spans="1:2" x14ac:dyDescent="0.3">
      <c r="A250" s="2">
        <v>46035</v>
      </c>
      <c r="B250" s="3">
        <v>683.84990000000005</v>
      </c>
    </row>
    <row r="251" spans="1:2" x14ac:dyDescent="0.3">
      <c r="A251" s="2">
        <v>46036</v>
      </c>
      <c r="B251" s="3">
        <v>684.39480000000003</v>
      </c>
    </row>
    <row r="252" spans="1:2" x14ac:dyDescent="0.3">
      <c r="A252" s="2">
        <v>46037</v>
      </c>
      <c r="B252" s="3">
        <v>684.9402</v>
      </c>
    </row>
    <row r="253" spans="1:2" x14ac:dyDescent="0.3">
      <c r="A253" s="2">
        <v>46038</v>
      </c>
      <c r="B253" s="3">
        <v>685.55060000000003</v>
      </c>
    </row>
    <row r="254" spans="1:2" x14ac:dyDescent="0.3">
      <c r="A254" s="2">
        <v>46041</v>
      </c>
      <c r="B254" s="3">
        <v>687.38520000000005</v>
      </c>
    </row>
    <row r="255" spans="1:2" x14ac:dyDescent="0.3">
      <c r="A255" s="2">
        <v>46042</v>
      </c>
      <c r="B255" s="3">
        <v>687.99779999999998</v>
      </c>
    </row>
    <row r="256" spans="1:2" x14ac:dyDescent="0.3">
      <c r="A256" s="2">
        <v>46043</v>
      </c>
      <c r="B256" s="3">
        <v>688.61090000000002</v>
      </c>
    </row>
    <row r="257" spans="1:2" x14ac:dyDescent="0.3">
      <c r="A257" s="2">
        <v>46044</v>
      </c>
      <c r="B257" s="3">
        <v>689.22460000000001</v>
      </c>
    </row>
    <row r="258" spans="1:2" x14ac:dyDescent="0.3">
      <c r="A258" s="2">
        <v>46045</v>
      </c>
      <c r="B258" s="3">
        <v>689.83879999999999</v>
      </c>
    </row>
    <row r="259" spans="1:2" x14ac:dyDescent="0.3">
      <c r="A259" s="2">
        <v>46048</v>
      </c>
      <c r="B259" s="3">
        <v>691.68489999999997</v>
      </c>
    </row>
    <row r="260" spans="1:2" x14ac:dyDescent="0.3">
      <c r="A260" s="2">
        <v>46049</v>
      </c>
      <c r="B260" s="3">
        <v>692.30129999999997</v>
      </c>
    </row>
    <row r="261" spans="1:2" x14ac:dyDescent="0.3">
      <c r="A261" s="2">
        <v>46050</v>
      </c>
      <c r="B261" s="3">
        <v>692.91830000000004</v>
      </c>
    </row>
    <row r="262" spans="1:2" x14ac:dyDescent="0.3">
      <c r="A262" s="2">
        <v>46051</v>
      </c>
      <c r="B262" s="3">
        <v>693.53579999999999</v>
      </c>
    </row>
    <row r="263" spans="1:2" x14ac:dyDescent="0.3">
      <c r="A263" s="2">
        <v>46052</v>
      </c>
      <c r="B263" s="3">
        <v>694.15390000000002</v>
      </c>
    </row>
    <row r="264" spans="1:2" x14ac:dyDescent="0.3">
      <c r="A264" s="2">
        <v>46055</v>
      </c>
      <c r="B264" s="3">
        <v>696.01149999999996</v>
      </c>
    </row>
    <row r="265" spans="1:2" x14ac:dyDescent="0.3">
      <c r="A265" s="2">
        <v>46056</v>
      </c>
      <c r="B265" s="3">
        <v>696.6318</v>
      </c>
    </row>
    <row r="266" spans="1:2" x14ac:dyDescent="0.3">
      <c r="A266" s="2">
        <v>46057</v>
      </c>
      <c r="B266" s="3">
        <v>697.25260000000003</v>
      </c>
    </row>
    <row r="267" spans="1:2" x14ac:dyDescent="0.3">
      <c r="A267" s="2">
        <v>46058</v>
      </c>
      <c r="B267" s="3">
        <v>697.87400000000002</v>
      </c>
    </row>
    <row r="268" spans="1:2" x14ac:dyDescent="0.3">
      <c r="A268" s="2">
        <v>46059</v>
      </c>
      <c r="B268" s="3">
        <v>698.49590000000001</v>
      </c>
    </row>
    <row r="269" spans="1:2" x14ac:dyDescent="0.3">
      <c r="A269" s="2">
        <v>46062</v>
      </c>
      <c r="B269" s="3">
        <v>700.36509999999998</v>
      </c>
    </row>
    <row r="270" spans="1:2" x14ac:dyDescent="0.3">
      <c r="A270" s="2">
        <v>46063</v>
      </c>
      <c r="B270" s="3">
        <v>700.98929999999996</v>
      </c>
    </row>
    <row r="271" spans="1:2" x14ac:dyDescent="0.3">
      <c r="A271" s="2">
        <v>46064</v>
      </c>
      <c r="B271" s="3">
        <v>701.61400000000003</v>
      </c>
    </row>
    <row r="272" spans="1:2" x14ac:dyDescent="0.3">
      <c r="A272" s="2">
        <v>46065</v>
      </c>
      <c r="B272" s="3">
        <v>702.23929999999996</v>
      </c>
    </row>
    <row r="273" spans="1:2" x14ac:dyDescent="0.3">
      <c r="A273" s="2">
        <v>46066</v>
      </c>
      <c r="B273" s="3">
        <v>702.86519999999996</v>
      </c>
    </row>
    <row r="274" spans="1:2" x14ac:dyDescent="0.3">
      <c r="A274" s="2">
        <v>46071</v>
      </c>
      <c r="B274" s="3">
        <v>706.27850000000001</v>
      </c>
    </row>
    <row r="275" spans="1:2" x14ac:dyDescent="0.3">
      <c r="A275" s="2">
        <v>46072</v>
      </c>
      <c r="B275" s="3">
        <v>707</v>
      </c>
    </row>
    <row r="276" spans="1:2" x14ac:dyDescent="0.3">
      <c r="A276" s="2">
        <v>46073</v>
      </c>
      <c r="B276" s="3">
        <v>707.72220000000004</v>
      </c>
    </row>
    <row r="277" spans="1:2" x14ac:dyDescent="0.3">
      <c r="A277" s="2">
        <v>46076</v>
      </c>
      <c r="B277" s="3">
        <v>709.89319999999998</v>
      </c>
    </row>
    <row r="278" spans="1:2" x14ac:dyDescent="0.3">
      <c r="A278" s="2">
        <v>46077</v>
      </c>
      <c r="B278" s="3">
        <v>710.61839999999995</v>
      </c>
    </row>
    <row r="279" spans="1:2" x14ac:dyDescent="0.3">
      <c r="A279" s="2">
        <v>46078</v>
      </c>
      <c r="B279" s="3">
        <v>711.3442</v>
      </c>
    </row>
    <row r="280" spans="1:2" x14ac:dyDescent="0.3">
      <c r="A280" s="2">
        <v>46079</v>
      </c>
      <c r="B280" s="3">
        <v>712.07090000000005</v>
      </c>
    </row>
    <row r="281" spans="1:2" x14ac:dyDescent="0.3">
      <c r="A281" s="2">
        <v>46080</v>
      </c>
      <c r="B281" s="3">
        <v>712.79830000000004</v>
      </c>
    </row>
    <row r="282" spans="1:2" x14ac:dyDescent="0.3">
      <c r="A282" s="2">
        <v>46083</v>
      </c>
      <c r="B282" s="3">
        <v>714.98490000000004</v>
      </c>
    </row>
    <row r="283" spans="1:2" x14ac:dyDescent="0.3">
      <c r="A283" s="2">
        <v>46084</v>
      </c>
      <c r="B283" s="3">
        <v>715.71519999999998</v>
      </c>
    </row>
    <row r="284" spans="1:2" x14ac:dyDescent="0.3">
      <c r="A284" s="2">
        <v>46085</v>
      </c>
      <c r="B284" s="3">
        <v>716.44629999999995</v>
      </c>
    </row>
    <row r="285" spans="1:2" x14ac:dyDescent="0.3">
      <c r="A285" s="2">
        <v>46086</v>
      </c>
      <c r="B285" s="3">
        <v>717.17819999999995</v>
      </c>
    </row>
    <row r="286" spans="1:2" x14ac:dyDescent="0.3">
      <c r="A286" s="2">
        <v>46087</v>
      </c>
      <c r="B286" s="3">
        <v>717.91079999999999</v>
      </c>
    </row>
    <row r="287" spans="1:2" x14ac:dyDescent="0.3">
      <c r="A287" s="2">
        <v>46090</v>
      </c>
      <c r="B287" s="3">
        <v>720.11310000000003</v>
      </c>
    </row>
    <row r="288" spans="1:2" x14ac:dyDescent="0.3">
      <c r="A288" s="2">
        <v>46091</v>
      </c>
      <c r="B288" s="3">
        <v>720.84870000000001</v>
      </c>
    </row>
    <row r="289" spans="1:2" x14ac:dyDescent="0.3">
      <c r="A289" s="2">
        <v>46092</v>
      </c>
      <c r="B289" s="3">
        <v>721.58500000000004</v>
      </c>
    </row>
    <row r="290" spans="1:2" x14ac:dyDescent="0.3">
      <c r="A290" s="2">
        <v>46093</v>
      </c>
      <c r="B290" s="3">
        <v>722.32209999999998</v>
      </c>
    </row>
    <row r="291" spans="1:2" x14ac:dyDescent="0.3">
      <c r="A291" s="2">
        <v>46094</v>
      </c>
      <c r="B291" s="3">
        <v>723.06</v>
      </c>
    </row>
    <row r="292" spans="1:2" x14ac:dyDescent="0.3">
      <c r="A292" s="2">
        <v>46097</v>
      </c>
      <c r="B292" s="3">
        <v>725.20640921375002</v>
      </c>
    </row>
    <row r="293" spans="1:2" x14ac:dyDescent="0.3">
      <c r="A293" s="2">
        <v>46098</v>
      </c>
      <c r="B293" s="3">
        <v>725.87548563500002</v>
      </c>
    </row>
    <row r="294" spans="1:2" x14ac:dyDescent="0.3">
      <c r="A294" s="2">
        <v>46099</v>
      </c>
      <c r="B294" s="3">
        <v>726.54517934707997</v>
      </c>
    </row>
    <row r="295" spans="1:2" x14ac:dyDescent="0.3">
      <c r="A295" s="2">
        <v>46100</v>
      </c>
      <c r="B295" s="3">
        <v>727.21549091947998</v>
      </c>
    </row>
    <row r="296" spans="1:2" x14ac:dyDescent="0.3">
      <c r="A296" s="2">
        <v>46101</v>
      </c>
      <c r="B296" s="3">
        <v>727.88642092225996</v>
      </c>
    </row>
    <row r="297" spans="1:2" x14ac:dyDescent="0.3">
      <c r="A297" s="2">
        <v>46106</v>
      </c>
      <c r="B297" s="3">
        <v>731.25036737988</v>
      </c>
    </row>
    <row r="298" spans="1:2" x14ac:dyDescent="0.3">
      <c r="A298" s="2">
        <v>46107</v>
      </c>
      <c r="B298" s="3">
        <v>731.92501996517001</v>
      </c>
    </row>
    <row r="299" spans="1:2" x14ac:dyDescent="0.3">
      <c r="A299" s="2">
        <v>46108</v>
      </c>
      <c r="B299" s="3">
        <v>732.60029498586005</v>
      </c>
    </row>
    <row r="300" spans="1:2" x14ac:dyDescent="0.3">
      <c r="A300" s="2">
        <v>46111</v>
      </c>
      <c r="B300" s="3">
        <v>734.62986040553994</v>
      </c>
    </row>
    <row r="301" spans="1:2" x14ac:dyDescent="0.3">
      <c r="A301" s="2">
        <v>46112</v>
      </c>
      <c r="B301" s="3">
        <v>735.30763091569997</v>
      </c>
    </row>
    <row r="302" spans="1:2" x14ac:dyDescent="0.3">
      <c r="A302" s="2">
        <v>46113</v>
      </c>
      <c r="B302" s="3">
        <v>735.98602673786002</v>
      </c>
    </row>
    <row r="303" spans="1:2" x14ac:dyDescent="0.3">
      <c r="A303" s="2">
        <v>46118</v>
      </c>
      <c r="B303" s="3">
        <v>739.38740573922996</v>
      </c>
    </row>
    <row r="304" spans="1:2" x14ac:dyDescent="0.3">
      <c r="A304" s="2">
        <v>46119</v>
      </c>
      <c r="B304" s="3">
        <v>740.06956556720002</v>
      </c>
    </row>
    <row r="305" spans="1:2" x14ac:dyDescent="0.3">
      <c r="A305" s="2">
        <v>46120</v>
      </c>
      <c r="B305" s="3">
        <v>740.75235475676004</v>
      </c>
    </row>
    <row r="306" spans="1:2" x14ac:dyDescent="0.3">
      <c r="A306" s="2">
        <v>46121</v>
      </c>
      <c r="B306" s="3">
        <v>741.43577388854999</v>
      </c>
    </row>
    <row r="307" spans="1:2" x14ac:dyDescent="0.3">
      <c r="A307" s="2">
        <v>46122</v>
      </c>
      <c r="B307" s="3">
        <v>742.11982354377005</v>
      </c>
    </row>
    <row r="308" spans="1:2" x14ac:dyDescent="0.3">
      <c r="A308" s="2">
        <v>46125</v>
      </c>
      <c r="B308" s="3">
        <v>744.17576146985004</v>
      </c>
    </row>
    <row r="309" spans="1:2" x14ac:dyDescent="0.3">
      <c r="A309" s="2">
        <v>46126</v>
      </c>
      <c r="B309" s="3">
        <v>744.86233904134997</v>
      </c>
    </row>
    <row r="310" spans="1:2" x14ac:dyDescent="0.3">
      <c r="A310" s="2">
        <v>46127</v>
      </c>
      <c r="B310" s="3">
        <v>745.54955005023999</v>
      </c>
    </row>
    <row r="311" spans="1:2" x14ac:dyDescent="0.3">
      <c r="A311" s="2">
        <v>46128</v>
      </c>
      <c r="B311" s="3">
        <v>746.38092265237003</v>
      </c>
    </row>
    <row r="312" spans="1:2" x14ac:dyDescent="0.3">
      <c r="A312" s="2">
        <v>46129</v>
      </c>
      <c r="B312" s="3">
        <v>747.21322232958005</v>
      </c>
    </row>
    <row r="313" spans="1:2" x14ac:dyDescent="0.3">
      <c r="A313" s="2">
        <v>46132</v>
      </c>
      <c r="B313" s="3">
        <v>749.71569415532997</v>
      </c>
    </row>
    <row r="314" spans="1:2" x14ac:dyDescent="0.3">
      <c r="A314" s="2">
        <v>46133</v>
      </c>
      <c r="B314" s="3">
        <v>750.55171248229999</v>
      </c>
    </row>
    <row r="315" spans="1:2" x14ac:dyDescent="0.3">
      <c r="A315" s="2">
        <v>46134</v>
      </c>
      <c r="B315" s="3">
        <v>751.38866306486</v>
      </c>
    </row>
    <row r="316" spans="1:2" x14ac:dyDescent="0.3">
      <c r="A316" s="2">
        <v>46135</v>
      </c>
      <c r="B316" s="3">
        <v>752.22654694257994</v>
      </c>
    </row>
    <row r="317" spans="1:2" x14ac:dyDescent="0.3">
      <c r="A317" s="2">
        <v>46136</v>
      </c>
      <c r="B317" s="3">
        <v>753.06536515617995</v>
      </c>
    </row>
    <row r="318" spans="1:2" x14ac:dyDescent="0.3">
      <c r="A318" s="2">
        <v>46139</v>
      </c>
      <c r="B318" s="3">
        <v>755.58743623701002</v>
      </c>
    </row>
    <row r="319" spans="1:2" x14ac:dyDescent="0.3">
      <c r="A319" s="2">
        <v>46140</v>
      </c>
      <c r="B319" s="3">
        <v>756.43000222469004</v>
      </c>
    </row>
    <row r="320" spans="1:2" x14ac:dyDescent="0.3">
      <c r="A320" s="2">
        <v>46141</v>
      </c>
      <c r="B320" s="3">
        <v>757.27350776933997</v>
      </c>
    </row>
    <row r="321" spans="1:2" x14ac:dyDescent="0.3">
      <c r="A321" s="2">
        <v>46142</v>
      </c>
      <c r="B321" s="3">
        <v>758.11795391867997</v>
      </c>
    </row>
    <row r="322" spans="1:2" x14ac:dyDescent="0.3">
      <c r="A322" s="2">
        <v>46146</v>
      </c>
      <c r="B322" s="3">
        <v>761.50516555803995</v>
      </c>
    </row>
    <row r="323" spans="1:2" x14ac:dyDescent="0.3">
      <c r="A323" s="2">
        <v>46147</v>
      </c>
      <c r="B323" s="3">
        <v>762.35433048744005</v>
      </c>
    </row>
    <row r="324" spans="1:2" x14ac:dyDescent="0.3">
      <c r="A324" s="2">
        <v>46148</v>
      </c>
      <c r="B324" s="3">
        <v>763.20444233237004</v>
      </c>
    </row>
    <row r="325" spans="1:2" x14ac:dyDescent="0.3">
      <c r="A325" s="2">
        <v>46149</v>
      </c>
      <c r="B325" s="3">
        <v>764.05550214875996</v>
      </c>
    </row>
    <row r="326" spans="1:2" x14ac:dyDescent="0.3">
      <c r="A326" s="2">
        <v>46150</v>
      </c>
      <c r="B326" s="3">
        <v>764.90751099372005</v>
      </c>
    </row>
    <row r="327" spans="1:2" x14ac:dyDescent="0.3">
      <c r="A327" s="2">
        <v>46153</v>
      </c>
      <c r="B327" s="3">
        <v>767.46924228856994</v>
      </c>
    </row>
    <row r="328" spans="1:2" x14ac:dyDescent="0.3">
      <c r="A328" s="2">
        <v>46154</v>
      </c>
      <c r="B328" s="3">
        <v>768.32505784231</v>
      </c>
    </row>
    <row r="329" spans="1:2" x14ac:dyDescent="0.3">
      <c r="A329" s="2">
        <v>46155</v>
      </c>
      <c r="B329" s="3">
        <v>769.18182772780006</v>
      </c>
    </row>
    <row r="330" spans="1:2" x14ac:dyDescent="0.3">
      <c r="A330" s="2">
        <v>46156</v>
      </c>
      <c r="B330" s="3">
        <v>770.03955300921996</v>
      </c>
    </row>
    <row r="331" spans="1:2" x14ac:dyDescent="0.3">
      <c r="A331" s="2">
        <v>46157</v>
      </c>
      <c r="B331" s="3">
        <v>770.89823475194999</v>
      </c>
    </row>
    <row r="332" spans="1:2" x14ac:dyDescent="0.3">
      <c r="A332" s="2">
        <v>46160</v>
      </c>
      <c r="B332" s="3">
        <v>772.81550731695995</v>
      </c>
    </row>
    <row r="333" spans="1:2" x14ac:dyDescent="0.3">
      <c r="A333" s="2">
        <v>46161</v>
      </c>
      <c r="B333" s="3">
        <v>773.45565722644994</v>
      </c>
    </row>
    <row r="334" spans="1:2" x14ac:dyDescent="0.3">
      <c r="A334" s="2">
        <v>46162</v>
      </c>
      <c r="B334" s="3">
        <v>774.09633739433002</v>
      </c>
    </row>
    <row r="335" spans="1:2" x14ac:dyDescent="0.3">
      <c r="A335" s="2">
        <v>46163</v>
      </c>
      <c r="B335" s="3">
        <v>774.73754825983997</v>
      </c>
    </row>
    <row r="336" spans="1:2" x14ac:dyDescent="0.3">
      <c r="A336" s="2">
        <v>46164</v>
      </c>
      <c r="B336" s="3">
        <v>775.37929026255995</v>
      </c>
    </row>
    <row r="337" spans="1:2" x14ac:dyDescent="0.3">
      <c r="A337" s="2">
        <v>46168</v>
      </c>
      <c r="B337" s="3">
        <v>777.95157845026995</v>
      </c>
    </row>
    <row r="338" spans="1:2" x14ac:dyDescent="0.3">
      <c r="A338" s="2">
        <v>46169</v>
      </c>
      <c r="B338" s="3">
        <v>778.59598274576001</v>
      </c>
    </row>
    <row r="339" spans="1:2" x14ac:dyDescent="0.3">
      <c r="A339" s="2">
        <v>46170</v>
      </c>
      <c r="B339" s="3">
        <v>779.24092082369998</v>
      </c>
    </row>
    <row r="340" spans="1:2" x14ac:dyDescent="0.3">
      <c r="A340" s="2">
        <v>46171</v>
      </c>
      <c r="B340" s="3">
        <v>779.88639312623002</v>
      </c>
    </row>
    <row r="341" spans="1:2" x14ac:dyDescent="0.3">
      <c r="A341" s="2">
        <v>46174</v>
      </c>
      <c r="B341" s="3">
        <v>781.82601980840002</v>
      </c>
    </row>
    <row r="342" spans="1:2" x14ac:dyDescent="0.3">
      <c r="A342" s="2">
        <v>46175</v>
      </c>
      <c r="B342" s="3">
        <v>782.47363343815005</v>
      </c>
    </row>
    <row r="343" spans="1:2" x14ac:dyDescent="0.3">
      <c r="A343" s="2">
        <v>46176</v>
      </c>
      <c r="B343" s="3">
        <v>783.12178350875001</v>
      </c>
    </row>
    <row r="344" spans="1:2" x14ac:dyDescent="0.3">
      <c r="A344" s="2">
        <v>46177</v>
      </c>
      <c r="B344" s="3">
        <v>783.77047046455004</v>
      </c>
    </row>
    <row r="345" spans="1:2" x14ac:dyDescent="0.3">
      <c r="A345" s="2">
        <v>46178</v>
      </c>
      <c r="B345" s="3">
        <v>784.41969475026997</v>
      </c>
    </row>
    <row r="346" spans="1:2" x14ac:dyDescent="0.3">
      <c r="A346" s="2">
        <v>46181</v>
      </c>
      <c r="B346" s="3">
        <v>786.37059603969999</v>
      </c>
    </row>
    <row r="347" spans="1:2" x14ac:dyDescent="0.3">
      <c r="A347" s="2">
        <v>46182</v>
      </c>
      <c r="B347" s="3">
        <v>787.02197409968005</v>
      </c>
    </row>
    <row r="348" spans="1:2" x14ac:dyDescent="0.3">
      <c r="A348" s="2">
        <v>46183</v>
      </c>
      <c r="B348" s="3">
        <v>787.67389171873003</v>
      </c>
    </row>
    <row r="349" spans="1:2" x14ac:dyDescent="0.3">
      <c r="A349" s="2">
        <v>46184</v>
      </c>
      <c r="B349" s="3">
        <v>788.32634934375994</v>
      </c>
    </row>
    <row r="350" spans="1:2" x14ac:dyDescent="0.3">
      <c r="A350" s="2">
        <v>46185</v>
      </c>
      <c r="B350" s="3">
        <v>788.97934742209998</v>
      </c>
    </row>
    <row r="351" spans="1:2" x14ac:dyDescent="0.3">
      <c r="A351" s="2">
        <v>46189</v>
      </c>
      <c r="B351" s="3">
        <v>791.48970450621005</v>
      </c>
    </row>
    <row r="352" spans="1:2" x14ac:dyDescent="0.3">
      <c r="A352" s="2">
        <v>46190</v>
      </c>
      <c r="B352" s="3">
        <v>792.03819999631003</v>
      </c>
    </row>
    <row r="353" spans="1:2" x14ac:dyDescent="0.3">
      <c r="A353" s="2">
        <v>46191</v>
      </c>
      <c r="B353" s="3">
        <v>792.58707558901995</v>
      </c>
    </row>
    <row r="354" spans="1:2" x14ac:dyDescent="0.3">
      <c r="A354" s="2">
        <v>46192</v>
      </c>
      <c r="B354" s="3">
        <v>793.13633154774004</v>
      </c>
    </row>
    <row r="355" spans="1:2" x14ac:dyDescent="0.3">
      <c r="A355" s="2">
        <v>46195</v>
      </c>
      <c r="B355" s="3">
        <v>794.78638425684005</v>
      </c>
    </row>
    <row r="356" spans="1:2" x14ac:dyDescent="0.3">
      <c r="A356" s="2">
        <v>46196</v>
      </c>
      <c r="B356" s="3">
        <v>795.33716431737002</v>
      </c>
    </row>
    <row r="357" spans="1:2" x14ac:dyDescent="0.3">
      <c r="A357" s="2">
        <v>46197</v>
      </c>
      <c r="B357" s="3">
        <v>795.88832606369999</v>
      </c>
    </row>
    <row r="358" spans="1:2" x14ac:dyDescent="0.3">
      <c r="A358" s="2">
        <v>46198</v>
      </c>
      <c r="B358" s="3">
        <v>796.43986976033</v>
      </c>
    </row>
    <row r="359" spans="1:2" x14ac:dyDescent="0.3">
      <c r="A359" s="2">
        <v>46199</v>
      </c>
      <c r="B359" s="3">
        <v>796.99179567194994</v>
      </c>
    </row>
    <row r="360" spans="1:2" x14ac:dyDescent="0.3">
      <c r="A360" s="2">
        <v>46202</v>
      </c>
      <c r="B360" s="3">
        <v>798.64986934639001</v>
      </c>
    </row>
    <row r="361" spans="1:2" x14ac:dyDescent="0.3">
      <c r="A361" s="2">
        <v>46203</v>
      </c>
      <c r="B361" s="3">
        <v>799.20332676852001</v>
      </c>
    </row>
    <row r="362" spans="1:2" x14ac:dyDescent="0.3">
      <c r="A362" s="2">
        <v>46204</v>
      </c>
      <c r="B362" s="3">
        <v>799.75716773184001</v>
      </c>
    </row>
    <row r="363" spans="1:2" x14ac:dyDescent="0.3">
      <c r="A363" s="2">
        <v>46205</v>
      </c>
      <c r="B363" s="3">
        <v>800.31139250214005</v>
      </c>
    </row>
    <row r="364" spans="1:2" x14ac:dyDescent="0.3">
      <c r="A364" s="2">
        <v>46206</v>
      </c>
      <c r="B364" s="3">
        <v>800.86600134539003</v>
      </c>
    </row>
    <row r="365" spans="1:2" x14ac:dyDescent="0.3">
      <c r="A365" s="2">
        <v>46209</v>
      </c>
      <c r="B365" s="3">
        <v>802.53213497537001</v>
      </c>
    </row>
    <row r="366" spans="1:2" x14ac:dyDescent="0.3">
      <c r="A366" s="2">
        <v>46210</v>
      </c>
      <c r="B366" s="3">
        <v>803.08828277385999</v>
      </c>
    </row>
    <row r="367" spans="1:2" x14ac:dyDescent="0.3">
      <c r="A367" s="2">
        <v>46211</v>
      </c>
      <c r="B367" s="3">
        <v>803.64481597794997</v>
      </c>
    </row>
    <row r="368" spans="1:2" x14ac:dyDescent="0.3">
      <c r="A368" s="2">
        <v>46216</v>
      </c>
      <c r="B368" s="3">
        <v>806.43327243666999</v>
      </c>
    </row>
    <row r="369" spans="1:2" x14ac:dyDescent="0.3">
      <c r="A369" s="2">
        <v>46217</v>
      </c>
      <c r="B369" s="3">
        <v>806.99212368953999</v>
      </c>
    </row>
    <row r="370" spans="1:2" x14ac:dyDescent="0.3">
      <c r="A370" s="2">
        <v>46218</v>
      </c>
      <c r="B370" s="3">
        <v>807.55136222146996</v>
      </c>
    </row>
    <row r="371" spans="1:2" x14ac:dyDescent="0.3">
      <c r="A371" s="2">
        <v>46219</v>
      </c>
      <c r="B371" s="3">
        <v>808.04181862256996</v>
      </c>
    </row>
    <row r="372" spans="1:2" x14ac:dyDescent="0.3">
      <c r="A372" s="2">
        <v>46220</v>
      </c>
      <c r="B372" s="3">
        <v>808.53257289634996</v>
      </c>
    </row>
    <row r="373" spans="1:2" x14ac:dyDescent="0.3">
      <c r="A373" s="2">
        <v>46223</v>
      </c>
      <c r="B373" s="3">
        <v>810.00662476334003</v>
      </c>
    </row>
    <row r="374" spans="1:2" x14ac:dyDescent="0.3">
      <c r="A374" s="2">
        <v>46224</v>
      </c>
      <c r="B374" s="3">
        <v>810.49857233800003</v>
      </c>
    </row>
    <row r="375" spans="1:2" x14ac:dyDescent="0.3">
      <c r="A375" s="2">
        <v>46225</v>
      </c>
      <c r="B375" s="3">
        <v>810.99081869096995</v>
      </c>
    </row>
    <row r="376" spans="1:2" x14ac:dyDescent="0.3">
      <c r="A376" s="2">
        <v>46226</v>
      </c>
      <c r="B376" s="3">
        <v>811.48336400370999</v>
      </c>
    </row>
    <row r="377" spans="1:2" x14ac:dyDescent="0.3">
      <c r="A377" s="2">
        <v>46227</v>
      </c>
      <c r="B377" s="3">
        <v>811.97620845781</v>
      </c>
    </row>
    <row r="378" spans="1:2" x14ac:dyDescent="0.3">
      <c r="A378" s="2">
        <v>46230</v>
      </c>
      <c r="B378" s="3">
        <v>813.45653848551001</v>
      </c>
    </row>
    <row r="379" spans="1:2" x14ac:dyDescent="0.3">
      <c r="A379" s="2">
        <v>46231</v>
      </c>
      <c r="B379" s="3">
        <v>813.95058132289</v>
      </c>
    </row>
    <row r="380" spans="1:2" x14ac:dyDescent="0.3">
      <c r="A380" s="2">
        <v>46232</v>
      </c>
      <c r="B380" s="3">
        <v>814.44492421112</v>
      </c>
    </row>
    <row r="381" spans="1:2" x14ac:dyDescent="0.3">
      <c r="A381" s="2">
        <v>46233</v>
      </c>
      <c r="B381" s="3">
        <v>814.93956733241998</v>
      </c>
    </row>
    <row r="382" spans="1:2" x14ac:dyDescent="0.3">
      <c r="A382" s="2">
        <v>46234</v>
      </c>
      <c r="B382" s="3">
        <v>815.43451086916002</v>
      </c>
    </row>
    <row r="383" spans="1:2" x14ac:dyDescent="0.3">
      <c r="A383" s="2">
        <v>46237</v>
      </c>
      <c r="B383" s="3">
        <v>816.92114579699</v>
      </c>
    </row>
    <row r="384" spans="1:2" x14ac:dyDescent="0.3">
      <c r="A384" s="2">
        <v>46238</v>
      </c>
      <c r="B384" s="3">
        <v>817.41729282106996</v>
      </c>
    </row>
    <row r="385" spans="1:2" x14ac:dyDescent="0.3">
      <c r="A385" s="2">
        <v>46239</v>
      </c>
      <c r="B385" s="3">
        <v>817.91374117394002</v>
      </c>
    </row>
    <row r="386" spans="1:2" x14ac:dyDescent="0.3">
      <c r="A386" s="2">
        <v>46240</v>
      </c>
      <c r="B386" s="3">
        <v>818.41049103862997</v>
      </c>
    </row>
    <row r="387" spans="1:2" x14ac:dyDescent="0.3">
      <c r="A387" s="2">
        <v>46241</v>
      </c>
      <c r="B387" s="3">
        <v>818.90754259823996</v>
      </c>
    </row>
    <row r="388" spans="1:2" x14ac:dyDescent="0.3">
      <c r="A388" s="2">
        <v>46244</v>
      </c>
      <c r="B388" s="3">
        <v>820.40050927951995</v>
      </c>
    </row>
    <row r="389" spans="1:2" x14ac:dyDescent="0.3">
      <c r="A389" s="2">
        <v>46245</v>
      </c>
      <c r="B389" s="3">
        <v>820.89876945228002</v>
      </c>
    </row>
    <row r="390" spans="1:2" x14ac:dyDescent="0.3">
      <c r="A390" s="2">
        <v>46246</v>
      </c>
      <c r="B390" s="3">
        <v>821.39733223721998</v>
      </c>
    </row>
    <row r="391" spans="1:2" x14ac:dyDescent="0.3">
      <c r="A391" s="2">
        <v>46247</v>
      </c>
      <c r="B391" s="3">
        <v>821.89619781814997</v>
      </c>
    </row>
    <row r="392" spans="1:2" x14ac:dyDescent="0.3">
      <c r="A392" s="2">
        <v>46248</v>
      </c>
      <c r="B392" s="3">
        <v>822.39536637897004</v>
      </c>
    </row>
    <row r="393" spans="1:2" x14ac:dyDescent="0.3">
      <c r="A393" s="2">
        <v>46252</v>
      </c>
      <c r="B393" s="3">
        <v>824.55152069860003</v>
      </c>
    </row>
    <row r="394" spans="1:2" x14ac:dyDescent="0.3">
      <c r="A394" s="2">
        <v>46253</v>
      </c>
      <c r="B394" s="3">
        <v>825.10448907565001</v>
      </c>
    </row>
    <row r="395" spans="1:2" x14ac:dyDescent="0.3">
      <c r="A395" s="2">
        <v>46254</v>
      </c>
      <c r="B395" s="3">
        <v>825.65782828946999</v>
      </c>
    </row>
    <row r="396" spans="1:2" x14ac:dyDescent="0.3">
      <c r="A396" s="2">
        <v>46255</v>
      </c>
      <c r="B396" s="3">
        <v>826.21153858876005</v>
      </c>
    </row>
    <row r="397" spans="1:2" x14ac:dyDescent="0.3">
      <c r="A397" s="2">
        <v>46258</v>
      </c>
      <c r="B397" s="3">
        <v>827.87489848887003</v>
      </c>
    </row>
    <row r="398" spans="1:2" x14ac:dyDescent="0.3">
      <c r="A398" s="2">
        <v>46259</v>
      </c>
      <c r="B398" s="3">
        <v>828.43009562029999</v>
      </c>
    </row>
    <row r="399" spans="1:2" x14ac:dyDescent="0.3">
      <c r="A399" s="2">
        <v>46260</v>
      </c>
      <c r="B399" s="3">
        <v>828.98566508318004</v>
      </c>
    </row>
    <row r="400" spans="1:2" x14ac:dyDescent="0.3">
      <c r="A400" s="2">
        <v>46261</v>
      </c>
      <c r="B400" s="3">
        <v>829.5416071272</v>
      </c>
    </row>
    <row r="401" spans="1:2" x14ac:dyDescent="0.3">
      <c r="A401" s="2">
        <v>46262</v>
      </c>
      <c r="B401" s="3">
        <v>830.09792200222</v>
      </c>
    </row>
    <row r="402" spans="1:2" x14ac:dyDescent="0.3">
      <c r="A402" s="2">
        <v>46265</v>
      </c>
      <c r="B402" s="3">
        <v>831.76910611443998</v>
      </c>
    </row>
    <row r="403" spans="1:2" x14ac:dyDescent="0.3">
      <c r="A403" s="2">
        <v>46266</v>
      </c>
      <c r="B403" s="3">
        <v>832.32691481545999</v>
      </c>
    </row>
    <row r="404" spans="1:2" x14ac:dyDescent="0.3">
      <c r="A404" s="2">
        <v>46267</v>
      </c>
      <c r="B404" s="3">
        <v>832.88509759931992</v>
      </c>
    </row>
    <row r="405" spans="1:2" x14ac:dyDescent="0.3">
      <c r="A405" s="2">
        <v>46268</v>
      </c>
      <c r="B405" s="3">
        <v>833.44365471688002</v>
      </c>
    </row>
    <row r="406" spans="1:2" x14ac:dyDescent="0.3">
      <c r="A406" s="2">
        <v>46269</v>
      </c>
      <c r="B406" s="3">
        <v>834.00258641919004</v>
      </c>
    </row>
    <row r="407" spans="1:2" x14ac:dyDescent="0.3">
      <c r="A407" s="2">
        <v>46272</v>
      </c>
      <c r="B407" s="3">
        <v>835.68163154752006</v>
      </c>
    </row>
    <row r="408" spans="1:2" x14ac:dyDescent="0.3">
      <c r="A408" s="2">
        <v>46273</v>
      </c>
      <c r="B408" s="3">
        <v>836.24206410258</v>
      </c>
    </row>
    <row r="409" spans="1:2" x14ac:dyDescent="0.3">
      <c r="A409" s="2">
        <v>46274</v>
      </c>
      <c r="B409" s="3">
        <v>836.80287250010997</v>
      </c>
    </row>
    <row r="410" spans="1:2" x14ac:dyDescent="0.3">
      <c r="A410" s="2">
        <v>46275</v>
      </c>
      <c r="B410" s="3">
        <v>837.36405699215993</v>
      </c>
    </row>
    <row r="411" spans="1:2" x14ac:dyDescent="0.3">
      <c r="A411" s="2">
        <v>46276</v>
      </c>
      <c r="B411" s="3">
        <v>837.92561783095005</v>
      </c>
    </row>
    <row r="412" spans="1:2" x14ac:dyDescent="0.3">
      <c r="A412" s="2">
        <v>46279</v>
      </c>
      <c r="B412" s="3">
        <v>839.61256095250997</v>
      </c>
    </row>
    <row r="413" spans="1:2" x14ac:dyDescent="0.3">
      <c r="A413" s="2">
        <v>46280</v>
      </c>
      <c r="B413" s="3">
        <v>840.17562970384995</v>
      </c>
    </row>
    <row r="414" spans="1:2" x14ac:dyDescent="0.3">
      <c r="A414" s="2">
        <v>46281</v>
      </c>
      <c r="B414" s="3">
        <v>840.64786033042003</v>
      </c>
    </row>
    <row r="415" spans="1:2" x14ac:dyDescent="0.3">
      <c r="A415" s="2">
        <v>46282</v>
      </c>
      <c r="B415" s="3">
        <v>841.12035637977999</v>
      </c>
    </row>
    <row r="416" spans="1:2" x14ac:dyDescent="0.3">
      <c r="A416" s="2">
        <v>46283</v>
      </c>
      <c r="B416" s="3">
        <v>841.59311800112005</v>
      </c>
    </row>
    <row r="417" spans="1:2" x14ac:dyDescent="0.3">
      <c r="A417" s="2">
        <v>46286</v>
      </c>
      <c r="B417" s="3">
        <v>843.01299779013004</v>
      </c>
    </row>
    <row r="418" spans="1:2" x14ac:dyDescent="0.3">
      <c r="A418" s="2">
        <v>46287</v>
      </c>
      <c r="B418" s="3">
        <v>843.48682319291004</v>
      </c>
    </row>
    <row r="419" spans="1:2" x14ac:dyDescent="0.3">
      <c r="A419" s="2">
        <v>46288</v>
      </c>
      <c r="B419" s="3">
        <v>843.96091491485004</v>
      </c>
    </row>
    <row r="420" spans="1:2" x14ac:dyDescent="0.3">
      <c r="A420" s="2">
        <f>+WORKDAY(A419,1,[4]Feriados!$A$2:$A$38)</f>
        <v>46289</v>
      </c>
      <c r="B420" s="3">
        <v>844.43527310563002</v>
      </c>
    </row>
    <row r="421" spans="1:2" x14ac:dyDescent="0.3">
      <c r="A421" s="2">
        <f>+WORKDAY(A420,1,[4]Feriados!$A$2:$A$38)</f>
        <v>46290</v>
      </c>
      <c r="B421" s="3">
        <v>844.90989791504001</v>
      </c>
    </row>
    <row r="422" spans="1:2" x14ac:dyDescent="0.3">
      <c r="A422" s="2">
        <f>+WORKDAY(A421,1,[4]Feriados!$A$2:$A$38)</f>
        <v>46293</v>
      </c>
      <c r="B422" s="3">
        <v>846.33537355394003</v>
      </c>
    </row>
    <row r="423" spans="1:2" x14ac:dyDescent="0.3">
      <c r="A423" s="2">
        <f>+WORKDAY(A422,1,[4]Feriados!$A$2:$A$38)</f>
        <v>46294</v>
      </c>
      <c r="B423" s="3">
        <v>846.81106633722004</v>
      </c>
    </row>
    <row r="424" spans="1:2" x14ac:dyDescent="0.3">
      <c r="A424" s="2">
        <f>+WORKDAY(A423,1,[4]Feriados!$A$2:$A$38)</f>
        <v>46295</v>
      </c>
      <c r="B424" s="3">
        <v>847.28702648924002</v>
      </c>
    </row>
    <row r="425" spans="1:2" x14ac:dyDescent="0.3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3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3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3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3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3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3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3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3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3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3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3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3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3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3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3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3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3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3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3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3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3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3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3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3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3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3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3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3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3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3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3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3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3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3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3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3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3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3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3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3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3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3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3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3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3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3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3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3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3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3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3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3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3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3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3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3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3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3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3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3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3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3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3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3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3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3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3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3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3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3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3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3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3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3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3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3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3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3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3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3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3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3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3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3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3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3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3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3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3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3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3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3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3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3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3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3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3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3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3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3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3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3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3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3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3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3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3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3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3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3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3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3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3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3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3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3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3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3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3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3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3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3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3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3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3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3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3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3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3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3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3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3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3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3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3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3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3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3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3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3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3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3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3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3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3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3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3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3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3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3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3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3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3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3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3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3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3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3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3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3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3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3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3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3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3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3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3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3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3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3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3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G30" sqref="G30"/>
    </sheetView>
  </sheetViews>
  <sheetFormatPr baseColWidth="10" defaultRowHeight="14.4" x14ac:dyDescent="0.3"/>
  <sheetData>
    <row r="1" spans="1:1" x14ac:dyDescent="0.3">
      <c r="A1" t="s">
        <v>0</v>
      </c>
    </row>
    <row r="2" spans="1:1" x14ac:dyDescent="0.3">
      <c r="A2" s="1">
        <f>+[5]Hoja1!$B31</f>
        <v>46167</v>
      </c>
    </row>
    <row r="3" spans="1:1" x14ac:dyDescent="0.3">
      <c r="A3" s="1">
        <f>+[5]Hoja1!$B32</f>
        <v>46188</v>
      </c>
    </row>
    <row r="4" spans="1:1" x14ac:dyDescent="0.3">
      <c r="A4" s="1">
        <f>+[5]Hoja1!$B33</f>
        <v>46212</v>
      </c>
    </row>
    <row r="5" spans="1:1" x14ac:dyDescent="0.3">
      <c r="A5" s="1">
        <f>+[5]Hoja1!$B34</f>
        <v>46213</v>
      </c>
    </row>
    <row r="6" spans="1:1" x14ac:dyDescent="0.3">
      <c r="A6" s="1">
        <f>+[5]Hoja1!$B35</f>
        <v>46251</v>
      </c>
    </row>
    <row r="7" spans="1:1" x14ac:dyDescent="0.3">
      <c r="A7" s="1">
        <f>+[5]Hoja1!$B36</f>
        <v>46307</v>
      </c>
    </row>
    <row r="8" spans="1:1" x14ac:dyDescent="0.3">
      <c r="A8" s="1">
        <f>+[5]Hoja1!$B37</f>
        <v>46332</v>
      </c>
    </row>
    <row r="9" spans="1:1" x14ac:dyDescent="0.3">
      <c r="A9" s="1">
        <f>+[5]Hoja1!$B38</f>
        <v>46335</v>
      </c>
    </row>
    <row r="10" spans="1:1" x14ac:dyDescent="0.3">
      <c r="A10" s="1">
        <f>+[5]Hoja1!$B39</f>
        <v>46336</v>
      </c>
    </row>
    <row r="11" spans="1:1" x14ac:dyDescent="0.3">
      <c r="A11" s="1">
        <f>+[5]Hoja1!$B40</f>
        <v>46349</v>
      </c>
    </row>
    <row r="12" spans="1:1" x14ac:dyDescent="0.3">
      <c r="A12" s="1">
        <f>+[5]Hoja1!$B41</f>
        <v>46363</v>
      </c>
    </row>
    <row r="13" spans="1:1" x14ac:dyDescent="0.3">
      <c r="A13" s="1">
        <f>+[5]Hoja1!$B42</f>
        <v>46364</v>
      </c>
    </row>
    <row r="14" spans="1:1" x14ac:dyDescent="0.3">
      <c r="A14" s="1">
        <f>+[5]Hoja1!$B43</f>
        <v>46381</v>
      </c>
    </row>
    <row r="15" spans="1:1" x14ac:dyDescent="0.3">
      <c r="A15" s="1"/>
    </row>
    <row r="16" spans="1:1" x14ac:dyDescent="0.3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D7" sqref="D7"/>
    </sheetView>
  </sheetViews>
  <sheetFormatPr baseColWidth="10" defaultRowHeight="14.4" x14ac:dyDescent="0.3"/>
  <cols>
    <col min="3" max="3" width="12.88671875" customWidth="1"/>
  </cols>
  <sheetData>
    <row r="1" spans="1:4" x14ac:dyDescent="0.3">
      <c r="A1" t="s">
        <v>6</v>
      </c>
      <c r="B1" t="s">
        <v>8</v>
      </c>
      <c r="C1" t="s">
        <v>9</v>
      </c>
      <c r="D1" t="s">
        <v>10</v>
      </c>
    </row>
    <row r="2" spans="1:4" x14ac:dyDescent="0.3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3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3">
      <c r="A4" t="s">
        <v>15</v>
      </c>
      <c r="B4" s="8">
        <v>46006</v>
      </c>
      <c r="C4" s="8">
        <v>46356</v>
      </c>
      <c r="D4" s="7">
        <v>2.3E-2</v>
      </c>
    </row>
    <row r="5" spans="1:4" x14ac:dyDescent="0.3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3">
      <c r="A6" t="s">
        <v>3</v>
      </c>
      <c r="B6" s="8">
        <v>46265</v>
      </c>
      <c r="C6" s="8">
        <v>46416</v>
      </c>
      <c r="D6" s="7">
        <v>2.2499999999999999E-2</v>
      </c>
    </row>
    <row r="7" spans="1:4" x14ac:dyDescent="0.3">
      <c r="A7" t="s">
        <v>16</v>
      </c>
      <c r="B7" s="8">
        <v>45961</v>
      </c>
      <c r="C7" s="8">
        <v>46507</v>
      </c>
      <c r="D7" s="7">
        <v>2.5499999999999998E-2</v>
      </c>
    </row>
    <row r="8" spans="1:4" x14ac:dyDescent="0.3">
      <c r="A8" t="s">
        <v>11</v>
      </c>
      <c r="B8" s="8">
        <v>46006</v>
      </c>
      <c r="C8" s="8">
        <v>46538</v>
      </c>
      <c r="D8" s="7">
        <v>2.4E-2</v>
      </c>
    </row>
    <row r="9" spans="1:4" x14ac:dyDescent="0.3">
      <c r="A9" t="s">
        <v>17</v>
      </c>
      <c r="B9" s="8">
        <v>46038</v>
      </c>
      <c r="C9" s="8">
        <v>46568</v>
      </c>
      <c r="D9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4.4" x14ac:dyDescent="0.3"/>
  <sheetData>
    <row r="1" spans="1:4" x14ac:dyDescent="0.3">
      <c r="A1" t="s">
        <v>6</v>
      </c>
      <c r="B1" t="s">
        <v>8</v>
      </c>
      <c r="C1" t="s">
        <v>9</v>
      </c>
      <c r="D1" t="s">
        <v>10</v>
      </c>
    </row>
    <row r="2" spans="1:4" x14ac:dyDescent="0.3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3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2" sqref="A2:A16"/>
    </sheetView>
  </sheetViews>
  <sheetFormatPr baseColWidth="10" defaultRowHeight="14.4" x14ac:dyDescent="0.3"/>
  <sheetData>
    <row r="1" spans="1:5" x14ac:dyDescent="0.3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3">
      <c r="A2" t="s">
        <v>20</v>
      </c>
      <c r="B2" s="8">
        <v>46006</v>
      </c>
      <c r="C2" s="8">
        <v>46356</v>
      </c>
      <c r="D2" s="7">
        <v>0</v>
      </c>
      <c r="E2">
        <v>659.6789</v>
      </c>
    </row>
    <row r="3" spans="1:5" x14ac:dyDescent="0.3">
      <c r="A3" t="s">
        <v>25</v>
      </c>
      <c r="B3" s="8">
        <v>45366</v>
      </c>
      <c r="C3" s="8">
        <v>46371</v>
      </c>
      <c r="D3" s="7">
        <v>0</v>
      </c>
      <c r="E3">
        <v>271.04759999999999</v>
      </c>
    </row>
    <row r="4" spans="1:5" x14ac:dyDescent="0.3">
      <c r="A4" t="s">
        <v>13</v>
      </c>
      <c r="B4" s="8">
        <v>46248</v>
      </c>
      <c r="C4" s="8">
        <v>46416</v>
      </c>
      <c r="D4" s="7">
        <v>0</v>
      </c>
      <c r="E4">
        <v>815.43449999999996</v>
      </c>
    </row>
    <row r="5" spans="1:5" x14ac:dyDescent="0.3">
      <c r="A5" t="s">
        <v>26</v>
      </c>
      <c r="B5" s="8">
        <v>45432</v>
      </c>
      <c r="C5" s="8">
        <v>46477</v>
      </c>
      <c r="D5" s="7">
        <v>0</v>
      </c>
      <c r="E5">
        <v>361.31760000000003</v>
      </c>
    </row>
    <row r="6" spans="1:5" x14ac:dyDescent="0.3">
      <c r="A6" t="s">
        <v>19</v>
      </c>
      <c r="B6" s="8">
        <v>45989</v>
      </c>
      <c r="C6" s="8">
        <v>46507</v>
      </c>
      <c r="D6" s="7">
        <v>0</v>
      </c>
      <c r="E6">
        <v>651.8981</v>
      </c>
    </row>
    <row r="7" spans="1:5" x14ac:dyDescent="0.3">
      <c r="A7" t="s">
        <v>14</v>
      </c>
      <c r="B7" s="8">
        <v>46006</v>
      </c>
      <c r="C7" s="8">
        <v>46538</v>
      </c>
      <c r="D7" s="7">
        <v>0</v>
      </c>
      <c r="E7">
        <v>659.6789</v>
      </c>
    </row>
    <row r="8" spans="1:5" x14ac:dyDescent="0.3">
      <c r="A8" t="s">
        <v>18</v>
      </c>
      <c r="B8" s="8">
        <v>45323</v>
      </c>
      <c r="C8" s="8">
        <v>46568</v>
      </c>
      <c r="D8" s="7">
        <v>0</v>
      </c>
      <c r="E8">
        <v>200.38800000000001</v>
      </c>
    </row>
    <row r="9" spans="1:5" x14ac:dyDescent="0.3">
      <c r="A9" t="s">
        <v>27</v>
      </c>
      <c r="B9" s="8">
        <v>46112</v>
      </c>
      <c r="C9" s="8">
        <v>46660</v>
      </c>
      <c r="D9" s="7">
        <v>0</v>
      </c>
      <c r="E9">
        <v>723.06</v>
      </c>
    </row>
    <row r="10" spans="1:5" x14ac:dyDescent="0.3">
      <c r="A10" t="s">
        <v>28</v>
      </c>
      <c r="B10" s="8">
        <v>46203</v>
      </c>
      <c r="C10" s="8">
        <v>46689</v>
      </c>
      <c r="D10" s="7">
        <v>0</v>
      </c>
      <c r="E10">
        <v>791.48969999999997</v>
      </c>
    </row>
    <row r="11" spans="1:5" x14ac:dyDescent="0.3">
      <c r="A11" t="s">
        <v>29</v>
      </c>
      <c r="B11" s="8">
        <v>45366</v>
      </c>
      <c r="C11" s="8">
        <v>46736</v>
      </c>
      <c r="D11" s="7">
        <v>0</v>
      </c>
      <c r="E11">
        <v>271.04759999999999</v>
      </c>
    </row>
    <row r="12" spans="1:5" x14ac:dyDescent="0.3">
      <c r="A12" t="s">
        <v>30</v>
      </c>
      <c r="B12" s="8">
        <v>46113</v>
      </c>
      <c r="C12" s="8">
        <v>46843</v>
      </c>
      <c r="D12" s="7">
        <v>0</v>
      </c>
      <c r="E12">
        <v>725.20640000000003</v>
      </c>
    </row>
    <row r="13" spans="1:5" x14ac:dyDescent="0.3">
      <c r="A13" t="s">
        <v>31</v>
      </c>
      <c r="B13" s="8">
        <v>45323</v>
      </c>
      <c r="C13" s="8">
        <v>46934</v>
      </c>
      <c r="D13" s="7">
        <v>0</v>
      </c>
      <c r="E13">
        <v>200.38800000000001</v>
      </c>
    </row>
    <row r="14" spans="1:5" x14ac:dyDescent="0.3">
      <c r="A14" t="s">
        <v>32</v>
      </c>
      <c r="B14" s="8">
        <v>46112</v>
      </c>
      <c r="C14" s="8">
        <v>47025</v>
      </c>
      <c r="D14" s="7">
        <v>0</v>
      </c>
      <c r="E14">
        <v>723.06</v>
      </c>
    </row>
    <row r="15" spans="1:5" x14ac:dyDescent="0.3">
      <c r="A15" t="s">
        <v>33</v>
      </c>
      <c r="B15" s="8">
        <v>46203</v>
      </c>
      <c r="C15" s="8">
        <v>47102</v>
      </c>
      <c r="D15" s="7">
        <v>0</v>
      </c>
      <c r="E15">
        <v>791.48969999999997</v>
      </c>
    </row>
    <row r="16" spans="1:5" x14ac:dyDescent="0.3">
      <c r="A16" t="s">
        <v>34</v>
      </c>
      <c r="B16" s="8">
        <v>46113</v>
      </c>
      <c r="C16" s="8">
        <v>47205</v>
      </c>
      <c r="D16" s="7">
        <v>0</v>
      </c>
      <c r="E16">
        <v>725.20640000000003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2026-10-22T20:07:52Z</dcterms:modified>
</cp:coreProperties>
</file>