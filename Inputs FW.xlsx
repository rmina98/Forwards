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macro.com.ar\DFSMACRO\MacroFondos\Sud-Valores\Rama\Calculadoras\Forward\"/>
    </mc:Choice>
  </mc:AlternateContent>
  <xr:revisionPtr revIDLastSave="0" documentId="13_ncr:1_{4D8657A3-E3EB-4D0D-A1B7-0BD159198FD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  <sheet name="Flujo HD" sheetId="8" r:id="rId8"/>
  </sheets>
  <externalReferences>
    <externalReference r:id="rId9"/>
    <externalReference r:id="rId10"/>
    <externalReference r:id="rId11"/>
    <externalReference r:id="rId12"/>
    <externalReference r:id="rId13"/>
  </externalReferences>
  <definedNames>
    <definedName name="Tickers">Precios!$B$1:$DA$1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51" i="3" l="1"/>
  <c r="A152" i="3" s="1"/>
  <c r="A153" i="3" s="1"/>
  <c r="A154" i="3" s="1"/>
  <c r="A155" i="3" s="1"/>
  <c r="A156" i="3" s="1"/>
  <c r="A157" i="3" s="1"/>
  <c r="A158" i="3" s="1"/>
  <c r="A436" i="6"/>
  <c r="A437" i="6" s="1"/>
  <c r="A420" i="1"/>
  <c r="B420" i="1" s="1"/>
  <c r="B436" i="6" l="1"/>
  <c r="A438" i="6"/>
  <c r="B437" i="6"/>
  <c r="A159" i="3"/>
  <c r="A421" i="1"/>
  <c r="A422" i="1" s="1"/>
  <c r="A439" i="6" l="1"/>
  <c r="B438" i="6"/>
  <c r="A160" i="3"/>
  <c r="A161" i="3" s="1"/>
  <c r="B421" i="1"/>
  <c r="A423" i="1"/>
  <c r="B422" i="1"/>
  <c r="A440" i="6" l="1"/>
  <c r="B439" i="6"/>
  <c r="A424" i="1"/>
  <c r="A425" i="1" s="1"/>
  <c r="B425" i="1" s="1"/>
  <c r="B423" i="1"/>
  <c r="A441" i="6" l="1"/>
  <c r="B440" i="6"/>
  <c r="A162" i="3"/>
  <c r="F162" i="3" s="1"/>
  <c r="B424" i="1"/>
  <c r="A442" i="6" l="1"/>
  <c r="B441" i="6"/>
  <c r="O162" i="3"/>
  <c r="P162" i="3"/>
  <c r="A163" i="3"/>
  <c r="A164" i="3" s="1"/>
  <c r="I162" i="3"/>
  <c r="G162" i="3"/>
  <c r="A426" i="1"/>
  <c r="B426" i="1" s="1"/>
  <c r="A165" i="3" l="1"/>
  <c r="A166" i="3" s="1"/>
  <c r="A443" i="6"/>
  <c r="B442" i="6"/>
  <c r="O163" i="3"/>
  <c r="P163" i="3"/>
  <c r="F163" i="3"/>
  <c r="I163" i="3"/>
  <c r="G163" i="3"/>
  <c r="A427" i="1"/>
  <c r="B427" i="1" s="1"/>
  <c r="J165" i="3" l="1"/>
  <c r="K165" i="3"/>
  <c r="A167" i="3"/>
  <c r="A168" i="3" s="1"/>
  <c r="T166" i="3"/>
  <c r="F166" i="3"/>
  <c r="G166" i="3"/>
  <c r="H166" i="3"/>
  <c r="J166" i="3"/>
  <c r="Y166" i="3"/>
  <c r="AA166" i="3"/>
  <c r="O166" i="3"/>
  <c r="P166" i="3"/>
  <c r="C166" i="3"/>
  <c r="S166" i="3"/>
  <c r="AE166" i="3"/>
  <c r="D166" i="3"/>
  <c r="K166" i="3"/>
  <c r="Z166" i="3"/>
  <c r="AB166" i="3"/>
  <c r="B166" i="3"/>
  <c r="AD166" i="3"/>
  <c r="X166" i="3"/>
  <c r="L166" i="3"/>
  <c r="AC166" i="3"/>
  <c r="R166" i="3"/>
  <c r="AF166" i="3"/>
  <c r="U166" i="3"/>
  <c r="V166" i="3"/>
  <c r="W166" i="3"/>
  <c r="I166" i="3"/>
  <c r="O165" i="3"/>
  <c r="L165" i="3"/>
  <c r="H165" i="3"/>
  <c r="B165" i="3"/>
  <c r="D165" i="3"/>
  <c r="AF165" i="3"/>
  <c r="T165" i="3"/>
  <c r="AA165" i="3"/>
  <c r="Y165" i="3"/>
  <c r="U165" i="3"/>
  <c r="AE165" i="3"/>
  <c r="S165" i="3"/>
  <c r="AB165" i="3"/>
  <c r="X165" i="3"/>
  <c r="V165" i="3"/>
  <c r="AD165" i="3"/>
  <c r="R165" i="3"/>
  <c r="AC165" i="3"/>
  <c r="Z165" i="3"/>
  <c r="W165" i="3"/>
  <c r="G165" i="3"/>
  <c r="C165" i="3"/>
  <c r="I165" i="3"/>
  <c r="F165" i="3"/>
  <c r="P165" i="3"/>
  <c r="A444" i="6"/>
  <c r="B443" i="6"/>
  <c r="A428" i="1"/>
  <c r="B428" i="1" s="1"/>
  <c r="A169" i="3" l="1"/>
  <c r="A170" i="3" s="1"/>
  <c r="A171" i="3" s="1"/>
  <c r="BK168" i="3"/>
  <c r="BJ168" i="3"/>
  <c r="Y168" i="3"/>
  <c r="J168" i="3"/>
  <c r="I168" i="3"/>
  <c r="BG168" i="3"/>
  <c r="U168" i="3"/>
  <c r="BI168" i="3"/>
  <c r="AX168" i="3"/>
  <c r="X168" i="3"/>
  <c r="H168" i="3"/>
  <c r="G168" i="3"/>
  <c r="O168" i="3"/>
  <c r="BH168" i="3"/>
  <c r="W168" i="3"/>
  <c r="V168" i="3"/>
  <c r="F168" i="3"/>
  <c r="BE168" i="3"/>
  <c r="AF168" i="3"/>
  <c r="T168" i="3"/>
  <c r="D168" i="3"/>
  <c r="B168" i="3"/>
  <c r="BA168" i="3"/>
  <c r="AB168" i="3"/>
  <c r="K168" i="3"/>
  <c r="BD168" i="3"/>
  <c r="AE168" i="3"/>
  <c r="S168" i="3"/>
  <c r="C168" i="3"/>
  <c r="AD168" i="3"/>
  <c r="L168" i="3"/>
  <c r="BC168" i="3"/>
  <c r="R168" i="3"/>
  <c r="P168" i="3"/>
  <c r="AA168" i="3"/>
  <c r="BB168" i="3"/>
  <c r="AC168" i="3"/>
  <c r="AZ168" i="3"/>
  <c r="Z168" i="3"/>
  <c r="O167" i="3"/>
  <c r="U167" i="3"/>
  <c r="AF167" i="3"/>
  <c r="F167" i="3"/>
  <c r="G167" i="3"/>
  <c r="V167" i="3"/>
  <c r="H167" i="3"/>
  <c r="Z167" i="3"/>
  <c r="AA167" i="3"/>
  <c r="AB167" i="3"/>
  <c r="P167" i="3"/>
  <c r="AD167" i="3"/>
  <c r="S167" i="3"/>
  <c r="W167" i="3"/>
  <c r="X167" i="3"/>
  <c r="Y167" i="3"/>
  <c r="K167" i="3"/>
  <c r="AC167" i="3"/>
  <c r="B167" i="3"/>
  <c r="R167" i="3"/>
  <c r="C167" i="3"/>
  <c r="AE167" i="3"/>
  <c r="D167" i="3"/>
  <c r="I167" i="3"/>
  <c r="J167" i="3"/>
  <c r="L167" i="3"/>
  <c r="T167" i="3"/>
  <c r="A445" i="6"/>
  <c r="B444" i="6"/>
  <c r="A429" i="1"/>
  <c r="B429" i="1" s="1"/>
  <c r="AE171" i="3" l="1"/>
  <c r="BK171" i="3"/>
  <c r="AZ171" i="3"/>
  <c r="BJ171" i="3"/>
  <c r="BH171" i="3"/>
  <c r="BI171" i="3"/>
  <c r="BE171" i="3"/>
  <c r="BD171" i="3"/>
  <c r="BA171" i="3"/>
  <c r="BG171" i="3"/>
  <c r="BC171" i="3"/>
  <c r="BB171" i="3"/>
  <c r="AX171" i="3"/>
  <c r="R171" i="3"/>
  <c r="Z171" i="3"/>
  <c r="T171" i="3"/>
  <c r="D171" i="3"/>
  <c r="K171" i="3"/>
  <c r="AA171" i="3"/>
  <c r="U171" i="3"/>
  <c r="C171" i="3"/>
  <c r="L171" i="3"/>
  <c r="AB171" i="3"/>
  <c r="J171" i="3"/>
  <c r="B171" i="3"/>
  <c r="V171" i="3"/>
  <c r="AC171" i="3"/>
  <c r="S171" i="3"/>
  <c r="P171" i="3"/>
  <c r="I171" i="3"/>
  <c r="AD171" i="3"/>
  <c r="W171" i="3"/>
  <c r="AF171" i="3"/>
  <c r="A172" i="3"/>
  <c r="H171" i="3"/>
  <c r="Y171" i="3"/>
  <c r="O171" i="3"/>
  <c r="X171" i="3"/>
  <c r="G171" i="3"/>
  <c r="F171" i="3"/>
  <c r="BK170" i="3"/>
  <c r="AF170" i="3"/>
  <c r="R170" i="3"/>
  <c r="BJ170" i="3"/>
  <c r="AE170" i="3"/>
  <c r="S170" i="3"/>
  <c r="BI170" i="3"/>
  <c r="AD170" i="3"/>
  <c r="AZ170" i="3"/>
  <c r="BH170" i="3"/>
  <c r="AC170" i="3"/>
  <c r="X170" i="3"/>
  <c r="BG170" i="3"/>
  <c r="AB170" i="3"/>
  <c r="Y170" i="3"/>
  <c r="BE170" i="3"/>
  <c r="AA170" i="3"/>
  <c r="BD170" i="3"/>
  <c r="Z170" i="3"/>
  <c r="BC170" i="3"/>
  <c r="BB170" i="3"/>
  <c r="V170" i="3"/>
  <c r="BA170" i="3"/>
  <c r="W170" i="3"/>
  <c r="AX170" i="3"/>
  <c r="U170" i="3"/>
  <c r="T170" i="3"/>
  <c r="C170" i="3"/>
  <c r="D170" i="3"/>
  <c r="F170" i="3"/>
  <c r="G170" i="3"/>
  <c r="H170" i="3"/>
  <c r="I170" i="3"/>
  <c r="J170" i="3"/>
  <c r="K170" i="3"/>
  <c r="L170" i="3"/>
  <c r="O170" i="3"/>
  <c r="P170" i="3"/>
  <c r="B170" i="3"/>
  <c r="BJ169" i="3"/>
  <c r="BI169" i="3"/>
  <c r="AX169" i="3"/>
  <c r="V169" i="3"/>
  <c r="L169" i="3"/>
  <c r="AE169" i="3"/>
  <c r="I169" i="3"/>
  <c r="W169" i="3"/>
  <c r="BH169" i="3"/>
  <c r="U169" i="3"/>
  <c r="K169" i="3"/>
  <c r="S169" i="3"/>
  <c r="R169" i="3"/>
  <c r="H169" i="3"/>
  <c r="BG169" i="3"/>
  <c r="AF169" i="3"/>
  <c r="T169" i="3"/>
  <c r="J169" i="3"/>
  <c r="AD169" i="3"/>
  <c r="BE169" i="3"/>
  <c r="BD169" i="3"/>
  <c r="AC169" i="3"/>
  <c r="G169" i="3"/>
  <c r="AZ169" i="3"/>
  <c r="X169" i="3"/>
  <c r="BC169" i="3"/>
  <c r="AB169" i="3"/>
  <c r="F169" i="3"/>
  <c r="B169" i="3"/>
  <c r="BB169" i="3"/>
  <c r="AA169" i="3"/>
  <c r="D169" i="3"/>
  <c r="BA169" i="3"/>
  <c r="Z169" i="3"/>
  <c r="P169" i="3"/>
  <c r="C169" i="3"/>
  <c r="Y169" i="3"/>
  <c r="O169" i="3"/>
  <c r="BK169" i="3"/>
  <c r="A446" i="6"/>
  <c r="B445" i="6"/>
  <c r="A430" i="1"/>
  <c r="B430" i="1" s="1"/>
  <c r="BA172" i="3" l="1"/>
  <c r="AZ172" i="3"/>
  <c r="BJ172" i="3"/>
  <c r="BE172" i="3"/>
  <c r="BD172" i="3"/>
  <c r="A173" i="3"/>
  <c r="BK172" i="3"/>
  <c r="BI172" i="3"/>
  <c r="BH172" i="3"/>
  <c r="BG172" i="3"/>
  <c r="AX172" i="3"/>
  <c r="BC172" i="3"/>
  <c r="BB172" i="3"/>
  <c r="AD172" i="3"/>
  <c r="R172" i="3"/>
  <c r="V172" i="3"/>
  <c r="AC172" i="3"/>
  <c r="J172" i="3"/>
  <c r="P172" i="3"/>
  <c r="AB172" i="3"/>
  <c r="B172" i="3"/>
  <c r="U172" i="3"/>
  <c r="T172" i="3"/>
  <c r="S172" i="3"/>
  <c r="K172" i="3"/>
  <c r="C172" i="3"/>
  <c r="AA172" i="3"/>
  <c r="L172" i="3"/>
  <c r="AF172" i="3"/>
  <c r="O172" i="3"/>
  <c r="G172" i="3"/>
  <c r="Z172" i="3"/>
  <c r="AE172" i="3"/>
  <c r="Y172" i="3"/>
  <c r="H172" i="3"/>
  <c r="X172" i="3"/>
  <c r="I172" i="3"/>
  <c r="F172" i="3"/>
  <c r="D172" i="3"/>
  <c r="W172" i="3"/>
  <c r="A447" i="6"/>
  <c r="B446" i="6"/>
  <c r="A431" i="1"/>
  <c r="B431" i="1" s="1"/>
  <c r="BK173" i="3" l="1"/>
  <c r="BJ173" i="3"/>
  <c r="AA173" i="3"/>
  <c r="H173" i="3"/>
  <c r="Z173" i="3"/>
  <c r="G173" i="3"/>
  <c r="Y173" i="3"/>
  <c r="F173" i="3"/>
  <c r="BI173" i="3"/>
  <c r="BH173" i="3"/>
  <c r="BG173" i="3"/>
  <c r="X173" i="3"/>
  <c r="D173" i="3"/>
  <c r="R173" i="3"/>
  <c r="BE173" i="3"/>
  <c r="W173" i="3"/>
  <c r="C173" i="3"/>
  <c r="BD173" i="3"/>
  <c r="V173" i="3"/>
  <c r="B173" i="3"/>
  <c r="BC173" i="3"/>
  <c r="U173" i="3"/>
  <c r="BB173" i="3"/>
  <c r="T173" i="3"/>
  <c r="S173" i="3"/>
  <c r="K173" i="3"/>
  <c r="BA173" i="3"/>
  <c r="AZ173" i="3"/>
  <c r="AX173" i="3"/>
  <c r="P173" i="3"/>
  <c r="O173" i="3"/>
  <c r="L173" i="3"/>
  <c r="AF173" i="3"/>
  <c r="AE173" i="3"/>
  <c r="AD173" i="3"/>
  <c r="AC173" i="3"/>
  <c r="J173" i="3"/>
  <c r="AB173" i="3"/>
  <c r="I173" i="3"/>
  <c r="A448" i="6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B435" i="1"/>
  <c r="A452" i="6"/>
  <c r="B451" i="6"/>
  <c r="A437" i="1" l="1"/>
  <c r="B436" i="1"/>
  <c r="A453" i="6"/>
  <c r="B452" i="6"/>
  <c r="A438" i="1" l="1"/>
  <c r="B437" i="1"/>
  <c r="A454" i="6"/>
  <c r="B453" i="6"/>
  <c r="B438" i="1" l="1"/>
  <c r="A439" i="1"/>
  <c r="A455" i="6"/>
  <c r="B454" i="6"/>
  <c r="B439" i="1" l="1"/>
  <c r="A440" i="1"/>
  <c r="A456" i="6"/>
  <c r="B455" i="6"/>
  <c r="A441" i="1" l="1"/>
  <c r="B440" i="1"/>
  <c r="A457" i="6"/>
  <c r="B456" i="6"/>
  <c r="A442" i="1" l="1"/>
  <c r="B441" i="1"/>
  <c r="A458" i="6"/>
  <c r="B457" i="6"/>
  <c r="A443" i="1" l="1"/>
  <c r="B442" i="1"/>
  <c r="A459" i="6"/>
  <c r="B458" i="6"/>
  <c r="A444" i="1" l="1"/>
  <c r="A445" i="1" s="1"/>
  <c r="A446" i="1" s="1"/>
  <c r="A460" i="6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6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<sst xmlns="http://schemas.openxmlformats.org/spreadsheetml/2006/main" count="690" uniqueCount="84">
  <si>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</si>
  <si>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</si>
  <si>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</si>
  <si>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</si>
  <si>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</si>
  <si>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</si>
  <si>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</si>
  <si>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</si>
  <si>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</si>
  <si>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</si>
  <si>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</si>
  <si>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</si>
  <si>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</si>
  <si>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</si>
  <si>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</si>
  <si>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</si>
  <si>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</si>
  <si>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</si>
  <si>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</si>
  <si>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</si>
  <si>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</si>
  <si>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</si>
  <si>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</si>
  <si>
    <t>S30O6</t>
  </si>
  <si>
    <t>S13N6</t>
  </si>
  <si>
    <t>TZXD6</t>
  </si>
  <si>
    <t>TZXM7</t>
  </si>
  <si>
    <t>TZXS7</t>
  </si>
  <si>
    <t>TZXO7</t>
  </si>
  <si>
    <t>TZXD7</t>
  </si>
  <si>
    <t>TZXM8</t>
  </si>
  <si>
    <t>TZX28</t>
  </si>
  <si>
    <t>TZXS8</t>
  </si>
  <si>
    <t>TZXD8</t>
  </si>
  <si>
    <t>TZXM9</t>
  </si>
  <si>
    <t>Fecha efectiva de pago</t>
  </si>
  <si>
    <t>Amortizacion</t>
  </si>
  <si>
    <t>Valor residual</t>
  </si>
  <si>
    <t>Tasa de interés</t>
  </si>
  <si>
    <t>Interés (vn)</t>
  </si>
  <si>
    <t>0</t>
  </si>
  <si>
    <t>AO27</t>
  </si>
  <si>
    <t>AO28</t>
  </si>
  <si>
    <t>AO29</t>
  </si>
  <si>
    <t>AN29</t>
  </si>
  <si>
    <t>AL29</t>
  </si>
  <si>
    <t>GD29</t>
  </si>
  <si>
    <t>AL30</t>
  </si>
  <si>
    <t>GD30</t>
  </si>
  <si>
    <t>AL35</t>
  </si>
  <si>
    <t>GD35</t>
  </si>
  <si>
    <t>AE38</t>
  </si>
  <si>
    <t>GD38</t>
  </si>
  <si>
    <t>AL41</t>
  </si>
  <si>
    <t>GD41</t>
  </si>
  <si>
    <t>AE38C</t>
  </si>
  <si>
    <t>AL29C</t>
  </si>
  <si>
    <t>AL30C</t>
  </si>
  <si>
    <t>AL35C</t>
  </si>
  <si>
    <t>AL41C</t>
  </si>
  <si>
    <t>AN29C</t>
  </si>
  <si>
    <t>AO27C</t>
  </si>
  <si>
    <t>AO28C</t>
  </si>
  <si>
    <t>AO29C</t>
  </si>
  <si>
    <t>GD29C</t>
  </si>
  <si>
    <t>GD30C</t>
  </si>
  <si>
    <t>GD35C</t>
  </si>
  <si>
    <t>GD38C</t>
  </si>
  <si>
    <t>GD41C</t>
  </si>
  <si>
    <t>AE38D</t>
  </si>
  <si>
    <t>AL29D</t>
  </si>
  <si>
    <t>AL30D</t>
  </si>
  <si>
    <t>AL35D</t>
  </si>
  <si>
    <t>AL41D</t>
  </si>
  <si>
    <t>AN29D</t>
  </si>
  <si>
    <t>AO27D</t>
  </si>
  <si>
    <t>AO28D</t>
  </si>
  <si>
    <t>GD29D</t>
  </si>
  <si>
    <t>GD30D</t>
  </si>
  <si>
    <t>GD35D</t>
  </si>
  <si>
    <t>AO29D</t>
  </si>
  <si>
    <t>GD38D</t>
  </si>
  <si>
    <t>GD41D</t>
  </si>
  <si>
    <t>S26F7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</si>
</sst>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  <xf numFmtId="0" fontId="2" fillId="0" borderId="0" xfId="2" applyNumberFormat="1"/>
    <xf numFmtId="14" fontId="2" fillId="0" borderId="0" xfId="2" applyNumberFormat="1"/>
    <xf numFmtId="10" fontId="2" fillId="0" borderId="0" xfId="2" applyNumberFormat="1"/>
    <xf numFmtId="164" fontId="0" fillId="3" borderId="1" xfId="1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_Excel Bloomberg (Bcra)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acroFondos/Sud-Valores/Cierre/Cierre/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macro.com.ar\dfsmacro\MacroFondos\Sud-Valores\Cierre\Cierre\Valuaci&#243;n\Valuaci&#243;n%20Activos%20Macro%20Fondos.xlsm" TargetMode="External"/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MacroFondos/Sud-Valores/Renta%20Fija/TP%20BBG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MacroFondos/sud-valores/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T+1"/>
      <sheetName val="Cortes Cafci"/>
      <sheetName val="Pagarés Horizonte"/>
    </sheetNames>
    <sheetDataSet>
      <sheetData sheetId="0"/>
      <sheetData sheetId="1"/>
      <sheetData sheetId="2"/>
      <sheetData sheetId="3"/>
      <sheetData sheetId="4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/>
          <cell r="C2"/>
          <cell r="D2"/>
          <cell r="E2"/>
          <cell r="F2"/>
          <cell r="G2"/>
          <cell r="H2"/>
          <cell r="I2"/>
          <cell r="J2"/>
          <cell r="K2"/>
        </row>
        <row r="3">
          <cell r="B3"/>
          <cell r="C3"/>
          <cell r="D3"/>
          <cell r="E3"/>
          <cell r="F3"/>
          <cell r="G3"/>
          <cell r="H3"/>
          <cell r="I3"/>
          <cell r="J3"/>
          <cell r="K3"/>
        </row>
        <row r="4">
          <cell r="B4"/>
          <cell r="C4"/>
          <cell r="D4"/>
          <cell r="E4"/>
          <cell r="F4"/>
          <cell r="G4"/>
          <cell r="H4"/>
          <cell r="I4"/>
          <cell r="J4"/>
          <cell r="K4"/>
        </row>
        <row r="5">
          <cell r="B5"/>
          <cell r="C5"/>
          <cell r="D5"/>
          <cell r="E5"/>
          <cell r="F5"/>
          <cell r="G5"/>
          <cell r="H5"/>
          <cell r="I5"/>
          <cell r="J5"/>
          <cell r="K5"/>
        </row>
        <row r="6">
          <cell r="B6"/>
          <cell r="C6">
            <v>46321</v>
          </cell>
          <cell r="D6">
            <v>46322</v>
          </cell>
          <cell r="E6">
            <v>46323</v>
          </cell>
          <cell r="F6">
            <v>46324</v>
          </cell>
          <cell r="G6"/>
          <cell r="H6"/>
          <cell r="I6"/>
          <cell r="J6"/>
          <cell r="K6"/>
        </row>
        <row r="7">
          <cell r="B7" t="str">
            <v>Ticker</v>
          </cell>
          <cell r="C7" t="str">
            <v>Px Hoy</v>
          </cell>
          <cell r="D7" t="str">
            <v>Px Hoy</v>
          </cell>
          <cell r="E7" t="str">
            <v>Px Hoy</v>
          </cell>
          <cell r="F7" t="str">
            <v>Px Hoy</v>
          </cell>
          <cell r="G7"/>
          <cell r="H7"/>
          <cell r="I7"/>
          <cell r="J7"/>
          <cell r="K7"/>
        </row>
        <row r="8">
          <cell r="B8"/>
        </row>
        <row r="9">
          <cell r="B9" t="str">
            <v>Bonos Soberanos Hard USD</v>
          </cell>
        </row>
        <row r="10">
          <cell r="B10"/>
        </row>
        <row r="11">
          <cell r="B11" t="str">
            <v>AO27D</v>
          </cell>
          <cell r="C11">
            <v>1.0373153500000001</v>
          </cell>
          <cell r="D11">
            <v>1.0365055000000001</v>
          </cell>
          <cell r="E11">
            <v>1.0316309800000001</v>
          </cell>
          <cell r="F11">
            <v>1.03102158</v>
          </cell>
          <cell r="G11"/>
          <cell r="H11"/>
          <cell r="I11"/>
          <cell r="J11"/>
          <cell r="K11"/>
        </row>
        <row r="12">
          <cell r="B12" t="str">
            <v>AL30D</v>
          </cell>
          <cell r="C12">
            <v>0.54189085999999997</v>
          </cell>
          <cell r="D12">
            <v>0.54447051000000002</v>
          </cell>
          <cell r="E12">
            <v>0.54155763999999995</v>
          </cell>
          <cell r="F12">
            <v>0.54297013000000005</v>
          </cell>
          <cell r="G12"/>
          <cell r="H12"/>
          <cell r="I12"/>
          <cell r="J12"/>
          <cell r="K12"/>
        </row>
        <row r="13">
          <cell r="B13" t="str">
            <v>GD30D</v>
          </cell>
          <cell r="C13">
            <v>0.55857822000000001</v>
          </cell>
          <cell r="D13">
            <v>0.56087664999999998</v>
          </cell>
          <cell r="E13">
            <v>0.55418034000000005</v>
          </cell>
          <cell r="F13">
            <v>0.55905026999999996</v>
          </cell>
          <cell r="G13"/>
          <cell r="H13"/>
          <cell r="I13"/>
          <cell r="J13"/>
          <cell r="K13"/>
        </row>
        <row r="14">
          <cell r="B14" t="str">
            <v>AO28D</v>
          </cell>
          <cell r="C14">
            <v>0.90524084999999999</v>
          </cell>
          <cell r="D14">
            <v>0.91411620999999998</v>
          </cell>
          <cell r="E14">
            <v>0.90118206000000001</v>
          </cell>
          <cell r="F14">
            <v>0.89868429000000005</v>
          </cell>
          <cell r="G14"/>
          <cell r="H14"/>
          <cell r="I14"/>
          <cell r="J14"/>
          <cell r="K14"/>
        </row>
        <row r="15">
          <cell r="B15" t="str">
            <v>AO29D</v>
          </cell>
          <cell r="C15">
            <v>0.83991494</v>
          </cell>
          <cell r="D15">
            <v>0.84259978999999996</v>
          </cell>
          <cell r="E15">
            <v>0.83297715999999999</v>
          </cell>
          <cell r="F15">
            <v>0.82949866999999999</v>
          </cell>
          <cell r="G15"/>
          <cell r="H15"/>
          <cell r="I15"/>
          <cell r="J15"/>
          <cell r="K15"/>
        </row>
        <row r="16">
          <cell r="B16" t="str">
            <v>AN29D</v>
          </cell>
          <cell r="C16">
            <v>0.85746931000000004</v>
          </cell>
          <cell r="D16">
            <v>0.86085449000000003</v>
          </cell>
          <cell r="E16">
            <v>0.85000447000000001</v>
          </cell>
          <cell r="F16">
            <v>0.85266454000000003</v>
          </cell>
          <cell r="G16"/>
          <cell r="H16"/>
          <cell r="I16"/>
          <cell r="J16"/>
          <cell r="K16"/>
        </row>
        <row r="17">
          <cell r="B17" t="str">
            <v>AE38D</v>
          </cell>
          <cell r="C17">
            <v>0.71225879999999997</v>
          </cell>
          <cell r="D17">
            <v>0.71657112999999995</v>
          </cell>
          <cell r="E17">
            <v>0.70323232000000002</v>
          </cell>
          <cell r="F17">
            <v>0.71118543999999995</v>
          </cell>
          <cell r="G17"/>
          <cell r="H17"/>
          <cell r="I17"/>
          <cell r="J17"/>
          <cell r="K17"/>
        </row>
        <row r="18">
          <cell r="B18" t="str">
            <v>GD38D</v>
          </cell>
          <cell r="C18">
            <v>0.77002042000000004</v>
          </cell>
          <cell r="D18">
            <v>0.77237683000000001</v>
          </cell>
          <cell r="E18">
            <v>0.76189545000000003</v>
          </cell>
          <cell r="F18">
            <v>0.77091399000000005</v>
          </cell>
          <cell r="G18"/>
          <cell r="H18"/>
          <cell r="I18"/>
          <cell r="J18"/>
          <cell r="K18"/>
        </row>
        <row r="19">
          <cell r="B19" t="str">
            <v>AL35D</v>
          </cell>
          <cell r="C19">
            <v>0.68714332</v>
          </cell>
          <cell r="D19">
            <v>0.68531297999999996</v>
          </cell>
          <cell r="E19">
            <v>0.67543538000000003</v>
          </cell>
          <cell r="F19">
            <v>0.68261322999999996</v>
          </cell>
          <cell r="G19"/>
          <cell r="H19"/>
          <cell r="I19"/>
          <cell r="J19"/>
          <cell r="K19"/>
        </row>
        <row r="20">
          <cell r="B20" t="str">
            <v>GD35D</v>
          </cell>
          <cell r="C20">
            <v>0.72164233</v>
          </cell>
          <cell r="D20">
            <v>0.72855687000000002</v>
          </cell>
          <cell r="E20">
            <v>0.71711866999999996</v>
          </cell>
          <cell r="F20">
            <v>0.72694245999999996</v>
          </cell>
          <cell r="G20"/>
          <cell r="H20"/>
          <cell r="I20"/>
          <cell r="J20"/>
          <cell r="K20"/>
        </row>
        <row r="21">
          <cell r="B21" t="str">
            <v>AL41D</v>
          </cell>
          <cell r="C21">
            <v>0.63142195000000001</v>
          </cell>
          <cell r="D21">
            <v>0.6336273</v>
          </cell>
          <cell r="E21">
            <v>0.62407966999999998</v>
          </cell>
          <cell r="F21">
            <v>0.63569494000000004</v>
          </cell>
          <cell r="G21"/>
          <cell r="H21"/>
          <cell r="I21"/>
          <cell r="J21"/>
          <cell r="K21"/>
        </row>
        <row r="22">
          <cell r="B22" t="str">
            <v>GD41D</v>
          </cell>
          <cell r="C22">
            <v>0.67340907999999999</v>
          </cell>
          <cell r="D22">
            <v>0.67598002999999995</v>
          </cell>
          <cell r="E22">
            <v>0.67268218000000002</v>
          </cell>
          <cell r="F22">
            <v>0.6818668</v>
          </cell>
          <cell r="G22"/>
          <cell r="H22"/>
          <cell r="I22"/>
          <cell r="J22"/>
          <cell r="K22"/>
        </row>
        <row r="23">
          <cell r="B23" t="str">
            <v>GD46D</v>
          </cell>
          <cell r="C23">
            <v>0.60700343000000001</v>
          </cell>
          <cell r="D23">
            <v>0.61629800000000001</v>
          </cell>
          <cell r="E23">
            <v>0.60558376999999997</v>
          </cell>
          <cell r="F23">
            <v>0.62174582</v>
          </cell>
          <cell r="G23"/>
          <cell r="H23"/>
          <cell r="I23"/>
          <cell r="J23"/>
          <cell r="K23"/>
        </row>
        <row r="24">
          <cell r="B24"/>
          <cell r="C24"/>
          <cell r="D24"/>
          <cell r="E24"/>
          <cell r="F24"/>
          <cell r="G24"/>
          <cell r="H24"/>
          <cell r="I24"/>
          <cell r="J24"/>
          <cell r="K24"/>
        </row>
        <row r="25">
          <cell r="B25" t="str">
            <v>Bonos Soberanos Hard USD - Contra $</v>
          </cell>
          <cell r="C25"/>
          <cell r="D25"/>
          <cell r="E25"/>
          <cell r="F25"/>
          <cell r="G25"/>
          <cell r="H25"/>
          <cell r="I25"/>
          <cell r="J25"/>
          <cell r="K25"/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</row>
        <row r="27">
          <cell r="B27" t="str">
            <v>AO27</v>
          </cell>
          <cell r="C27">
            <v>1633.0292095899999</v>
          </cell>
          <cell r="D27">
            <v>1614.7683419099999</v>
          </cell>
          <cell r="E27">
            <v>1617.5194493900001</v>
          </cell>
          <cell r="F27">
            <v>1617.0328246199999</v>
          </cell>
          <cell r="G27"/>
          <cell r="H27"/>
          <cell r="I27"/>
          <cell r="J27"/>
          <cell r="K27"/>
        </row>
        <row r="28">
          <cell r="B28" t="str">
            <v>AL30</v>
          </cell>
          <cell r="C28">
            <v>855.13979468000002</v>
          </cell>
          <cell r="D28">
            <v>851.17238651000002</v>
          </cell>
          <cell r="E28">
            <v>848.63987157999998</v>
          </cell>
          <cell r="F28">
            <v>847.46955427</v>
          </cell>
          <cell r="G28"/>
          <cell r="H28"/>
          <cell r="I28"/>
          <cell r="J28"/>
          <cell r="K28"/>
        </row>
        <row r="29">
          <cell r="B29" t="str">
            <v>GD30</v>
          </cell>
          <cell r="C29">
            <v>878.92035335000003</v>
          </cell>
          <cell r="D29">
            <v>874.33189716000004</v>
          </cell>
          <cell r="E29">
            <v>872.78231338000001</v>
          </cell>
          <cell r="F29">
            <v>877.35520280000003</v>
          </cell>
          <cell r="G29"/>
          <cell r="H29"/>
          <cell r="I29"/>
          <cell r="J29"/>
          <cell r="K29"/>
        </row>
        <row r="30">
          <cell r="B30" t="str">
            <v>AO28</v>
          </cell>
          <cell r="C30">
            <v>1430.18930013</v>
          </cell>
          <cell r="D30">
            <v>1422.0799801000001</v>
          </cell>
          <cell r="E30">
            <v>1410.2218200100001</v>
          </cell>
          <cell r="F30">
            <v>1406.5952099000001</v>
          </cell>
          <cell r="G30"/>
          <cell r="H30"/>
          <cell r="I30"/>
          <cell r="J30"/>
          <cell r="K30"/>
        </row>
        <row r="31">
          <cell r="B31" t="str">
            <v>AO29</v>
          </cell>
          <cell r="C31">
            <v>1324.6481195199999</v>
          </cell>
          <cell r="D31">
            <v>1313.6318719200001</v>
          </cell>
          <cell r="E31">
            <v>1309.6726381000001</v>
          </cell>
          <cell r="F31">
            <v>1296.0341383499999</v>
          </cell>
          <cell r="G31"/>
          <cell r="H31"/>
          <cell r="I31"/>
          <cell r="J31"/>
          <cell r="K31"/>
        </row>
        <row r="32">
          <cell r="B32" t="str">
            <v>AN29</v>
          </cell>
          <cell r="C32">
            <v>1351.8368702400001</v>
          </cell>
          <cell r="D32">
            <v>1345.6045501799999</v>
          </cell>
          <cell r="E32">
            <v>1337.69986191</v>
          </cell>
          <cell r="F32">
            <v>1336.9391939699999</v>
          </cell>
          <cell r="G32"/>
          <cell r="H32"/>
          <cell r="I32"/>
          <cell r="J32"/>
          <cell r="K32"/>
        </row>
        <row r="33">
          <cell r="B33" t="str">
            <v>AE38</v>
          </cell>
          <cell r="C33">
            <v>1121.78971043</v>
          </cell>
          <cell r="D33">
            <v>1119.14705396</v>
          </cell>
          <cell r="E33">
            <v>1105.5654843299999</v>
          </cell>
          <cell r="F33">
            <v>1112.14581559</v>
          </cell>
          <cell r="G33"/>
          <cell r="H33"/>
          <cell r="I33"/>
          <cell r="J33"/>
          <cell r="K33"/>
        </row>
        <row r="34">
          <cell r="B34" t="str">
            <v>GD38</v>
          </cell>
          <cell r="C34">
            <v>1211.6172111999999</v>
          </cell>
          <cell r="D34">
            <v>1204.42585575</v>
          </cell>
          <cell r="E34">
            <v>1192.8956665999999</v>
          </cell>
          <cell r="F34">
            <v>1206.18734318</v>
          </cell>
          <cell r="G34"/>
          <cell r="H34"/>
          <cell r="I34"/>
          <cell r="J34"/>
          <cell r="K34"/>
        </row>
        <row r="35">
          <cell r="B35" t="str">
            <v>AL35</v>
          </cell>
          <cell r="C35">
            <v>1077.2246258600001</v>
          </cell>
          <cell r="D35">
            <v>1076.4646812399999</v>
          </cell>
          <cell r="E35">
            <v>1062.4733356700001</v>
          </cell>
          <cell r="F35">
            <v>1070.04062411</v>
          </cell>
          <cell r="G35"/>
          <cell r="H35"/>
          <cell r="I35"/>
          <cell r="J35"/>
          <cell r="K35"/>
        </row>
        <row r="36">
          <cell r="B36" t="str">
            <v>GD35</v>
          </cell>
          <cell r="C36">
            <v>1135.6277597400001</v>
          </cell>
          <cell r="D36">
            <v>1132.1096421100001</v>
          </cell>
          <cell r="E36">
            <v>1126.0217537200001</v>
          </cell>
          <cell r="F36">
            <v>1137.77364459</v>
          </cell>
          <cell r="G36"/>
          <cell r="H36"/>
          <cell r="I36"/>
          <cell r="J36"/>
          <cell r="K36"/>
        </row>
        <row r="37">
          <cell r="B37" t="str">
            <v>AL41</v>
          </cell>
          <cell r="C37">
            <v>993.09721404000004</v>
          </cell>
          <cell r="D37">
            <v>987.45627450999996</v>
          </cell>
          <cell r="E37">
            <v>982.14373339999997</v>
          </cell>
          <cell r="F37">
            <v>993.90702223000005</v>
          </cell>
          <cell r="G37"/>
          <cell r="H37"/>
          <cell r="I37"/>
          <cell r="J37"/>
          <cell r="K37"/>
        </row>
        <row r="38">
          <cell r="B38" t="str">
            <v>GD41</v>
          </cell>
          <cell r="C38">
            <v>1056.4612884200001</v>
          </cell>
          <cell r="D38">
            <v>1061.9262206200001</v>
          </cell>
          <cell r="E38">
            <v>1063.4806701</v>
          </cell>
          <cell r="F38">
            <v>1067.67258176</v>
          </cell>
          <cell r="G38"/>
          <cell r="H38"/>
          <cell r="I38"/>
          <cell r="J38"/>
          <cell r="K38"/>
        </row>
        <row r="39">
          <cell r="B39" t="str">
            <v>GD46</v>
          </cell>
          <cell r="C39">
            <v>955.98048424000001</v>
          </cell>
          <cell r="D39">
            <v>981.83168893000004</v>
          </cell>
          <cell r="E39">
            <v>968.87561272999994</v>
          </cell>
          <cell r="F39">
            <v>974.43086893999998</v>
          </cell>
          <cell r="G39"/>
          <cell r="H39"/>
          <cell r="I39"/>
          <cell r="J39"/>
          <cell r="K39"/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</row>
        <row r="41">
          <cell r="B41" t="str">
            <v>Bopreales Hard USD</v>
          </cell>
          <cell r="C41"/>
          <cell r="D41"/>
          <cell r="E41"/>
          <cell r="F41"/>
          <cell r="G41"/>
          <cell r="H41"/>
          <cell r="I41"/>
          <cell r="J41"/>
          <cell r="K41"/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</row>
        <row r="43">
          <cell r="B43" t="str">
            <v>BPOD7D</v>
          </cell>
          <cell r="C43">
            <v>1.0554528400000001</v>
          </cell>
          <cell r="D43">
            <v>1.0541490099999999</v>
          </cell>
          <cell r="E43">
            <v>1.0466072</v>
          </cell>
          <cell r="F43">
            <v>1.04748435</v>
          </cell>
          <cell r="G43"/>
          <cell r="H43"/>
          <cell r="I43"/>
          <cell r="J43"/>
          <cell r="K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</row>
        <row r="45">
          <cell r="B45" t="str">
            <v>Bopreales Hard USD - Contra $</v>
          </cell>
          <cell r="C45"/>
          <cell r="D45"/>
          <cell r="E45"/>
          <cell r="F45"/>
          <cell r="G45"/>
          <cell r="H45"/>
          <cell r="I45"/>
          <cell r="J45"/>
          <cell r="K45"/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</row>
        <row r="47">
          <cell r="B47" t="str">
            <v>BPOD7</v>
          </cell>
          <cell r="C47">
            <v>1656.18316817</v>
          </cell>
          <cell r="D47">
            <v>1639.5732917400001</v>
          </cell>
          <cell r="E47">
            <v>1640.1748637000001</v>
          </cell>
          <cell r="F47">
            <v>1641.81859478</v>
          </cell>
          <cell r="G47"/>
          <cell r="H47"/>
          <cell r="I47"/>
          <cell r="J47"/>
          <cell r="K47"/>
        </row>
        <row r="48">
          <cell r="B48"/>
          <cell r="C48"/>
          <cell r="D48"/>
          <cell r="E48"/>
          <cell r="F48"/>
          <cell r="G48"/>
          <cell r="H48"/>
          <cell r="I48"/>
          <cell r="J48"/>
          <cell r="K48"/>
        </row>
        <row r="49">
          <cell r="B49" t="str">
            <v>Bonos Soberanos Descuento</v>
          </cell>
          <cell r="C49"/>
          <cell r="D49"/>
          <cell r="E49"/>
          <cell r="F49"/>
          <cell r="G49"/>
          <cell r="H49"/>
          <cell r="I49"/>
          <cell r="J49"/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  <row r="51">
          <cell r="B51" t="str">
            <v>S13N6</v>
          </cell>
          <cell r="C51">
            <v>1.0852042200000001</v>
          </cell>
          <cell r="D51">
            <v>1.0857107800000001</v>
          </cell>
          <cell r="E51">
            <v>1.0862777699999999</v>
          </cell>
          <cell r="F51">
            <v>1.0870290499999999</v>
          </cell>
          <cell r="G51"/>
          <cell r="H51"/>
          <cell r="I51"/>
          <cell r="J51"/>
          <cell r="K51"/>
        </row>
        <row r="52">
          <cell r="B52" t="str">
            <v>S30N6</v>
          </cell>
          <cell r="C52">
            <v>1.2710396799999999</v>
          </cell>
          <cell r="D52">
            <v>1.27182635</v>
          </cell>
          <cell r="E52">
            <v>1.27241106</v>
          </cell>
          <cell r="F52">
            <v>1.2745239500000001</v>
          </cell>
          <cell r="G52"/>
          <cell r="H52"/>
          <cell r="I52"/>
          <cell r="J52"/>
          <cell r="K52"/>
        </row>
        <row r="53">
          <cell r="B53" t="str">
            <v>S29E7</v>
          </cell>
          <cell r="C53">
            <v>1.04895103</v>
          </cell>
          <cell r="D53">
            <v>1.0485382999999999</v>
          </cell>
          <cell r="E53">
            <v>1.0495640399999999</v>
          </cell>
          <cell r="F53">
            <v>1.05197753</v>
          </cell>
          <cell r="G53"/>
          <cell r="H53"/>
          <cell r="I53"/>
          <cell r="J53"/>
          <cell r="K53"/>
        </row>
        <row r="54">
          <cell r="B54"/>
          <cell r="C54"/>
          <cell r="D54"/>
          <cell r="E54"/>
          <cell r="F54"/>
          <cell r="G54"/>
          <cell r="H54"/>
          <cell r="I54"/>
          <cell r="J54"/>
          <cell r="K54"/>
        </row>
        <row r="55">
          <cell r="B55" t="str">
            <v>Bonos Soberanos Tasa Fija</v>
          </cell>
          <cell r="C55"/>
          <cell r="D55"/>
          <cell r="E55"/>
          <cell r="F55"/>
          <cell r="G55"/>
          <cell r="H55"/>
          <cell r="I55"/>
          <cell r="J55"/>
          <cell r="K55"/>
        </row>
        <row r="56">
          <cell r="B56"/>
          <cell r="C56"/>
          <cell r="D56"/>
          <cell r="E56"/>
          <cell r="F56"/>
          <cell r="G56"/>
          <cell r="H56"/>
          <cell r="I56"/>
          <cell r="J56"/>
          <cell r="K56"/>
        </row>
        <row r="57">
          <cell r="B57" t="str">
            <v>T15E7</v>
          </cell>
          <cell r="C57">
            <v>1.52738358</v>
          </cell>
          <cell r="D57">
            <v>1.52746505</v>
          </cell>
          <cell r="E57">
            <v>1.52888413</v>
          </cell>
          <cell r="F57">
            <v>1.5315555199999999</v>
          </cell>
          <cell r="G57"/>
          <cell r="H57"/>
          <cell r="I57"/>
          <cell r="J57"/>
          <cell r="K57"/>
        </row>
        <row r="58">
          <cell r="B58" t="str">
            <v>T30A7</v>
          </cell>
          <cell r="C58">
            <v>1.3811323</v>
          </cell>
          <cell r="D58">
            <v>1.3819150099999999</v>
          </cell>
          <cell r="E58">
            <v>1.38186988</v>
          </cell>
          <cell r="F58">
            <v>1.3858884499999999</v>
          </cell>
          <cell r="G58"/>
          <cell r="H58"/>
          <cell r="I58"/>
          <cell r="J58"/>
          <cell r="K58"/>
        </row>
        <row r="59">
          <cell r="B59" t="str">
            <v>T31Y7</v>
          </cell>
          <cell r="C59">
            <v>1.30204184</v>
          </cell>
          <cell r="D59">
            <v>1.30150886</v>
          </cell>
          <cell r="E59">
            <v>1.3016547199999999</v>
          </cell>
          <cell r="F59">
            <v>1.30482688</v>
          </cell>
          <cell r="G59"/>
          <cell r="H59"/>
          <cell r="I59"/>
          <cell r="J59"/>
          <cell r="K59"/>
        </row>
        <row r="60">
          <cell r="B60" t="str">
            <v>T30J7</v>
          </cell>
          <cell r="C60">
            <v>1.30851348</v>
          </cell>
          <cell r="D60">
            <v>1.32761482</v>
          </cell>
          <cell r="E60">
            <v>1.3179069299999999</v>
          </cell>
          <cell r="F60">
            <v>1.3114656899999999</v>
          </cell>
          <cell r="G60"/>
          <cell r="H60"/>
          <cell r="I60"/>
          <cell r="J60"/>
          <cell r="K60"/>
        </row>
        <row r="61">
          <cell r="B61" t="str">
            <v>TY30P</v>
          </cell>
          <cell r="C61">
            <v>1.1285736500000001</v>
          </cell>
          <cell r="D61">
            <v>1.1296577000000001</v>
          </cell>
          <cell r="E61">
            <v>1.13106577</v>
          </cell>
          <cell r="F61">
            <v>1.13331852</v>
          </cell>
          <cell r="G61"/>
          <cell r="H61"/>
          <cell r="I61"/>
          <cell r="J61"/>
          <cell r="K61"/>
        </row>
        <row r="62">
          <cell r="B62"/>
          <cell r="C62"/>
          <cell r="D62"/>
          <cell r="E62"/>
          <cell r="F62"/>
          <cell r="G62"/>
          <cell r="H62"/>
          <cell r="I62"/>
          <cell r="J62"/>
          <cell r="K62"/>
        </row>
        <row r="63">
          <cell r="B63" t="str">
            <v>Bonos Soberanos Tasa Fija - Tamar</v>
          </cell>
          <cell r="C63"/>
          <cell r="D63"/>
          <cell r="E63"/>
          <cell r="F63"/>
          <cell r="G63"/>
          <cell r="H63"/>
          <cell r="I63"/>
          <cell r="J63"/>
          <cell r="K63"/>
        </row>
        <row r="64">
          <cell r="B64"/>
          <cell r="C64"/>
          <cell r="D64"/>
          <cell r="E64"/>
          <cell r="F64"/>
          <cell r="G64"/>
          <cell r="H64"/>
          <cell r="I64"/>
          <cell r="J64"/>
          <cell r="K64"/>
        </row>
        <row r="65">
          <cell r="B65" t="str">
            <v>TTD26</v>
          </cell>
          <cell r="C65">
            <v>1.75294127</v>
          </cell>
          <cell r="D65">
            <v>1.75305249</v>
          </cell>
          <cell r="E65">
            <v>1.75434969</v>
          </cell>
          <cell r="F65">
            <v>1.7554654599999999</v>
          </cell>
          <cell r="G65"/>
          <cell r="H65"/>
          <cell r="I65"/>
          <cell r="J65"/>
          <cell r="K65"/>
        </row>
        <row r="66">
          <cell r="B66"/>
          <cell r="C66"/>
          <cell r="D66"/>
          <cell r="E66"/>
          <cell r="F66"/>
          <cell r="G66"/>
          <cell r="H66"/>
          <cell r="I66"/>
          <cell r="J66"/>
          <cell r="K66"/>
        </row>
        <row r="67">
          <cell r="B67" t="str">
            <v>Bonos Soberanos TAMAR</v>
          </cell>
          <cell r="C67"/>
          <cell r="D67"/>
          <cell r="E67"/>
          <cell r="F67"/>
          <cell r="G67"/>
          <cell r="H67"/>
          <cell r="I67"/>
          <cell r="J67"/>
          <cell r="K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</row>
        <row r="69">
          <cell r="B69" t="str">
            <v>TMF27</v>
          </cell>
          <cell r="C69">
            <v>1.26495333</v>
          </cell>
          <cell r="D69">
            <v>1.26935175</v>
          </cell>
          <cell r="E69">
            <v>1.2669274500000001</v>
          </cell>
          <cell r="F69">
            <v>1.27044438</v>
          </cell>
          <cell r="G69"/>
          <cell r="H69"/>
          <cell r="I69"/>
          <cell r="J69"/>
          <cell r="K69"/>
        </row>
        <row r="70">
          <cell r="B70" t="str">
            <v>TML27</v>
          </cell>
          <cell r="C70">
            <v>1.1221947800000001</v>
          </cell>
          <cell r="D70">
            <v>1.1211783799999999</v>
          </cell>
          <cell r="E70">
            <v>1.12101173</v>
          </cell>
          <cell r="F70">
            <v>1.1256691599999999</v>
          </cell>
          <cell r="G70"/>
          <cell r="H70"/>
          <cell r="I70"/>
          <cell r="J70"/>
          <cell r="K70"/>
        </row>
        <row r="71">
          <cell r="B71" t="str">
            <v>TMG27</v>
          </cell>
          <cell r="C71">
            <v>1.2077702800000001</v>
          </cell>
          <cell r="D71">
            <v>1.2125100600000001</v>
          </cell>
          <cell r="E71">
            <v>1.21800153</v>
          </cell>
          <cell r="F71">
            <v>1.21939427</v>
          </cell>
          <cell r="G71"/>
          <cell r="H71"/>
          <cell r="I71"/>
          <cell r="J71"/>
          <cell r="K71"/>
        </row>
        <row r="72">
          <cell r="B72" t="str">
            <v>TMG28</v>
          </cell>
          <cell r="C72">
            <v>1.1000104399999999</v>
          </cell>
          <cell r="D72">
            <v>1.0991069899999999</v>
          </cell>
          <cell r="E72">
            <v>1.10050005</v>
          </cell>
          <cell r="F72">
            <v>1.1025021699999999</v>
          </cell>
          <cell r="G72"/>
          <cell r="H72"/>
          <cell r="I72"/>
          <cell r="J72"/>
          <cell r="K72"/>
        </row>
        <row r="73">
          <cell r="B73"/>
          <cell r="C73"/>
          <cell r="D73"/>
          <cell r="E73"/>
          <cell r="F73"/>
          <cell r="G73"/>
          <cell r="H73"/>
          <cell r="I73"/>
          <cell r="J73"/>
          <cell r="K73"/>
        </row>
        <row r="74">
          <cell r="B74" t="str">
            <v>Bonos Soberanos CER - TAMAR</v>
          </cell>
          <cell r="C74"/>
          <cell r="D74"/>
          <cell r="E74"/>
          <cell r="F74"/>
          <cell r="G74"/>
          <cell r="H74"/>
          <cell r="I74"/>
          <cell r="J74"/>
          <cell r="K74"/>
        </row>
        <row r="75">
          <cell r="B75"/>
          <cell r="C75"/>
          <cell r="D75"/>
          <cell r="E75"/>
          <cell r="F75"/>
          <cell r="G75"/>
          <cell r="H75"/>
          <cell r="I75"/>
          <cell r="J75"/>
          <cell r="K75"/>
        </row>
        <row r="76">
          <cell r="B76" t="str">
            <v>TXMJ8</v>
          </cell>
          <cell r="C76">
            <v>1.03694299</v>
          </cell>
          <cell r="D76">
            <v>1.0364999100000001</v>
          </cell>
          <cell r="E76">
            <v>1.0374969599999999</v>
          </cell>
          <cell r="F76">
            <v>1.03904369</v>
          </cell>
          <cell r="G76"/>
          <cell r="H76"/>
          <cell r="I76"/>
          <cell r="J76"/>
          <cell r="K76"/>
        </row>
        <row r="77">
          <cell r="B77" t="str">
            <v>TXMD8</v>
          </cell>
          <cell r="C77">
            <v>0.96673701999999995</v>
          </cell>
          <cell r="D77">
            <v>0.96547667999999998</v>
          </cell>
          <cell r="E77">
            <v>0.96600591999999996</v>
          </cell>
          <cell r="F77">
            <v>0.96649300000000005</v>
          </cell>
          <cell r="G77"/>
          <cell r="H77"/>
          <cell r="I77"/>
          <cell r="J77"/>
          <cell r="K77"/>
        </row>
        <row r="78">
          <cell r="B78" t="str">
            <v>TXMJ9</v>
          </cell>
          <cell r="C78">
            <v>0.94989994</v>
          </cell>
          <cell r="D78">
            <v>0.94829218000000004</v>
          </cell>
          <cell r="E78">
            <v>0.94950031000000001</v>
          </cell>
          <cell r="F78">
            <v>0.95096939000000003</v>
          </cell>
          <cell r="G78"/>
          <cell r="H78"/>
          <cell r="I78"/>
          <cell r="J78"/>
          <cell r="K78"/>
        </row>
        <row r="79">
          <cell r="B79" t="str">
            <v>TXMD9</v>
          </cell>
          <cell r="C79">
            <v>0.87801658999999999</v>
          </cell>
          <cell r="D79">
            <v>0.87716576999999996</v>
          </cell>
          <cell r="E79">
            <v>0.87750287999999999</v>
          </cell>
          <cell r="F79">
            <v>0.88030322000000005</v>
          </cell>
          <cell r="G79"/>
          <cell r="H79"/>
          <cell r="I79"/>
          <cell r="J79"/>
          <cell r="K79"/>
        </row>
        <row r="80">
          <cell r="B80" t="str">
            <v>TXMJ0</v>
          </cell>
          <cell r="C80">
            <v>0.85002432000000006</v>
          </cell>
          <cell r="D80">
            <v>0.84956993999999997</v>
          </cell>
          <cell r="E80">
            <v>0.85029933000000002</v>
          </cell>
          <cell r="F80">
            <v>0.84911826999999995</v>
          </cell>
          <cell r="G80"/>
          <cell r="H80"/>
          <cell r="I80"/>
          <cell r="J80"/>
          <cell r="K80"/>
        </row>
        <row r="81">
          <cell r="B81"/>
          <cell r="C81"/>
          <cell r="D81"/>
          <cell r="E81"/>
          <cell r="F81"/>
          <cell r="G81"/>
          <cell r="H81"/>
          <cell r="I81"/>
          <cell r="J81"/>
          <cell r="K81"/>
        </row>
        <row r="82">
          <cell r="B82" t="str">
            <v>Bonos Soberanos CER - TAMAR</v>
          </cell>
          <cell r="C82"/>
          <cell r="D82"/>
          <cell r="E82"/>
          <cell r="F82"/>
          <cell r="G82"/>
          <cell r="H82"/>
          <cell r="I82"/>
          <cell r="J82"/>
          <cell r="K82"/>
        </row>
        <row r="83">
          <cell r="B83"/>
          <cell r="C83"/>
          <cell r="D83"/>
          <cell r="E83"/>
          <cell r="F83"/>
          <cell r="G83"/>
          <cell r="H83"/>
          <cell r="I83"/>
          <cell r="J83"/>
          <cell r="K83"/>
        </row>
        <row r="84">
          <cell r="B84" t="str">
            <v>TZXO6</v>
          </cell>
          <cell r="C84">
            <v>1.7777530500000001</v>
          </cell>
          <cell r="D84">
            <v>1.7785936099999999</v>
          </cell>
          <cell r="E84">
            <v>1.7797234200000001</v>
          </cell>
          <cell r="F84">
            <v>1.7806</v>
          </cell>
          <cell r="G84"/>
          <cell r="H84"/>
          <cell r="I84"/>
          <cell r="J84"/>
          <cell r="K84"/>
        </row>
        <row r="85">
          <cell r="B85" t="str">
            <v>TX26</v>
          </cell>
          <cell r="C85">
            <v>7.6221631800000003</v>
          </cell>
          <cell r="D85">
            <v>7.6262557800000002</v>
          </cell>
          <cell r="E85">
            <v>7.6295093999999999</v>
          </cell>
          <cell r="F85">
            <v>7.6340003999999997</v>
          </cell>
          <cell r="G85"/>
          <cell r="H85"/>
          <cell r="I85"/>
          <cell r="J85"/>
          <cell r="K85"/>
        </row>
        <row r="86">
          <cell r="B86" t="str">
            <v>X30N6</v>
          </cell>
          <cell r="C86">
            <v>1.29113915</v>
          </cell>
          <cell r="D86">
            <v>1.2923122899999999</v>
          </cell>
          <cell r="E86">
            <v>1.2918069299999999</v>
          </cell>
          <cell r="F86">
            <v>1.2923029800000001</v>
          </cell>
          <cell r="G86"/>
          <cell r="H86"/>
          <cell r="I86"/>
          <cell r="J86"/>
          <cell r="K86"/>
        </row>
        <row r="87">
          <cell r="B87" t="str">
            <v>TZXD6</v>
          </cell>
          <cell r="C87">
            <v>3.1346117200000001</v>
          </cell>
          <cell r="D87">
            <v>3.1357191900000001</v>
          </cell>
          <cell r="E87">
            <v>3.1367699999999998</v>
          </cell>
          <cell r="F87">
            <v>3.1433705500000002</v>
          </cell>
          <cell r="G87"/>
          <cell r="H87"/>
          <cell r="I87"/>
          <cell r="J87"/>
          <cell r="K87"/>
        </row>
        <row r="88">
          <cell r="B88" t="str">
            <v>X29E7</v>
          </cell>
          <cell r="C88">
            <v>1.0405007399999999</v>
          </cell>
          <cell r="D88">
            <v>1.04099834</v>
          </cell>
          <cell r="E88">
            <v>1.0413750100000001</v>
          </cell>
          <cell r="F88">
            <v>1.0417772199999999</v>
          </cell>
          <cell r="G88"/>
          <cell r="H88"/>
          <cell r="I88"/>
          <cell r="J88"/>
          <cell r="K88"/>
        </row>
        <row r="89">
          <cell r="B89" t="str">
            <v>TZXM7</v>
          </cell>
          <cell r="C89">
            <v>2.3302291899999998</v>
          </cell>
          <cell r="D89">
            <v>2.3329388299999998</v>
          </cell>
          <cell r="E89">
            <v>2.3375575</v>
          </cell>
          <cell r="F89">
            <v>2.3320821</v>
          </cell>
          <cell r="G89"/>
          <cell r="H89"/>
          <cell r="I89"/>
          <cell r="J89"/>
          <cell r="K89"/>
        </row>
        <row r="90">
          <cell r="B90" t="str">
            <v>TZXA7</v>
          </cell>
          <cell r="C90">
            <v>1.28512341</v>
          </cell>
          <cell r="D90">
            <v>1.2864988100000001</v>
          </cell>
          <cell r="E90">
            <v>1.28851677</v>
          </cell>
          <cell r="F90">
            <v>1.2934913299999999</v>
          </cell>
          <cell r="G90"/>
          <cell r="H90"/>
          <cell r="I90"/>
          <cell r="J90"/>
          <cell r="K90"/>
        </row>
        <row r="91">
          <cell r="B91" t="str">
            <v>TZXY7</v>
          </cell>
          <cell r="C91">
            <v>1.2688915700000001</v>
          </cell>
          <cell r="D91">
            <v>1.2639168700000001</v>
          </cell>
          <cell r="E91">
            <v>1.26848428</v>
          </cell>
          <cell r="F91">
            <v>1.2729492200000001</v>
          </cell>
          <cell r="G91"/>
          <cell r="H91"/>
          <cell r="I91"/>
          <cell r="J91"/>
          <cell r="K91"/>
        </row>
        <row r="92">
          <cell r="B92" t="str">
            <v>TZX27</v>
          </cell>
          <cell r="C92">
            <v>4.14267699</v>
          </cell>
          <cell r="D92">
            <v>4.1390132599999996</v>
          </cell>
          <cell r="E92">
            <v>4.1420291300000001</v>
          </cell>
          <cell r="F92">
            <v>4.1595105200000004</v>
          </cell>
          <cell r="G92"/>
          <cell r="H92"/>
          <cell r="I92"/>
          <cell r="J92"/>
          <cell r="K92"/>
        </row>
        <row r="93">
          <cell r="B93" t="str">
            <v>TZXS7</v>
          </cell>
          <cell r="C93">
            <v>1.12695258</v>
          </cell>
          <cell r="D93">
            <v>1.1239069399999999</v>
          </cell>
          <cell r="E93">
            <v>1.1248853000000001</v>
          </cell>
          <cell r="F93">
            <v>1.1271407</v>
          </cell>
          <cell r="G93"/>
          <cell r="H93"/>
          <cell r="I93"/>
          <cell r="J93"/>
          <cell r="K93"/>
        </row>
        <row r="94">
          <cell r="B94" t="str">
            <v>TZXO7</v>
          </cell>
          <cell r="C94">
            <v>1.01934681</v>
          </cell>
          <cell r="D94">
            <v>1.01401893</v>
          </cell>
          <cell r="E94">
            <v>1.0063875200000001</v>
          </cell>
          <cell r="F94">
            <v>1.0201357600000001</v>
          </cell>
          <cell r="G94"/>
          <cell r="H94"/>
          <cell r="I94"/>
          <cell r="J94"/>
          <cell r="K94"/>
        </row>
        <row r="95">
          <cell r="B95" t="str">
            <v>TZXD7</v>
          </cell>
          <cell r="C95">
            <v>2.91224112</v>
          </cell>
          <cell r="D95">
            <v>2.9041402000000001</v>
          </cell>
          <cell r="E95">
            <v>2.9034247400000002</v>
          </cell>
          <cell r="F95">
            <v>2.9011477700000001</v>
          </cell>
          <cell r="G95"/>
          <cell r="H95"/>
          <cell r="I95"/>
          <cell r="J95"/>
          <cell r="K95"/>
        </row>
        <row r="96">
          <cell r="B96" t="str">
            <v>TZXM8</v>
          </cell>
          <cell r="C96">
            <v>1.04337882</v>
          </cell>
          <cell r="D96">
            <v>1.0442</v>
          </cell>
          <cell r="E96">
            <v>1.0469999800000001</v>
          </cell>
          <cell r="F96">
            <v>1.0485002400000001</v>
          </cell>
          <cell r="G96"/>
          <cell r="H96"/>
          <cell r="I96"/>
          <cell r="J96"/>
          <cell r="K96"/>
        </row>
        <row r="97">
          <cell r="B97" t="str">
            <v>TZX28</v>
          </cell>
          <cell r="C97">
            <v>3.6350963200000002</v>
          </cell>
          <cell r="D97">
            <v>3.6324624999999999</v>
          </cell>
          <cell r="E97">
            <v>3.6380211199999999</v>
          </cell>
          <cell r="F97">
            <v>3.6450382600000002</v>
          </cell>
          <cell r="G97"/>
          <cell r="H97"/>
          <cell r="I97"/>
          <cell r="J97"/>
          <cell r="K97"/>
        </row>
        <row r="98">
          <cell r="B98" t="str">
            <v>TZXS8</v>
          </cell>
          <cell r="C98">
            <v>0.97929787000000001</v>
          </cell>
          <cell r="D98">
            <v>0.97918727000000005</v>
          </cell>
          <cell r="E98">
            <v>0.98100030000000005</v>
          </cell>
          <cell r="F98">
            <v>0.98272364000000001</v>
          </cell>
          <cell r="G98"/>
          <cell r="H98"/>
          <cell r="I98"/>
          <cell r="J98"/>
          <cell r="K98"/>
        </row>
        <row r="99">
          <cell r="B99" t="str">
            <v>TZXD8</v>
          </cell>
          <cell r="C99">
            <v>0.87876149999999997</v>
          </cell>
          <cell r="D99">
            <v>0.87932871999999995</v>
          </cell>
          <cell r="E99">
            <v>0.87400120999999997</v>
          </cell>
          <cell r="F99">
            <v>0.87730386999999999</v>
          </cell>
          <cell r="G99"/>
          <cell r="H99"/>
          <cell r="I99"/>
          <cell r="J99"/>
          <cell r="K99"/>
        </row>
        <row r="100">
          <cell r="B100" t="str">
            <v>TZXM9</v>
          </cell>
          <cell r="C100">
            <v>0.93089710000000003</v>
          </cell>
          <cell r="D100">
            <v>0.92884710000000004</v>
          </cell>
          <cell r="E100">
            <v>0.92782750999999997</v>
          </cell>
          <cell r="F100">
            <v>0.92485930000000005</v>
          </cell>
          <cell r="G100"/>
          <cell r="H100"/>
          <cell r="I100"/>
          <cell r="J100"/>
          <cell r="K100"/>
        </row>
        <row r="101">
          <cell r="B101" t="str">
            <v>DICP</v>
          </cell>
          <cell r="C101">
            <v>493.18559642999998</v>
          </cell>
          <cell r="D101">
            <v>491.95475653</v>
          </cell>
          <cell r="E101">
            <v>491.37231330999998</v>
          </cell>
          <cell r="F101">
            <v>490.31639502000002</v>
          </cell>
          <cell r="G101"/>
          <cell r="H101"/>
          <cell r="I101"/>
          <cell r="J101"/>
          <cell r="K101"/>
        </row>
        <row r="102">
          <cell r="B102"/>
          <cell r="C102"/>
          <cell r="D102"/>
          <cell r="E102"/>
          <cell r="F102"/>
          <cell r="G102"/>
          <cell r="H102"/>
          <cell r="I102"/>
          <cell r="J102"/>
          <cell r="K102"/>
        </row>
        <row r="103">
          <cell r="B103" t="str">
            <v>Bonos Soberanos Dólar Linked</v>
          </cell>
          <cell r="C103"/>
          <cell r="D103"/>
          <cell r="E103"/>
          <cell r="F103"/>
          <cell r="G103"/>
          <cell r="H103"/>
          <cell r="I103"/>
          <cell r="J103"/>
          <cell r="K103"/>
        </row>
        <row r="104"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</row>
        <row r="105">
          <cell r="B105" t="str">
            <v>D30O6</v>
          </cell>
          <cell r="C105">
            <v>1537.9035916400001</v>
          </cell>
          <cell r="D105">
            <v>1536.20124188</v>
          </cell>
          <cell r="E105">
            <v>1536.5143014099999</v>
          </cell>
          <cell r="F105">
            <v>1539.5930000000001</v>
          </cell>
          <cell r="G105"/>
          <cell r="H105"/>
          <cell r="I105"/>
          <cell r="J105"/>
          <cell r="K105"/>
        </row>
        <row r="106">
          <cell r="B106" t="str">
            <v>D30N6</v>
          </cell>
          <cell r="C106">
            <v>1533.42151889</v>
          </cell>
          <cell r="D106">
            <v>1531.37513562</v>
          </cell>
          <cell r="E106">
            <v>1529.3363454800001</v>
          </cell>
          <cell r="F106">
            <v>1533.69205964</v>
          </cell>
          <cell r="G106"/>
          <cell r="H106"/>
          <cell r="I106"/>
          <cell r="J106"/>
          <cell r="K106"/>
        </row>
        <row r="107">
          <cell r="B107" t="str">
            <v>D15E7</v>
          </cell>
          <cell r="C107">
            <v>1531.9980732900001</v>
          </cell>
          <cell r="D107">
            <v>1537.92161566</v>
          </cell>
          <cell r="E107">
            <v>1534</v>
          </cell>
          <cell r="F107">
            <v>1526.9610130999999</v>
          </cell>
          <cell r="G107"/>
          <cell r="H107"/>
          <cell r="I107"/>
          <cell r="J107"/>
          <cell r="K107"/>
        </row>
        <row r="108"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</row>
        <row r="109">
          <cell r="B109" t="str">
            <v>Bonos Soberanos Dólar Linked - TAMAR</v>
          </cell>
          <cell r="C109"/>
          <cell r="D109"/>
          <cell r="E109"/>
          <cell r="F109"/>
          <cell r="G109"/>
          <cell r="H109"/>
          <cell r="I109"/>
          <cell r="J109"/>
          <cell r="K109"/>
        </row>
        <row r="110"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</row>
        <row r="111">
          <cell r="B111" t="str">
            <v>TMVE8</v>
          </cell>
          <cell r="C111">
            <v>1455.1724502300001</v>
          </cell>
          <cell r="D111">
            <v>1457.59771</v>
          </cell>
          <cell r="E111">
            <v>1461.90051556</v>
          </cell>
          <cell r="F111">
            <v>1463.94988558</v>
          </cell>
          <cell r="G111"/>
          <cell r="H111"/>
          <cell r="I111"/>
          <cell r="J111"/>
          <cell r="K111"/>
        </row>
        <row r="112"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</row>
        <row r="113">
          <cell r="B113" t="str">
            <v>Títulos Provinciales CER</v>
          </cell>
          <cell r="C113"/>
          <cell r="D113"/>
          <cell r="E113"/>
          <cell r="F113"/>
          <cell r="G113"/>
          <cell r="H113"/>
          <cell r="I113"/>
          <cell r="J113"/>
          <cell r="K113"/>
        </row>
        <row r="114"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</row>
        <row r="115">
          <cell r="B115" t="str">
            <v>COY27</v>
          </cell>
          <cell r="C115">
            <v>2.3789364599999998</v>
          </cell>
          <cell r="D115">
            <v>2.3796553899999999</v>
          </cell>
          <cell r="E115">
            <v>2.3803140599999999</v>
          </cell>
          <cell r="F115">
            <v>2.39667275</v>
          </cell>
          <cell r="G115"/>
          <cell r="H115"/>
          <cell r="I115"/>
          <cell r="J115"/>
          <cell r="K115"/>
        </row>
        <row r="116"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</row>
        <row r="117">
          <cell r="B117" t="str">
            <v>Títulos Provinciales Tamar</v>
          </cell>
          <cell r="C117"/>
          <cell r="D117"/>
          <cell r="E117"/>
          <cell r="F117"/>
          <cell r="G117"/>
          <cell r="H117"/>
          <cell r="I117"/>
          <cell r="J117"/>
          <cell r="K117"/>
        </row>
        <row r="118"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</row>
        <row r="119">
          <cell r="B119" t="str">
            <v>CO2D7</v>
          </cell>
          <cell r="C119">
            <v>1.02673313</v>
          </cell>
          <cell r="D119">
            <v>1.0287841799999999</v>
          </cell>
          <cell r="E119">
            <v>1.0299672</v>
          </cell>
          <cell r="F119">
            <v>1.02647008</v>
          </cell>
          <cell r="G119"/>
          <cell r="H119"/>
          <cell r="I119"/>
          <cell r="J119"/>
          <cell r="K119"/>
        </row>
        <row r="120"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</row>
        <row r="121">
          <cell r="B121" t="str">
            <v>Títulos Provinciales Hard USD</v>
          </cell>
          <cell r="C121"/>
          <cell r="D121"/>
          <cell r="E121"/>
          <cell r="F121"/>
          <cell r="G121"/>
          <cell r="H121"/>
          <cell r="I121"/>
          <cell r="J121"/>
          <cell r="K121"/>
        </row>
        <row r="122"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 t="str">
            <v>SJO5D</v>
          </cell>
          <cell r="C123">
            <v>1.0375000000000001</v>
          </cell>
          <cell r="D123">
            <v>1.03</v>
          </cell>
          <cell r="E123">
            <v>1.0200526000000001</v>
          </cell>
          <cell r="F123">
            <v>1.016</v>
          </cell>
          <cell r="G123"/>
          <cell r="H123"/>
          <cell r="I123"/>
          <cell r="J123"/>
          <cell r="K123"/>
        </row>
        <row r="124"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</row>
        <row r="125">
          <cell r="B125" t="str">
            <v>Títulos Provinciales Hard USD - Contra $</v>
          </cell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 t="str">
            <v>SJO35</v>
          </cell>
          <cell r="C127">
            <v>1652.7835508400001</v>
          </cell>
          <cell r="D127">
            <v>1611.5791833400001</v>
          </cell>
          <cell r="E127">
            <v>1601.8648432299999</v>
          </cell>
          <cell r="F127">
            <v>1591.03908043</v>
          </cell>
          <cell r="G127"/>
          <cell r="H127"/>
          <cell r="I127"/>
          <cell r="J127"/>
          <cell r="K127"/>
        </row>
        <row r="128"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</row>
        <row r="129">
          <cell r="B129" t="str">
            <v>Obligaciones Negociables Badlar</v>
          </cell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 t="str">
            <v>CH9BO</v>
          </cell>
          <cell r="C131">
            <v>1.0000000000000001E-9</v>
          </cell>
          <cell r="D131">
            <v>1.0000000000000001E-9</v>
          </cell>
          <cell r="E131">
            <v>1.0000000000000001E-9</v>
          </cell>
          <cell r="F131">
            <v>1.0000000000000001E-9</v>
          </cell>
          <cell r="G131"/>
          <cell r="H131"/>
          <cell r="I131"/>
          <cell r="J131"/>
          <cell r="K131"/>
        </row>
        <row r="132">
          <cell r="B132" t="str">
            <v>DRSEO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/>
          <cell r="H132"/>
          <cell r="I132"/>
          <cell r="J132"/>
          <cell r="K132"/>
        </row>
        <row r="133">
          <cell r="B133" t="str">
            <v>DRDCO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/>
          <cell r="H133"/>
          <cell r="I133"/>
          <cell r="J133"/>
          <cell r="K133"/>
        </row>
        <row r="134"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</row>
        <row r="135">
          <cell r="B135" t="str">
            <v>Obligaciones Negociables Tamar</v>
          </cell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/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 t="str">
            <v>IP11P</v>
          </cell>
          <cell r="C137">
            <v>0.72734427999999995</v>
          </cell>
          <cell r="D137">
            <v>0.34939187999999999</v>
          </cell>
          <cell r="E137">
            <v>0.34917686999999997</v>
          </cell>
          <cell r="F137">
            <v>0.34994101</v>
          </cell>
          <cell r="G137"/>
          <cell r="H137"/>
          <cell r="I137"/>
          <cell r="J137"/>
          <cell r="K137"/>
        </row>
        <row r="138">
          <cell r="B138" t="str">
            <v>LMS1P</v>
          </cell>
          <cell r="C138">
            <v>0.52808288999999997</v>
          </cell>
          <cell r="D138">
            <v>0.52834095000000003</v>
          </cell>
          <cell r="E138">
            <v>0.52821971999999995</v>
          </cell>
          <cell r="F138">
            <v>0.52914030000000001</v>
          </cell>
          <cell r="G138"/>
          <cell r="H138"/>
          <cell r="I138"/>
          <cell r="J138"/>
          <cell r="K138"/>
        </row>
        <row r="139">
          <cell r="B139" t="str">
            <v>PES1L</v>
          </cell>
          <cell r="C139">
            <v>0.76163247999999995</v>
          </cell>
          <cell r="D139">
            <v>0.76195605</v>
          </cell>
          <cell r="E139">
            <v>0.76153658000000002</v>
          </cell>
          <cell r="F139">
            <v>0.76335010999999997</v>
          </cell>
          <cell r="G139"/>
          <cell r="H139"/>
          <cell r="I139"/>
          <cell r="J139"/>
          <cell r="K139"/>
        </row>
        <row r="140">
          <cell r="B140" t="str">
            <v>FSS1L</v>
          </cell>
          <cell r="C140">
            <v>0.79914023999999995</v>
          </cell>
          <cell r="D140">
            <v>0.79947509999999999</v>
          </cell>
          <cell r="E140">
            <v>0.79905917999999998</v>
          </cell>
          <cell r="F140">
            <v>0.80104249000000005</v>
          </cell>
          <cell r="G140"/>
          <cell r="H140"/>
          <cell r="I140"/>
          <cell r="J140"/>
          <cell r="K140"/>
        </row>
        <row r="141">
          <cell r="B141" t="str">
            <v>DJS1L</v>
          </cell>
          <cell r="C141">
            <v>0.77606728000000003</v>
          </cell>
          <cell r="D141">
            <v>0.77632835</v>
          </cell>
          <cell r="E141">
            <v>0.77576641000000002</v>
          </cell>
          <cell r="F141">
            <v>0.77843430000000002</v>
          </cell>
          <cell r="G141"/>
          <cell r="H141"/>
          <cell r="I141"/>
          <cell r="J141"/>
          <cell r="K141"/>
        </row>
        <row r="142">
          <cell r="B142" t="str">
            <v>CZ11L</v>
          </cell>
          <cell r="C142">
            <v>1.0592062499999999</v>
          </cell>
          <cell r="D142">
            <v>1.0595789799999999</v>
          </cell>
          <cell r="E142">
            <v>1.05884223</v>
          </cell>
          <cell r="F142">
            <v>1.0623022900000001</v>
          </cell>
          <cell r="G142"/>
          <cell r="H142"/>
          <cell r="I142"/>
          <cell r="J142"/>
          <cell r="K142"/>
        </row>
        <row r="143">
          <cell r="B143" t="str">
            <v>AKS1L</v>
          </cell>
          <cell r="C143">
            <v>1.0361206999999999</v>
          </cell>
          <cell r="D143">
            <v>1.0363934699999999</v>
          </cell>
          <cell r="E143">
            <v>1.0353269199999999</v>
          </cell>
          <cell r="F143">
            <v>1.03965698</v>
          </cell>
          <cell r="G143"/>
          <cell r="H143"/>
          <cell r="I143"/>
          <cell r="J143"/>
          <cell r="K143"/>
        </row>
        <row r="144">
          <cell r="B144" t="str">
            <v>SQS1L</v>
          </cell>
          <cell r="C144">
            <v>1.04416069</v>
          </cell>
          <cell r="D144">
            <v>1.04439043</v>
          </cell>
          <cell r="E144">
            <v>1.0439745</v>
          </cell>
          <cell r="F144">
            <v>1.0493104900000001</v>
          </cell>
          <cell r="G144"/>
          <cell r="H144"/>
          <cell r="I144"/>
          <cell r="J144"/>
          <cell r="K144"/>
        </row>
        <row r="145">
          <cell r="B145" t="str">
            <v>CHS1L</v>
          </cell>
          <cell r="C145">
            <v>0.98453305999999996</v>
          </cell>
          <cell r="D145">
            <v>0.98466728000000003</v>
          </cell>
          <cell r="E145">
            <v>0.98442887999999995</v>
          </cell>
          <cell r="F145">
            <v>0.99078118000000004</v>
          </cell>
          <cell r="G145"/>
          <cell r="H145"/>
          <cell r="I145"/>
          <cell r="J145"/>
          <cell r="K145"/>
        </row>
        <row r="146">
          <cell r="B146" t="str">
            <v>GES2L</v>
          </cell>
          <cell r="C146">
            <v>1.0169449500000001</v>
          </cell>
          <cell r="D146">
            <v>1.0170590900000001</v>
          </cell>
          <cell r="E146">
            <v>1.0173399299999999</v>
          </cell>
          <cell r="F146">
            <v>1.0247239800000001</v>
          </cell>
          <cell r="G146"/>
          <cell r="H146"/>
          <cell r="I146"/>
          <cell r="J146"/>
          <cell r="K146"/>
        </row>
        <row r="147">
          <cell r="B147" t="str">
            <v>AKS2L</v>
          </cell>
          <cell r="C147">
            <v>1.02488143</v>
          </cell>
          <cell r="D147">
            <v>1.02499826</v>
          </cell>
          <cell r="E147">
            <v>1.0254475999999999</v>
          </cell>
          <cell r="F147">
            <v>1.0331048</v>
          </cell>
          <cell r="G147"/>
          <cell r="H147"/>
          <cell r="I147"/>
          <cell r="J147"/>
          <cell r="K147"/>
        </row>
        <row r="148">
          <cell r="B148" t="str">
            <v>MQS1L</v>
          </cell>
          <cell r="C148"/>
          <cell r="D148"/>
          <cell r="E148"/>
          <cell r="F148">
            <v>0.99931707999999997</v>
          </cell>
          <cell r="G148"/>
          <cell r="H148"/>
          <cell r="I148"/>
          <cell r="J148"/>
          <cell r="K148"/>
        </row>
        <row r="149">
          <cell r="B149" t="str">
            <v>SXC5O</v>
          </cell>
          <cell r="C149">
            <v>1.05068574</v>
          </cell>
          <cell r="D149">
            <v>1.0514477799999999</v>
          </cell>
          <cell r="E149">
            <v>1.05217418</v>
          </cell>
          <cell r="F149">
            <v>1.0529264700000001</v>
          </cell>
          <cell r="G149"/>
          <cell r="H149"/>
          <cell r="I149"/>
          <cell r="J149"/>
          <cell r="K149"/>
        </row>
        <row r="150">
          <cell r="B150" t="str">
            <v>BF38O</v>
          </cell>
          <cell r="C150">
            <v>1.0517425600000001</v>
          </cell>
          <cell r="D150">
            <v>1.0525048800000001</v>
          </cell>
          <cell r="E150">
            <v>1.0532307400000001</v>
          </cell>
          <cell r="F150">
            <v>1.05398367</v>
          </cell>
          <cell r="G150"/>
          <cell r="H150"/>
          <cell r="I150"/>
          <cell r="J150"/>
          <cell r="K150"/>
        </row>
        <row r="151">
          <cell r="B151" t="str">
            <v>RC3CO</v>
          </cell>
          <cell r="C151">
            <v>1.0315040799999999</v>
          </cell>
          <cell r="D151">
            <v>1.03226518</v>
          </cell>
          <cell r="E151">
            <v>1.0329368999999999</v>
          </cell>
          <cell r="F151">
            <v>1.03364089</v>
          </cell>
          <cell r="G151"/>
          <cell r="H151"/>
          <cell r="I151"/>
          <cell r="J151"/>
          <cell r="K151"/>
        </row>
        <row r="152">
          <cell r="B152" t="str">
            <v>SXC3O</v>
          </cell>
          <cell r="C152">
            <v>1.0505879300000001</v>
          </cell>
          <cell r="D152">
            <v>1.05137809</v>
          </cell>
          <cell r="E152">
            <v>1.05188383</v>
          </cell>
          <cell r="F152">
            <v>1.0523951600000001</v>
          </cell>
          <cell r="G152"/>
          <cell r="H152"/>
          <cell r="I152"/>
          <cell r="J152"/>
          <cell r="K152"/>
        </row>
        <row r="153">
          <cell r="B153" t="str">
            <v>RC4CO</v>
          </cell>
          <cell r="C153">
            <v>1.04862118</v>
          </cell>
          <cell r="D153">
            <v>1.04941146</v>
          </cell>
          <cell r="E153">
            <v>1.04990965</v>
          </cell>
          <cell r="F153">
            <v>1.0504112699999999</v>
          </cell>
          <cell r="G153"/>
          <cell r="H153"/>
          <cell r="I153"/>
          <cell r="J153"/>
          <cell r="K153"/>
        </row>
        <row r="154">
          <cell r="B154" t="str">
            <v>BF41O</v>
          </cell>
          <cell r="C154">
            <v>1.0412963900000001</v>
          </cell>
          <cell r="D154">
            <v>1.0420811800000001</v>
          </cell>
          <cell r="E154">
            <v>1.04255466</v>
          </cell>
          <cell r="F154">
            <v>1.04302619</v>
          </cell>
          <cell r="G154"/>
          <cell r="H154"/>
          <cell r="I154"/>
          <cell r="J154"/>
          <cell r="K154"/>
        </row>
        <row r="155">
          <cell r="B155" t="str">
            <v>ICC5O</v>
          </cell>
          <cell r="C155">
            <v>1.0358555199999999</v>
          </cell>
          <cell r="D155">
            <v>1.0366403900000001</v>
          </cell>
          <cell r="E155">
            <v>1.03708826</v>
          </cell>
          <cell r="F155">
            <v>1.03752731</v>
          </cell>
          <cell r="G155"/>
          <cell r="H155"/>
          <cell r="I155"/>
          <cell r="J155"/>
          <cell r="K155"/>
        </row>
        <row r="156">
          <cell r="B156" t="str">
            <v>BNCXO</v>
          </cell>
          <cell r="C156">
            <v>1.0679291900000001</v>
          </cell>
          <cell r="D156">
            <v>1.0003892999999999</v>
          </cell>
          <cell r="E156">
            <v>1.0006841200000001</v>
          </cell>
          <cell r="F156">
            <v>1.0009089600000001</v>
          </cell>
          <cell r="G156"/>
          <cell r="H156"/>
          <cell r="I156"/>
          <cell r="J156"/>
          <cell r="K156"/>
        </row>
        <row r="157">
          <cell r="B157" t="str">
            <v>NZC1O</v>
          </cell>
          <cell r="C157">
            <v>1.0643764200000001</v>
          </cell>
          <cell r="D157">
            <v>1.0651969400000001</v>
          </cell>
          <cell r="E157">
            <v>1.06550758</v>
          </cell>
          <cell r="F157">
            <v>1.0657284199999999</v>
          </cell>
          <cell r="G157"/>
          <cell r="H157"/>
          <cell r="I157"/>
          <cell r="J157"/>
          <cell r="K157"/>
        </row>
        <row r="158">
          <cell r="B158" t="str">
            <v>SXC6O</v>
          </cell>
          <cell r="C158">
            <v>1.05037622</v>
          </cell>
          <cell r="D158">
            <v>1.0511872600000001</v>
          </cell>
          <cell r="E158">
            <v>1.05147656</v>
          </cell>
          <cell r="F158">
            <v>1.0516648799999999</v>
          </cell>
          <cell r="G158"/>
          <cell r="H158"/>
          <cell r="I158"/>
          <cell r="J158"/>
          <cell r="K158"/>
        </row>
        <row r="159">
          <cell r="B159" t="str">
            <v>BF46O</v>
          </cell>
          <cell r="C159">
            <v>1.0496585</v>
          </cell>
          <cell r="D159">
            <v>1.05046895</v>
          </cell>
          <cell r="E159">
            <v>1.05075187</v>
          </cell>
          <cell r="F159">
            <v>1.05092889</v>
          </cell>
          <cell r="G159"/>
          <cell r="H159"/>
          <cell r="I159"/>
          <cell r="J159"/>
          <cell r="K159"/>
        </row>
        <row r="160">
          <cell r="B160" t="str">
            <v>ICC7O</v>
          </cell>
          <cell r="C160">
            <v>1.0284436100000001</v>
          </cell>
          <cell r="D160">
            <v>1.02924872</v>
          </cell>
          <cell r="E160">
            <v>1.0294748199999999</v>
          </cell>
          <cell r="F160">
            <v>1.0295453000000001</v>
          </cell>
          <cell r="G160"/>
          <cell r="H160"/>
          <cell r="I160"/>
          <cell r="J160"/>
          <cell r="K160"/>
        </row>
        <row r="161">
          <cell r="B161" t="str">
            <v>BNCYO</v>
          </cell>
          <cell r="C161">
            <v>1.0238733799999999</v>
          </cell>
          <cell r="D161">
            <v>1.02467671</v>
          </cell>
          <cell r="E161">
            <v>1.0248933499999999</v>
          </cell>
          <cell r="F161">
            <v>1.0249424600000001</v>
          </cell>
          <cell r="G161"/>
          <cell r="H161"/>
          <cell r="I161"/>
          <cell r="J161"/>
          <cell r="K161"/>
        </row>
        <row r="162">
          <cell r="B162" t="str">
            <v>BYY1O</v>
          </cell>
          <cell r="C162">
            <v>1.0375737599999999</v>
          </cell>
          <cell r="D162">
            <v>1.03838093</v>
          </cell>
          <cell r="E162">
            <v>1.03862692</v>
          </cell>
          <cell r="F162">
            <v>1.0387363999999999</v>
          </cell>
          <cell r="G162"/>
          <cell r="H162"/>
          <cell r="I162"/>
          <cell r="J162"/>
          <cell r="K162"/>
        </row>
        <row r="163">
          <cell r="B163" t="str">
            <v>BF47O</v>
          </cell>
          <cell r="C163">
            <v>1.03387308</v>
          </cell>
          <cell r="D163">
            <v>1.0346809699999999</v>
          </cell>
          <cell r="E163">
            <v>1.0349191799999999</v>
          </cell>
          <cell r="F163">
            <v>1.0350151000000001</v>
          </cell>
          <cell r="G163"/>
          <cell r="H163"/>
          <cell r="I163"/>
          <cell r="J163"/>
          <cell r="K163"/>
        </row>
        <row r="164">
          <cell r="B164" t="str">
            <v>NZC4O</v>
          </cell>
          <cell r="C164">
            <v>1.0079561699999999</v>
          </cell>
          <cell r="D164">
            <v>1.00875304</v>
          </cell>
          <cell r="E164">
            <v>1.0089456299999999</v>
          </cell>
          <cell r="F164">
            <v>1.00892662</v>
          </cell>
          <cell r="G164"/>
          <cell r="H164"/>
          <cell r="I164"/>
          <cell r="J164"/>
          <cell r="K164"/>
        </row>
        <row r="165">
          <cell r="B165" t="str">
            <v>SXC8O</v>
          </cell>
          <cell r="C165">
            <v>1.0535397099999999</v>
          </cell>
          <cell r="D165">
            <v>1.05438125</v>
          </cell>
          <cell r="E165">
            <v>1.05462148</v>
          </cell>
          <cell r="F165">
            <v>1.0545544899999999</v>
          </cell>
          <cell r="G165"/>
          <cell r="H165"/>
          <cell r="I165"/>
          <cell r="J165"/>
          <cell r="K165"/>
        </row>
        <row r="166">
          <cell r="B166" t="str">
            <v>PWC1O</v>
          </cell>
          <cell r="C166">
            <v>1.0317639999999999</v>
          </cell>
          <cell r="D166">
            <v>1.0325948599999999</v>
          </cell>
          <cell r="E166">
            <v>1.0326</v>
          </cell>
          <cell r="F166">
            <v>1.0321987399999999</v>
          </cell>
          <cell r="G166"/>
          <cell r="H166"/>
          <cell r="I166"/>
          <cell r="J166"/>
          <cell r="K166"/>
        </row>
        <row r="167">
          <cell r="B167" t="str">
            <v>T661O</v>
          </cell>
          <cell r="C167">
            <v>1.04660036</v>
          </cell>
          <cell r="D167">
            <v>1.04739117</v>
          </cell>
          <cell r="E167">
            <v>1.0480514700000001</v>
          </cell>
          <cell r="F167">
            <v>1.0484869699999999</v>
          </cell>
          <cell r="G167"/>
          <cell r="H167"/>
          <cell r="I167"/>
          <cell r="J167"/>
          <cell r="K167"/>
        </row>
        <row r="168">
          <cell r="B168" t="str">
            <v>PS35O</v>
          </cell>
          <cell r="C168">
            <v>1.03064559</v>
          </cell>
          <cell r="D168">
            <v>1.03144086</v>
          </cell>
          <cell r="E168">
            <v>1.03201907</v>
          </cell>
          <cell r="F168">
            <v>1.0322088</v>
          </cell>
          <cell r="G168"/>
          <cell r="H168"/>
          <cell r="I168"/>
          <cell r="J168"/>
          <cell r="K168"/>
        </row>
        <row r="169">
          <cell r="B169" t="str">
            <v>T671O</v>
          </cell>
          <cell r="C169">
            <v>1.0563253100000001</v>
          </cell>
          <cell r="D169">
            <v>1.0572573999999999</v>
          </cell>
          <cell r="E169">
            <v>1.05722213</v>
          </cell>
          <cell r="F169">
            <v>1.05550557</v>
          </cell>
          <cell r="G169"/>
          <cell r="H169"/>
          <cell r="I169"/>
          <cell r="J169"/>
          <cell r="K169"/>
        </row>
        <row r="170">
          <cell r="B170" t="str">
            <v>PVC6O</v>
          </cell>
          <cell r="C170">
            <v>1.0392226200000001</v>
          </cell>
          <cell r="D170">
            <v>1.0401554900000001</v>
          </cell>
          <cell r="E170">
            <v>1.0384</v>
          </cell>
          <cell r="F170">
            <v>1.03816095</v>
          </cell>
          <cell r="G170"/>
          <cell r="H170"/>
          <cell r="I170"/>
          <cell r="J170"/>
          <cell r="K170"/>
        </row>
        <row r="171">
          <cell r="B171" t="str">
            <v>DHSLO</v>
          </cell>
          <cell r="C171">
            <v>1.0448320600000001</v>
          </cell>
          <cell r="D171">
            <v>1.0458094099999999</v>
          </cell>
          <cell r="E171">
            <v>1.0458115299999999</v>
          </cell>
          <cell r="F171">
            <v>1.0441107199999999</v>
          </cell>
          <cell r="G171"/>
          <cell r="H171"/>
          <cell r="I171"/>
          <cell r="J171"/>
          <cell r="K171"/>
        </row>
        <row r="172">
          <cell r="B172" t="str">
            <v>DEC3O</v>
          </cell>
          <cell r="C172">
            <v>1.02129212</v>
          </cell>
          <cell r="D172">
            <v>1.0222812299999999</v>
          </cell>
          <cell r="E172">
            <v>1.02216503</v>
          </cell>
          <cell r="F172">
            <v>1.0200080300000001</v>
          </cell>
          <cell r="G172"/>
          <cell r="H172"/>
          <cell r="I172"/>
          <cell r="J172"/>
          <cell r="K172"/>
        </row>
        <row r="173"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 t="str">
            <v>Obligaciones Negociables Tasa Fija - Tamar</v>
          </cell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/>
          <cell r="C175"/>
          <cell r="D175"/>
          <cell r="E175"/>
          <cell r="F175"/>
          <cell r="G175"/>
          <cell r="H175"/>
          <cell r="I175"/>
          <cell r="J175"/>
          <cell r="K175"/>
        </row>
        <row r="176">
          <cell r="B176" t="str">
            <v>DHSNO</v>
          </cell>
          <cell r="C176">
            <v>1.05415858</v>
          </cell>
          <cell r="D176">
            <v>1.05520072</v>
          </cell>
          <cell r="E176">
            <v>1.05506382</v>
          </cell>
          <cell r="F176">
            <v>1.05250898</v>
          </cell>
          <cell r="G176"/>
          <cell r="H176"/>
          <cell r="I176"/>
          <cell r="J176"/>
          <cell r="K176"/>
        </row>
        <row r="177">
          <cell r="B177"/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 t="str">
            <v>Obligaciones Negociables UVA</v>
          </cell>
          <cell r="C178"/>
          <cell r="D178"/>
          <cell r="E178"/>
          <cell r="F178"/>
          <cell r="G178"/>
          <cell r="H178"/>
          <cell r="I178"/>
          <cell r="J178"/>
          <cell r="K178"/>
        </row>
        <row r="179">
          <cell r="B179"/>
          <cell r="C179"/>
          <cell r="D179"/>
          <cell r="E179"/>
          <cell r="F179"/>
          <cell r="G179"/>
          <cell r="H179"/>
          <cell r="I179"/>
          <cell r="J179"/>
          <cell r="K179"/>
        </row>
        <row r="180">
          <cell r="B180" t="str">
            <v>NZC3O</v>
          </cell>
          <cell r="C180">
            <v>2191</v>
          </cell>
          <cell r="D180">
            <v>2152.1070965899999</v>
          </cell>
          <cell r="E180">
            <v>2152</v>
          </cell>
          <cell r="F180">
            <v>2165</v>
          </cell>
          <cell r="G180"/>
          <cell r="H180"/>
          <cell r="I180"/>
          <cell r="J180"/>
          <cell r="K180"/>
        </row>
        <row r="181">
          <cell r="B181" t="str">
            <v>COC5O</v>
          </cell>
          <cell r="C181">
            <v>2178.3340690300001</v>
          </cell>
          <cell r="D181">
            <v>2179.7023394900002</v>
          </cell>
          <cell r="E181">
            <v>2179.0133043400001</v>
          </cell>
          <cell r="F181">
            <v>2188.8302341600001</v>
          </cell>
          <cell r="G181"/>
          <cell r="H181"/>
          <cell r="I181"/>
          <cell r="J181"/>
          <cell r="K181"/>
        </row>
        <row r="182">
          <cell r="B182" t="str">
            <v>SNSDP</v>
          </cell>
          <cell r="C182">
            <v>737.02083274999995</v>
          </cell>
          <cell r="D182">
            <v>737.04948377000005</v>
          </cell>
          <cell r="E182">
            <v>737.07436842000004</v>
          </cell>
          <cell r="F182">
            <v>737.24611227000003</v>
          </cell>
          <cell r="G182"/>
          <cell r="H182"/>
          <cell r="I182"/>
          <cell r="J182"/>
          <cell r="K182"/>
        </row>
        <row r="183"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</row>
        <row r="184">
          <cell r="B184" t="str">
            <v>Obligaciones Negociables Hard USD - LA</v>
          </cell>
          <cell r="C184"/>
          <cell r="D184"/>
          <cell r="E184"/>
          <cell r="F184"/>
          <cell r="G184"/>
          <cell r="H184"/>
          <cell r="I184"/>
          <cell r="J184"/>
          <cell r="K184"/>
        </row>
        <row r="185"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</row>
        <row r="186">
          <cell r="B186" t="str">
            <v>VE2LD</v>
          </cell>
          <cell r="C186">
            <v>0.99531612999999997</v>
          </cell>
          <cell r="D186">
            <v>0.98370946999999997</v>
          </cell>
          <cell r="E186">
            <v>0.98308218999999997</v>
          </cell>
          <cell r="F186">
            <v>0.98297745000000003</v>
          </cell>
          <cell r="G186"/>
          <cell r="H186"/>
          <cell r="I186"/>
          <cell r="J186"/>
          <cell r="K186"/>
        </row>
        <row r="187">
          <cell r="B187" t="str">
            <v>NA1LD</v>
          </cell>
          <cell r="C187">
            <v>0.97167093000000004</v>
          </cell>
          <cell r="D187">
            <v>0.97508598999999996</v>
          </cell>
          <cell r="E187">
            <v>0.97430006000000002</v>
          </cell>
          <cell r="F187">
            <v>0.97432901999999999</v>
          </cell>
          <cell r="G187"/>
          <cell r="H187"/>
          <cell r="I187"/>
          <cell r="J187"/>
          <cell r="K187"/>
        </row>
        <row r="188">
          <cell r="B188" t="str">
            <v>OR1LD</v>
          </cell>
          <cell r="C188">
            <v>0.98410297999999996</v>
          </cell>
          <cell r="D188">
            <v>0.98737470000000005</v>
          </cell>
          <cell r="E188">
            <v>0.98655793999999997</v>
          </cell>
          <cell r="F188">
            <v>0.98669521999999998</v>
          </cell>
          <cell r="G188"/>
          <cell r="H188"/>
          <cell r="I188"/>
          <cell r="J188"/>
          <cell r="K188"/>
        </row>
        <row r="189">
          <cell r="B189" t="str">
            <v>BYCWD</v>
          </cell>
          <cell r="C189">
            <v>1.0301491</v>
          </cell>
          <cell r="D189">
            <v>1.03105712</v>
          </cell>
          <cell r="E189">
            <v>1.0315018499999999</v>
          </cell>
          <cell r="F189">
            <v>1.032</v>
          </cell>
          <cell r="G189"/>
          <cell r="H189"/>
          <cell r="I189"/>
          <cell r="J189"/>
          <cell r="K189"/>
        </row>
        <row r="190">
          <cell r="B190" t="str">
            <v>BYCXD</v>
          </cell>
          <cell r="C190">
            <v>1.02330622</v>
          </cell>
          <cell r="D190">
            <v>1.0248512299999999</v>
          </cell>
          <cell r="E190">
            <v>1.02498482</v>
          </cell>
          <cell r="F190">
            <v>1.02467219</v>
          </cell>
          <cell r="G190"/>
          <cell r="H190"/>
          <cell r="I190"/>
          <cell r="J190"/>
          <cell r="K190"/>
        </row>
        <row r="191">
          <cell r="B191" t="str">
            <v>YM41D</v>
          </cell>
          <cell r="C191">
            <v>1.0084980100000001</v>
          </cell>
          <cell r="D191">
            <v>1.01019679</v>
          </cell>
          <cell r="E191">
            <v>1.0103365200000001</v>
          </cell>
          <cell r="F191">
            <v>1.0128884899999999</v>
          </cell>
          <cell r="G191"/>
          <cell r="H191"/>
          <cell r="I191"/>
          <cell r="J191"/>
          <cell r="K191"/>
        </row>
        <row r="192">
          <cell r="B192" t="str">
            <v>YM37D</v>
          </cell>
          <cell r="C192">
            <v>1.02048921</v>
          </cell>
          <cell r="D192">
            <v>1.0210041599999999</v>
          </cell>
          <cell r="E192">
            <v>1.0219222299999999</v>
          </cell>
          <cell r="F192">
            <v>1.0200083900000001</v>
          </cell>
          <cell r="G192"/>
          <cell r="H192"/>
          <cell r="I192"/>
          <cell r="J192"/>
          <cell r="K192"/>
        </row>
        <row r="193">
          <cell r="B193" t="str">
            <v>YFCMD</v>
          </cell>
          <cell r="C193">
            <v>1.0226209500000001</v>
          </cell>
          <cell r="D193">
            <v>1.0260133300000001</v>
          </cell>
          <cell r="E193">
            <v>1.0260239499999999</v>
          </cell>
          <cell r="F193">
            <v>1.02539969</v>
          </cell>
          <cell r="G193"/>
          <cell r="H193"/>
          <cell r="I193"/>
          <cell r="J193"/>
          <cell r="K193"/>
        </row>
        <row r="194">
          <cell r="B194" t="str">
            <v>PFC2D</v>
          </cell>
          <cell r="C194">
            <v>1.0422102499999999</v>
          </cell>
          <cell r="D194">
            <v>1.0459917299999999</v>
          </cell>
          <cell r="E194">
            <v>1.0458446800000001</v>
          </cell>
          <cell r="F194">
            <v>1.04518668</v>
          </cell>
          <cell r="G194"/>
          <cell r="H194"/>
          <cell r="I194"/>
          <cell r="J194"/>
          <cell r="K194"/>
        </row>
        <row r="195">
          <cell r="B195" t="str">
            <v>YM38D</v>
          </cell>
          <cell r="C195">
            <v>1.02295436</v>
          </cell>
          <cell r="D195">
            <v>1.0269863299999999</v>
          </cell>
          <cell r="E195">
            <v>1.0241074400000001</v>
          </cell>
          <cell r="F195">
            <v>1.0234543899999999</v>
          </cell>
          <cell r="G195"/>
          <cell r="H195"/>
          <cell r="I195"/>
          <cell r="J195"/>
          <cell r="K195"/>
        </row>
        <row r="196">
          <cell r="B196" t="str">
            <v>BYZ1D</v>
          </cell>
          <cell r="C196">
            <v>1.0003856900000001</v>
          </cell>
          <cell r="D196">
            <v>1.0041346499999999</v>
          </cell>
          <cell r="E196">
            <v>1.0039349099999999</v>
          </cell>
          <cell r="F196">
            <v>1.00330998</v>
          </cell>
          <cell r="G196"/>
          <cell r="H196"/>
          <cell r="I196"/>
          <cell r="J196"/>
          <cell r="K196"/>
        </row>
        <row r="197">
          <cell r="B197" t="str">
            <v>PN38D</v>
          </cell>
          <cell r="C197">
            <v>1.0305894</v>
          </cell>
          <cell r="D197">
            <v>1.03446214</v>
          </cell>
          <cell r="E197">
            <v>1.03423504</v>
          </cell>
          <cell r="F197">
            <v>1.03360137</v>
          </cell>
          <cell r="G197"/>
          <cell r="H197"/>
          <cell r="I197"/>
          <cell r="J197"/>
          <cell r="K197"/>
        </row>
        <row r="198">
          <cell r="B198" t="str">
            <v>BF40D</v>
          </cell>
          <cell r="C198">
            <v>1.0134450699999999</v>
          </cell>
          <cell r="D198">
            <v>1.0173182000000001</v>
          </cell>
          <cell r="E198">
            <v>1.0170440999999999</v>
          </cell>
          <cell r="F198">
            <v>1.0164360699999999</v>
          </cell>
          <cell r="G198"/>
          <cell r="H198"/>
          <cell r="I198"/>
          <cell r="J198"/>
          <cell r="K198"/>
        </row>
        <row r="199">
          <cell r="B199" t="str">
            <v>PN34D</v>
          </cell>
          <cell r="C199">
            <v>1.00828585</v>
          </cell>
          <cell r="D199">
            <v>1.0122107600000001</v>
          </cell>
          <cell r="E199">
            <v>1.0118408299999999</v>
          </cell>
          <cell r="F199">
            <v>1.01127799</v>
          </cell>
          <cell r="G199"/>
          <cell r="H199"/>
          <cell r="I199"/>
          <cell r="J199"/>
          <cell r="K199"/>
        </row>
        <row r="200">
          <cell r="B200" t="str">
            <v>TTCBD</v>
          </cell>
          <cell r="C200">
            <v>1.02011059</v>
          </cell>
          <cell r="D200">
            <v>1.0241025399999999</v>
          </cell>
          <cell r="E200">
            <v>1.0236631199999999</v>
          </cell>
          <cell r="F200">
            <v>1.0231290399999999</v>
          </cell>
          <cell r="G200"/>
          <cell r="H200"/>
          <cell r="I200"/>
          <cell r="J200"/>
          <cell r="K200"/>
        </row>
        <row r="201">
          <cell r="B201" t="str">
            <v>TTC8D</v>
          </cell>
          <cell r="C201">
            <v>1.0042109100000001</v>
          </cell>
          <cell r="D201">
            <v>1.0081533899999999</v>
          </cell>
          <cell r="E201">
            <v>1.00769431</v>
          </cell>
          <cell r="F201">
            <v>1.00718201</v>
          </cell>
          <cell r="G201"/>
          <cell r="H201"/>
          <cell r="I201"/>
          <cell r="J201"/>
          <cell r="K201"/>
        </row>
        <row r="202">
          <cell r="B202" t="str">
            <v>PLC1D</v>
          </cell>
          <cell r="C202">
            <v>1.01298428</v>
          </cell>
          <cell r="D202">
            <v>1.01689053</v>
          </cell>
          <cell r="E202">
            <v>1.01612923</v>
          </cell>
          <cell r="F202">
            <v>1.0158255</v>
          </cell>
          <cell r="G202"/>
          <cell r="H202"/>
          <cell r="I202"/>
          <cell r="J202"/>
          <cell r="K202"/>
        </row>
        <row r="203">
          <cell r="B203" t="str">
            <v>PLC3D</v>
          </cell>
          <cell r="C203">
            <v>1.04725848</v>
          </cell>
          <cell r="D203">
            <v>1.0510243800000001</v>
          </cell>
          <cell r="E203">
            <v>1.0499715000000001</v>
          </cell>
          <cell r="F203">
            <v>1.0499219900000001</v>
          </cell>
          <cell r="G203"/>
          <cell r="H203"/>
          <cell r="I203"/>
          <cell r="J203"/>
          <cell r="K203"/>
        </row>
        <row r="204">
          <cell r="B204" t="str">
            <v>BF44D</v>
          </cell>
          <cell r="C204">
            <v>1.02030815</v>
          </cell>
          <cell r="D204">
            <v>1.02391605</v>
          </cell>
          <cell r="E204">
            <v>1.02285694</v>
          </cell>
          <cell r="F204">
            <v>1.02284785</v>
          </cell>
          <cell r="G204"/>
          <cell r="H204"/>
          <cell r="I204"/>
          <cell r="J204"/>
          <cell r="K204"/>
        </row>
        <row r="205">
          <cell r="B205" t="str">
            <v>YM40D</v>
          </cell>
          <cell r="C205">
            <v>1.04894094</v>
          </cell>
          <cell r="D205">
            <v>1.0523256700000001</v>
          </cell>
          <cell r="E205">
            <v>1.0509815</v>
          </cell>
          <cell r="F205">
            <v>1.05128636</v>
          </cell>
          <cell r="G205"/>
          <cell r="H205"/>
          <cell r="I205"/>
          <cell r="J205"/>
          <cell r="K205"/>
        </row>
        <row r="206">
          <cell r="B206" t="str">
            <v>YMCZD</v>
          </cell>
          <cell r="C206">
            <v>1.0649015799999999</v>
          </cell>
          <cell r="D206">
            <v>1.0681933100000001</v>
          </cell>
          <cell r="E206">
            <v>1.0666546400000001</v>
          </cell>
          <cell r="F206">
            <v>1.06705911</v>
          </cell>
          <cell r="G206"/>
          <cell r="H206"/>
          <cell r="I206"/>
          <cell r="J206"/>
          <cell r="K206"/>
        </row>
        <row r="207">
          <cell r="B207" t="str">
            <v>YMCYD</v>
          </cell>
          <cell r="C207">
            <v>1.0247967499999999</v>
          </cell>
          <cell r="D207">
            <v>1.02799101</v>
          </cell>
          <cell r="E207">
            <v>1.02656473</v>
          </cell>
          <cell r="F207">
            <v>1.0269971499999999</v>
          </cell>
          <cell r="G207"/>
          <cell r="H207"/>
          <cell r="I207"/>
          <cell r="J207"/>
          <cell r="K207"/>
        </row>
        <row r="208">
          <cell r="B208" t="str">
            <v>GN47D</v>
          </cell>
          <cell r="C208">
            <v>1.00949051</v>
          </cell>
          <cell r="D208">
            <v>1.0126364800000001</v>
          </cell>
          <cell r="E208">
            <v>1.01120286</v>
          </cell>
          <cell r="F208">
            <v>1.0116676499999999</v>
          </cell>
          <cell r="G208"/>
          <cell r="H208"/>
          <cell r="I208"/>
          <cell r="J208"/>
          <cell r="K208"/>
        </row>
        <row r="209">
          <cell r="B209" t="str">
            <v>YFCLD</v>
          </cell>
          <cell r="C209">
            <v>1.0415152999999999</v>
          </cell>
          <cell r="D209">
            <v>1.04460631</v>
          </cell>
          <cell r="E209">
            <v>1.0430992699999999</v>
          </cell>
          <cell r="F209">
            <v>1.04365033</v>
          </cell>
          <cell r="G209"/>
          <cell r="H209"/>
          <cell r="I209"/>
          <cell r="J209"/>
          <cell r="K209"/>
        </row>
        <row r="210">
          <cell r="B210" t="str">
            <v>YFCOD</v>
          </cell>
          <cell r="C210">
            <v>1.03044311</v>
          </cell>
          <cell r="D210">
            <v>1.0334597800000001</v>
          </cell>
          <cell r="E210">
            <v>1.0319414499999999</v>
          </cell>
          <cell r="F210">
            <v>1.0325612500000001</v>
          </cell>
          <cell r="G210"/>
          <cell r="H210"/>
          <cell r="I210"/>
          <cell r="J210"/>
          <cell r="K210"/>
        </row>
        <row r="211">
          <cell r="B211" t="str">
            <v>PLC6D</v>
          </cell>
          <cell r="C211">
            <v>1.0585855500000001</v>
          </cell>
          <cell r="D211">
            <v>1.0614379199999999</v>
          </cell>
          <cell r="E211">
            <v>1.0530011800000001</v>
          </cell>
          <cell r="F211">
            <v>1.0569999999999999</v>
          </cell>
          <cell r="G211"/>
          <cell r="H211"/>
          <cell r="I211"/>
          <cell r="J211"/>
          <cell r="K211"/>
        </row>
        <row r="212">
          <cell r="B212" t="str">
            <v>YM42D</v>
          </cell>
          <cell r="C212">
            <v>1.04993464</v>
          </cell>
          <cell r="D212">
            <v>1.0510518499999999</v>
          </cell>
          <cell r="E212">
            <v>1.0540068300000001</v>
          </cell>
          <cell r="F212">
            <v>1.0552737000000001</v>
          </cell>
          <cell r="G212"/>
          <cell r="H212"/>
          <cell r="I212"/>
          <cell r="J212"/>
          <cell r="K212"/>
        </row>
        <row r="213">
          <cell r="B213" t="str">
            <v>TLCUD</v>
          </cell>
          <cell r="C213">
            <v>1.0245798399999999</v>
          </cell>
          <cell r="D213">
            <v>1.02740689</v>
          </cell>
          <cell r="E213">
            <v>1.0258062400000001</v>
          </cell>
          <cell r="F213">
            <v>1.0266416199999999</v>
          </cell>
          <cell r="G213"/>
          <cell r="H213"/>
          <cell r="I213"/>
          <cell r="J213"/>
          <cell r="K213"/>
        </row>
        <row r="214">
          <cell r="B214" t="str">
            <v>OLC6D</v>
          </cell>
          <cell r="C214">
            <v>1.0676978699999999</v>
          </cell>
          <cell r="D214">
            <v>1.07046069</v>
          </cell>
          <cell r="E214">
            <v>1.06495852</v>
          </cell>
          <cell r="F214">
            <v>1.0698667900000001</v>
          </cell>
          <cell r="G214"/>
          <cell r="H214"/>
          <cell r="I214"/>
          <cell r="J214"/>
          <cell r="K214"/>
        </row>
        <row r="215">
          <cell r="B215" t="str">
            <v>T672D</v>
          </cell>
          <cell r="C215">
            <v>1.00886217</v>
          </cell>
          <cell r="D215">
            <v>1.0117787</v>
          </cell>
          <cell r="E215">
            <v>1.01</v>
          </cell>
          <cell r="F215">
            <v>1.0169999999999999</v>
          </cell>
          <cell r="G215"/>
          <cell r="H215"/>
          <cell r="I215"/>
          <cell r="J215"/>
          <cell r="K215"/>
        </row>
        <row r="216">
          <cell r="B216" t="str">
            <v>T682D</v>
          </cell>
          <cell r="C216"/>
          <cell r="D216"/>
          <cell r="E216"/>
          <cell r="F216">
            <v>1</v>
          </cell>
          <cell r="G216"/>
          <cell r="H216"/>
          <cell r="I216"/>
          <cell r="J216"/>
          <cell r="K216"/>
        </row>
        <row r="217">
          <cell r="B217" t="str">
            <v>CS48D</v>
          </cell>
          <cell r="C217">
            <v>1.0660647000000001</v>
          </cell>
          <cell r="D217">
            <v>1.06965939</v>
          </cell>
          <cell r="E217">
            <v>1.0684099600000001</v>
          </cell>
          <cell r="F217">
            <v>1.06857165</v>
          </cell>
          <cell r="G217"/>
          <cell r="H217"/>
          <cell r="I217"/>
          <cell r="J217"/>
          <cell r="K217"/>
        </row>
        <row r="218">
          <cell r="B218" t="str">
            <v>CS47D</v>
          </cell>
          <cell r="C218">
            <v>1.0580496800000001</v>
          </cell>
          <cell r="D218">
            <v>1.0611826600000001</v>
          </cell>
          <cell r="E218">
            <v>1.05969063</v>
          </cell>
          <cell r="F218">
            <v>1.0497905000000001</v>
          </cell>
          <cell r="G218"/>
          <cell r="H218"/>
          <cell r="I218"/>
          <cell r="J218"/>
          <cell r="K218"/>
        </row>
        <row r="219">
          <cell r="B219" t="str">
            <v>ZZC1D</v>
          </cell>
          <cell r="C219">
            <v>1.0235482199999999</v>
          </cell>
          <cell r="D219">
            <v>1.0265329700000001</v>
          </cell>
          <cell r="E219">
            <v>1.0257220499999999</v>
          </cell>
          <cell r="F219">
            <v>1.0254249600000001</v>
          </cell>
          <cell r="G219"/>
          <cell r="H219"/>
          <cell r="I219"/>
          <cell r="J219"/>
          <cell r="K219"/>
        </row>
        <row r="220">
          <cell r="B220" t="str">
            <v>BVCUD</v>
          </cell>
          <cell r="C220">
            <v>0.99830892999999998</v>
          </cell>
          <cell r="D220">
            <v>1.0023129</v>
          </cell>
          <cell r="E220">
            <v>1.0008794999999999</v>
          </cell>
          <cell r="F220">
            <v>1.00060466</v>
          </cell>
          <cell r="G220"/>
          <cell r="H220"/>
          <cell r="I220"/>
          <cell r="J220"/>
          <cell r="K220"/>
        </row>
        <row r="221">
          <cell r="B221" t="str">
            <v>JNC6D</v>
          </cell>
          <cell r="C221">
            <v>1.01851698</v>
          </cell>
          <cell r="D221">
            <v>1.02389123</v>
          </cell>
          <cell r="E221">
            <v>1.0207953999999999</v>
          </cell>
          <cell r="F221">
            <v>1.0208012099999999</v>
          </cell>
          <cell r="G221"/>
          <cell r="H221"/>
          <cell r="I221"/>
          <cell r="J221"/>
          <cell r="K221"/>
        </row>
        <row r="222">
          <cell r="B222" t="str">
            <v>HVS1D</v>
          </cell>
          <cell r="C222">
            <v>1.0110473799999999</v>
          </cell>
          <cell r="D222">
            <v>1.0168724</v>
          </cell>
          <cell r="E222">
            <v>1.01094258</v>
          </cell>
          <cell r="F222">
            <v>1.01199741</v>
          </cell>
          <cell r="G222"/>
          <cell r="H222"/>
          <cell r="I222"/>
          <cell r="J222"/>
          <cell r="K222"/>
        </row>
        <row r="223">
          <cell r="B223" t="str">
            <v>TGCHD</v>
          </cell>
          <cell r="C223">
            <v>9.9999999999999995E-8</v>
          </cell>
          <cell r="D223">
            <v>9.9999999999999995E-8</v>
          </cell>
          <cell r="E223">
            <v>9.9999999999999995E-8</v>
          </cell>
          <cell r="F223">
            <v>9.9999999999999995E-8</v>
          </cell>
          <cell r="G223"/>
          <cell r="H223"/>
          <cell r="I223"/>
          <cell r="J223"/>
          <cell r="K223"/>
        </row>
        <row r="224"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</row>
        <row r="225">
          <cell r="B225" t="str">
            <v>Obligaciones Negociables Hard USD - LA - Contra $</v>
          </cell>
          <cell r="C225"/>
          <cell r="D225"/>
          <cell r="E225"/>
          <cell r="F225"/>
          <cell r="G225"/>
          <cell r="H225"/>
          <cell r="I225"/>
          <cell r="J225"/>
          <cell r="K225"/>
        </row>
        <row r="226">
          <cell r="B226"/>
          <cell r="C226"/>
          <cell r="D226"/>
          <cell r="E226"/>
          <cell r="F226"/>
          <cell r="G226"/>
          <cell r="H226"/>
          <cell r="I226"/>
          <cell r="J226"/>
          <cell r="K226"/>
        </row>
        <row r="227">
          <cell r="B227" t="str">
            <v>VES2L</v>
          </cell>
          <cell r="C227">
            <v>1600.43766164</v>
          </cell>
          <cell r="D227">
            <v>1571.6797400999999</v>
          </cell>
          <cell r="E227">
            <v>1581.0490690700001</v>
          </cell>
          <cell r="F227">
            <v>1574.42680004</v>
          </cell>
          <cell r="G227"/>
          <cell r="H227"/>
          <cell r="I227"/>
          <cell r="J227"/>
          <cell r="K227"/>
        </row>
        <row r="228">
          <cell r="B228" t="str">
            <v>NAS1L</v>
          </cell>
          <cell r="C228">
            <v>1569.02957158</v>
          </cell>
          <cell r="D228">
            <v>1564.7418684700001</v>
          </cell>
          <cell r="E228">
            <v>1574.081189</v>
          </cell>
          <cell r="F228">
            <v>1567.7182195400001</v>
          </cell>
          <cell r="G228"/>
          <cell r="H228"/>
          <cell r="I228"/>
          <cell r="J228"/>
          <cell r="K228"/>
        </row>
        <row r="229">
          <cell r="B229" t="str">
            <v>ORS1L</v>
          </cell>
          <cell r="C229">
            <v>1592.1519562399999</v>
          </cell>
          <cell r="D229">
            <v>1586.62732581</v>
          </cell>
          <cell r="E229">
            <v>1596.1006819500001</v>
          </cell>
          <cell r="F229">
            <v>1591.0876871200001</v>
          </cell>
          <cell r="G229"/>
          <cell r="H229"/>
          <cell r="I229"/>
          <cell r="J229"/>
          <cell r="K229"/>
        </row>
        <row r="230">
          <cell r="B230" t="str">
            <v>BYCWO</v>
          </cell>
          <cell r="C230">
            <v>1620.8603849199999</v>
          </cell>
          <cell r="D230">
            <v>1607.8251952999999</v>
          </cell>
          <cell r="E230">
            <v>1617.3154923899999</v>
          </cell>
          <cell r="F230">
            <v>1623.7</v>
          </cell>
          <cell r="G230"/>
          <cell r="H230"/>
          <cell r="I230"/>
          <cell r="J230"/>
          <cell r="K230"/>
        </row>
        <row r="231">
          <cell r="B231" t="str">
            <v>BYCXO</v>
          </cell>
          <cell r="C231">
            <v>1609.1594907799999</v>
          </cell>
          <cell r="D231">
            <v>1596.1491977400001</v>
          </cell>
          <cell r="E231">
            <v>1605.5752569199999</v>
          </cell>
          <cell r="F231">
            <v>1598.90860836</v>
          </cell>
          <cell r="G231"/>
          <cell r="H231"/>
          <cell r="I231"/>
          <cell r="J231"/>
          <cell r="K231"/>
        </row>
        <row r="232">
          <cell r="B232" t="str">
            <v>YM41O</v>
          </cell>
          <cell r="C232">
            <v>1582.4352732299999</v>
          </cell>
          <cell r="D232">
            <v>1569.7224274299999</v>
          </cell>
          <cell r="E232">
            <v>1579.04470105</v>
          </cell>
          <cell r="F232">
            <v>1579.9997261999999</v>
          </cell>
          <cell r="G232"/>
          <cell r="H232"/>
          <cell r="I232"/>
          <cell r="J232"/>
          <cell r="K232"/>
        </row>
        <row r="233">
          <cell r="B233" t="str">
            <v>YM37O</v>
          </cell>
          <cell r="C233">
            <v>1600.04807155</v>
          </cell>
          <cell r="D233">
            <v>1589.7646179200001</v>
          </cell>
          <cell r="E233">
            <v>1601.8659182599999</v>
          </cell>
          <cell r="F233">
            <v>1595.0281815999999</v>
          </cell>
          <cell r="G233"/>
          <cell r="H233"/>
          <cell r="I233"/>
          <cell r="J233"/>
          <cell r="K233"/>
        </row>
        <row r="234">
          <cell r="B234" t="str">
            <v>YFCMO</v>
          </cell>
          <cell r="C234">
            <v>1610.50424383</v>
          </cell>
          <cell r="D234">
            <v>1599.86429961</v>
          </cell>
          <cell r="E234">
            <v>1609.34037681</v>
          </cell>
          <cell r="F234">
            <v>1604.4789431300001</v>
          </cell>
          <cell r="G234"/>
          <cell r="H234"/>
          <cell r="I234"/>
          <cell r="J234"/>
          <cell r="K234"/>
        </row>
        <row r="235">
          <cell r="B235" t="str">
            <v>PFC2O</v>
          </cell>
          <cell r="C235">
            <v>1635.0010495500001</v>
          </cell>
          <cell r="D235">
            <v>1625.79131467</v>
          </cell>
          <cell r="E235">
            <v>1635.4260987800001</v>
          </cell>
          <cell r="F235">
            <v>1630.01666531</v>
          </cell>
          <cell r="G235"/>
          <cell r="H235"/>
          <cell r="I235"/>
          <cell r="J235"/>
          <cell r="K235"/>
        </row>
        <row r="236">
          <cell r="B236" t="str">
            <v>YM38O</v>
          </cell>
          <cell r="C236">
            <v>1600.84540315</v>
          </cell>
          <cell r="D236">
            <v>1598.9008910800001</v>
          </cell>
          <cell r="E236">
            <v>1607.0095245699999</v>
          </cell>
          <cell r="F236">
            <v>1601.6079068199999</v>
          </cell>
          <cell r="G236"/>
          <cell r="H236"/>
          <cell r="I236"/>
          <cell r="J236"/>
          <cell r="K236"/>
        </row>
        <row r="237">
          <cell r="B237" t="str">
            <v>BYZ1O</v>
          </cell>
          <cell r="C237">
            <v>1569.1265354100001</v>
          </cell>
          <cell r="D237">
            <v>1560.94131416</v>
          </cell>
          <cell r="E237">
            <v>1570.19577123</v>
          </cell>
          <cell r="F237">
            <v>1564.78271769</v>
          </cell>
          <cell r="G237"/>
          <cell r="H237"/>
          <cell r="I237"/>
          <cell r="J237"/>
          <cell r="K237"/>
        </row>
        <row r="238">
          <cell r="B238" t="str">
            <v>PN38O</v>
          </cell>
          <cell r="C238">
            <v>1716.9370667000001</v>
          </cell>
          <cell r="D238">
            <v>1608.24564459</v>
          </cell>
          <cell r="E238">
            <v>1617.7817358740899</v>
          </cell>
          <cell r="F238">
            <v>1612.0829769050899</v>
          </cell>
          <cell r="G238"/>
          <cell r="H238"/>
          <cell r="I238"/>
          <cell r="J238"/>
          <cell r="K238"/>
        </row>
        <row r="239">
          <cell r="B239" t="str">
            <v>BF40O</v>
          </cell>
          <cell r="C239">
            <v>1589.4140597200001</v>
          </cell>
          <cell r="D239">
            <v>1581.8688199799999</v>
          </cell>
          <cell r="E239">
            <v>1591.25166414</v>
          </cell>
          <cell r="F239">
            <v>1585.4164772700001</v>
          </cell>
          <cell r="G239"/>
          <cell r="H239"/>
          <cell r="I239"/>
          <cell r="J239"/>
          <cell r="K239"/>
        </row>
        <row r="240">
          <cell r="B240" t="str">
            <v>TTCBO</v>
          </cell>
          <cell r="C240">
            <v>1599.5833113799999</v>
          </cell>
          <cell r="D240">
            <v>1593.5789604900001</v>
          </cell>
          <cell r="E240">
            <v>1603.04061912</v>
          </cell>
          <cell r="F240">
            <v>1596.3496157500001</v>
          </cell>
          <cell r="G240"/>
          <cell r="H240"/>
          <cell r="I240"/>
          <cell r="J240"/>
          <cell r="K240"/>
        </row>
        <row r="241">
          <cell r="B241" t="str">
            <v>TTC8O</v>
          </cell>
          <cell r="C241">
            <v>1574.6128988</v>
          </cell>
          <cell r="D241">
            <v>1568.95243372</v>
          </cell>
          <cell r="E241">
            <v>1578.2693895299999</v>
          </cell>
          <cell r="F241">
            <v>1571.5556223000001</v>
          </cell>
          <cell r="G241"/>
          <cell r="H241"/>
          <cell r="I241"/>
          <cell r="J241"/>
          <cell r="K241"/>
        </row>
        <row r="242">
          <cell r="B242" t="str">
            <v>PLC1O</v>
          </cell>
          <cell r="C242">
            <v>1588.4358056599999</v>
          </cell>
          <cell r="D242">
            <v>1585.1314610699999</v>
          </cell>
          <cell r="E242">
            <v>1594.5605609500001</v>
          </cell>
          <cell r="F242">
            <v>1586.4651566099999</v>
          </cell>
          <cell r="G242"/>
          <cell r="H242"/>
          <cell r="I242"/>
          <cell r="J242"/>
          <cell r="K242"/>
        </row>
        <row r="243">
          <cell r="B243" t="str">
            <v>BF44O</v>
          </cell>
          <cell r="C243">
            <v>1600.76454534</v>
          </cell>
          <cell r="D243">
            <v>1598.97821505</v>
          </cell>
          <cell r="E243">
            <v>1608.50521989</v>
          </cell>
          <cell r="F243">
            <v>1599.64655991</v>
          </cell>
          <cell r="G243"/>
          <cell r="H243"/>
          <cell r="I243"/>
          <cell r="J243"/>
          <cell r="K243"/>
        </row>
        <row r="244">
          <cell r="B244" t="str">
            <v>YM40O</v>
          </cell>
          <cell r="C244">
            <v>1647.9148380900001</v>
          </cell>
          <cell r="D244">
            <v>1646.27760741</v>
          </cell>
          <cell r="E244">
            <v>1656.10003676</v>
          </cell>
          <cell r="F244">
            <v>1647.9222012600001</v>
          </cell>
          <cell r="G244"/>
          <cell r="H244"/>
          <cell r="I244"/>
          <cell r="J244"/>
          <cell r="K244"/>
        </row>
        <row r="245">
          <cell r="B245" t="str">
            <v>YMCZO</v>
          </cell>
          <cell r="C245">
            <v>1683.5476361000001</v>
          </cell>
          <cell r="D245">
            <v>1681.68191058</v>
          </cell>
          <cell r="E245">
            <v>1691.6279906499999</v>
          </cell>
          <cell r="F245">
            <v>1684.06058248</v>
          </cell>
          <cell r="G245"/>
          <cell r="H245"/>
          <cell r="I245"/>
          <cell r="J245"/>
          <cell r="K245"/>
        </row>
        <row r="246">
          <cell r="B246" t="str">
            <v>YMCYO</v>
          </cell>
          <cell r="C246">
            <v>1602.32059422</v>
          </cell>
          <cell r="D246">
            <v>1600.56896168</v>
          </cell>
          <cell r="E246">
            <v>1610.1321662299999</v>
          </cell>
          <cell r="F246">
            <v>1603.01363208</v>
          </cell>
          <cell r="G246"/>
          <cell r="H246"/>
          <cell r="I246"/>
          <cell r="J246"/>
          <cell r="K246"/>
        </row>
        <row r="247">
          <cell r="B247" t="str">
            <v>GN47O</v>
          </cell>
          <cell r="C247">
            <v>1585.9431962399999</v>
          </cell>
          <cell r="D247">
            <v>1584.26092758</v>
          </cell>
          <cell r="E247">
            <v>1593.7266395700001</v>
          </cell>
          <cell r="F247">
            <v>1586.85238043</v>
          </cell>
          <cell r="G247"/>
          <cell r="H247"/>
          <cell r="I247"/>
          <cell r="J247"/>
          <cell r="K247"/>
        </row>
        <row r="248">
          <cell r="B248" t="str">
            <v>YFCLO</v>
          </cell>
          <cell r="C248">
            <v>1627.56565578</v>
          </cell>
          <cell r="D248">
            <v>1625.0461366300001</v>
          </cell>
          <cell r="E248">
            <v>1634.75525644</v>
          </cell>
          <cell r="F248">
            <v>1628.6446338200001</v>
          </cell>
          <cell r="G248"/>
          <cell r="H248"/>
          <cell r="I248"/>
          <cell r="J248"/>
          <cell r="K248"/>
        </row>
        <row r="249">
          <cell r="B249" t="str">
            <v>YFCOO</v>
          </cell>
          <cell r="C249">
            <v>1621.0509448099999</v>
          </cell>
          <cell r="D249">
            <v>1618.1360007200001</v>
          </cell>
          <cell r="E249">
            <v>1627.80769882</v>
          </cell>
          <cell r="F249">
            <v>1622.4796998899999</v>
          </cell>
          <cell r="G249"/>
          <cell r="H249"/>
          <cell r="I249"/>
          <cell r="J249"/>
          <cell r="K249"/>
        </row>
        <row r="250">
          <cell r="B250" t="str">
            <v>PLC6O</v>
          </cell>
          <cell r="C250">
            <v>1665.8989328800001</v>
          </cell>
          <cell r="D250">
            <v>1660.6801941799999</v>
          </cell>
          <cell r="E250">
            <v>1650.6645151600001</v>
          </cell>
          <cell r="F250">
            <v>1668.05814007</v>
          </cell>
          <cell r="G250"/>
          <cell r="H250"/>
          <cell r="I250"/>
          <cell r="J250"/>
          <cell r="K250"/>
        </row>
        <row r="251">
          <cell r="B251" t="str">
            <v>YM42O</v>
          </cell>
          <cell r="C251">
            <v>1656.2437585299999</v>
          </cell>
          <cell r="D251">
            <v>1634.5951803099999</v>
          </cell>
          <cell r="E251">
            <v>1644.32755724</v>
          </cell>
          <cell r="F251">
            <v>1671.0643401699999</v>
          </cell>
          <cell r="G251"/>
          <cell r="H251"/>
          <cell r="I251"/>
          <cell r="J251"/>
          <cell r="K251"/>
        </row>
        <row r="252">
          <cell r="B252" t="str">
            <v>TLCUO</v>
          </cell>
          <cell r="C252">
            <v>1612.5215571799999</v>
          </cell>
          <cell r="D252">
            <v>1607.5046615000001</v>
          </cell>
          <cell r="E252">
            <v>1617.1269114199999</v>
          </cell>
          <cell r="F252">
            <v>1615.1962243600001</v>
          </cell>
          <cell r="G252"/>
          <cell r="H252"/>
          <cell r="I252"/>
          <cell r="J252"/>
          <cell r="K252"/>
        </row>
        <row r="253">
          <cell r="B253" t="str">
            <v>OLC6O</v>
          </cell>
          <cell r="C253">
            <v>1682.6034531299999</v>
          </cell>
          <cell r="D253">
            <v>1673.47405379</v>
          </cell>
          <cell r="E253">
            <v>1683.4986664999999</v>
          </cell>
          <cell r="F253">
            <v>1686.4778260200001</v>
          </cell>
          <cell r="G253"/>
          <cell r="H253"/>
          <cell r="I253"/>
          <cell r="J253"/>
          <cell r="K253"/>
        </row>
        <row r="254">
          <cell r="B254" t="str">
            <v>T672O</v>
          </cell>
          <cell r="C254">
            <v>1583.3792918500001</v>
          </cell>
          <cell r="D254">
            <v>1572.5684753</v>
          </cell>
          <cell r="E254">
            <v>1581.9366714</v>
          </cell>
          <cell r="F254">
            <v>1575.81723809</v>
          </cell>
          <cell r="G254"/>
          <cell r="H254"/>
          <cell r="I254"/>
          <cell r="J254"/>
          <cell r="K254"/>
        </row>
        <row r="255">
          <cell r="B255" t="str">
            <v>T682O</v>
          </cell>
          <cell r="C255"/>
          <cell r="D255"/>
          <cell r="E255"/>
          <cell r="F255">
            <v>1536.4922618200001</v>
          </cell>
          <cell r="G255"/>
          <cell r="H255"/>
          <cell r="I255"/>
          <cell r="J255"/>
          <cell r="K255"/>
        </row>
        <row r="256">
          <cell r="B256" t="str">
            <v>CS48O</v>
          </cell>
          <cell r="C256">
            <v>1673.27201547</v>
          </cell>
          <cell r="D256">
            <v>1671.6248402399999</v>
          </cell>
          <cell r="E256">
            <v>1681.5937266200001</v>
          </cell>
          <cell r="F256">
            <v>1672.72745932</v>
          </cell>
          <cell r="G256"/>
          <cell r="H256"/>
          <cell r="I256"/>
          <cell r="J256"/>
          <cell r="K256"/>
        </row>
        <row r="257">
          <cell r="B257" t="str">
            <v>CS47O</v>
          </cell>
          <cell r="C257">
            <v>1662.8371232899999</v>
          </cell>
          <cell r="D257">
            <v>1660.26561221</v>
          </cell>
          <cell r="E257">
            <v>1670.1852900199999</v>
          </cell>
          <cell r="F257">
            <v>1663.68814649</v>
          </cell>
          <cell r="G257"/>
          <cell r="H257"/>
          <cell r="I257"/>
          <cell r="J257"/>
          <cell r="K257"/>
        </row>
        <row r="258">
          <cell r="B258" t="str">
            <v>ZZC1O</v>
          </cell>
          <cell r="C258">
            <v>1606.3802394100001</v>
          </cell>
          <cell r="D258">
            <v>1595.43107794</v>
          </cell>
          <cell r="E258">
            <v>1604.93565302</v>
          </cell>
          <cell r="F258">
            <v>1598.4511114500001</v>
          </cell>
          <cell r="G258"/>
          <cell r="H258"/>
          <cell r="I258"/>
          <cell r="J258"/>
          <cell r="K258"/>
        </row>
        <row r="259">
          <cell r="B259" t="str">
            <v>BVCUO</v>
          </cell>
          <cell r="C259">
            <v>1565.8532901000001</v>
          </cell>
          <cell r="D259">
            <v>1557.5701436100001</v>
          </cell>
          <cell r="E259">
            <v>1566.9103596499999</v>
          </cell>
          <cell r="F259">
            <v>1560.2462120800001</v>
          </cell>
          <cell r="G259"/>
          <cell r="H259"/>
          <cell r="I259"/>
          <cell r="J259"/>
          <cell r="K259"/>
        </row>
        <row r="260">
          <cell r="B260" t="str">
            <v>JNC6O</v>
          </cell>
          <cell r="C260">
            <v>1595.0245514799999</v>
          </cell>
          <cell r="D260">
            <v>1592.83003749</v>
          </cell>
          <cell r="E260">
            <v>1602.4084104200001</v>
          </cell>
          <cell r="F260">
            <v>1592.2512188799999</v>
          </cell>
          <cell r="G260"/>
          <cell r="H260"/>
          <cell r="I260"/>
          <cell r="J260"/>
          <cell r="K260"/>
        </row>
        <row r="261">
          <cell r="B261" t="str">
            <v>HVS1O</v>
          </cell>
          <cell r="C261">
            <v>1583.1548796899999</v>
          </cell>
          <cell r="D261">
            <v>1588.9522980199999</v>
          </cell>
          <cell r="E261">
            <v>1598.5518710900001</v>
          </cell>
          <cell r="F261">
            <v>1583.5708664000001</v>
          </cell>
          <cell r="G261"/>
          <cell r="H261"/>
          <cell r="I261"/>
          <cell r="J261"/>
          <cell r="K261"/>
        </row>
        <row r="262">
          <cell r="B262" t="str">
            <v>TGCHO</v>
          </cell>
          <cell r="C262">
            <v>9.9999999999999995E-8</v>
          </cell>
          <cell r="D262">
            <v>9.9999999999999995E-8</v>
          </cell>
          <cell r="E262">
            <v>9.9999999999999995E-8</v>
          </cell>
          <cell r="F262">
            <v>9.9999999999999995E-8</v>
          </cell>
          <cell r="G262"/>
          <cell r="H262"/>
          <cell r="I262"/>
          <cell r="J262"/>
          <cell r="K262"/>
        </row>
        <row r="263"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</row>
        <row r="264">
          <cell r="B264" t="str">
            <v>Obligaciones Negociables Hard USD - LE</v>
          </cell>
          <cell r="C264"/>
          <cell r="D264"/>
          <cell r="E264"/>
          <cell r="F264"/>
          <cell r="G264"/>
          <cell r="H264"/>
          <cell r="I264"/>
          <cell r="J264"/>
          <cell r="K264"/>
        </row>
        <row r="265">
          <cell r="B265"/>
          <cell r="C265"/>
          <cell r="D265"/>
          <cell r="E265"/>
          <cell r="F265"/>
          <cell r="G265"/>
          <cell r="H265"/>
          <cell r="I265"/>
          <cell r="J265"/>
          <cell r="K265"/>
        </row>
        <row r="266">
          <cell r="B266" t="str">
            <v>PNDCD</v>
          </cell>
          <cell r="C266">
            <v>0.43012338</v>
          </cell>
          <cell r="D266">
            <v>0.43049567999999999</v>
          </cell>
          <cell r="E266">
            <v>0.42902203</v>
          </cell>
          <cell r="F266">
            <v>0.21038124</v>
          </cell>
          <cell r="G266"/>
          <cell r="H266"/>
          <cell r="I266"/>
          <cell r="J266"/>
          <cell r="K266"/>
        </row>
        <row r="267">
          <cell r="B267" t="str">
            <v>YCAMD</v>
          </cell>
          <cell r="C267">
            <v>1.07981456</v>
          </cell>
          <cell r="D267">
            <v>1.08137068</v>
          </cell>
          <cell r="E267">
            <v>1.07311176</v>
          </cell>
          <cell r="F267">
            <v>1.0708475399999999</v>
          </cell>
          <cell r="G267"/>
          <cell r="H267"/>
          <cell r="I267"/>
          <cell r="J267"/>
          <cell r="K267"/>
        </row>
        <row r="268">
          <cell r="B268" t="str">
            <v>AER4D</v>
          </cell>
          <cell r="C268">
            <v>0.77523542000000001</v>
          </cell>
          <cell r="D268">
            <v>0.77281513000000002</v>
          </cell>
          <cell r="E268">
            <v>0.76891164000000001</v>
          </cell>
          <cell r="F268">
            <v>0.76717502999999998</v>
          </cell>
          <cell r="G268"/>
          <cell r="H268"/>
          <cell r="I268"/>
          <cell r="J268"/>
          <cell r="K268"/>
        </row>
        <row r="269">
          <cell r="B269" t="str">
            <v>YMCID</v>
          </cell>
          <cell r="C269">
            <v>0.96476861999999997</v>
          </cell>
          <cell r="D269">
            <v>0.96855904999999998</v>
          </cell>
          <cell r="E269">
            <v>0.95958423000000004</v>
          </cell>
          <cell r="F269">
            <v>0.95853838000000002</v>
          </cell>
          <cell r="G269"/>
          <cell r="H269"/>
          <cell r="I269"/>
          <cell r="J269"/>
          <cell r="K269"/>
        </row>
        <row r="270">
          <cell r="B270" t="str">
            <v>BYCHD</v>
          </cell>
          <cell r="C270">
            <v>1.09535418</v>
          </cell>
          <cell r="D270">
            <v>1.0890287097997899</v>
          </cell>
          <cell r="E270">
            <v>1.0840079899999999</v>
          </cell>
          <cell r="F270">
            <v>1.0811010599999999</v>
          </cell>
          <cell r="G270"/>
          <cell r="H270"/>
          <cell r="I270"/>
          <cell r="J270"/>
          <cell r="K270"/>
        </row>
        <row r="271">
          <cell r="B271" t="str">
            <v>YMCUD</v>
          </cell>
          <cell r="C271">
            <v>1.0231996000000001</v>
          </cell>
          <cell r="D271">
            <v>1.0163964700000001</v>
          </cell>
          <cell r="E271">
            <v>1.01380308</v>
          </cell>
          <cell r="F271">
            <v>1.01158131</v>
          </cell>
          <cell r="G271"/>
          <cell r="H271"/>
          <cell r="I271"/>
          <cell r="J271"/>
          <cell r="K271"/>
        </row>
        <row r="272">
          <cell r="B272" t="str">
            <v>YMC1D</v>
          </cell>
          <cell r="C272">
            <v>1.1339406000000001</v>
          </cell>
          <cell r="D272">
            <v>1.1229431700000001</v>
          </cell>
          <cell r="E272">
            <v>1.12156389</v>
          </cell>
          <cell r="F272">
            <v>1.1188317800000001</v>
          </cell>
          <cell r="G272"/>
          <cell r="H272"/>
          <cell r="I272"/>
          <cell r="J272"/>
          <cell r="K272"/>
        </row>
        <row r="273">
          <cell r="B273" t="str">
            <v>ARC1D</v>
          </cell>
          <cell r="C273">
            <v>1.08828737</v>
          </cell>
          <cell r="D273">
            <v>1.0786322500000001</v>
          </cell>
          <cell r="E273">
            <v>1.0774587900000001</v>
          </cell>
          <cell r="F273">
            <v>1.0782464199999999</v>
          </cell>
          <cell r="G273"/>
          <cell r="H273"/>
          <cell r="I273"/>
          <cell r="J273"/>
          <cell r="K273"/>
        </row>
        <row r="274">
          <cell r="B274" t="str">
            <v>TTCDD</v>
          </cell>
          <cell r="C274">
            <v>1.0905</v>
          </cell>
          <cell r="D274">
            <v>1.08699715</v>
          </cell>
          <cell r="E274">
            <v>1.0830203700000001</v>
          </cell>
          <cell r="F274">
            <v>1.08102561</v>
          </cell>
          <cell r="G274"/>
          <cell r="H274"/>
          <cell r="I274"/>
          <cell r="J274"/>
          <cell r="K274"/>
        </row>
        <row r="275">
          <cell r="B275" t="str">
            <v>YMCXD</v>
          </cell>
          <cell r="C275">
            <v>1.1012025999999999</v>
          </cell>
          <cell r="D275">
            <v>1.1009637699999999</v>
          </cell>
          <cell r="E275">
            <v>1.0980568100000001</v>
          </cell>
          <cell r="F275">
            <v>1.0875311400000001</v>
          </cell>
          <cell r="G275"/>
          <cell r="H275"/>
          <cell r="I275"/>
          <cell r="J275"/>
          <cell r="K275"/>
        </row>
        <row r="276">
          <cell r="B276" t="str">
            <v>PNXCD</v>
          </cell>
          <cell r="C276">
            <v>1.1338015699999999</v>
          </cell>
          <cell r="D276">
            <v>1.11801836</v>
          </cell>
          <cell r="E276">
            <v>1.1211612500000001</v>
          </cell>
          <cell r="F276">
            <v>1.0764713299999999</v>
          </cell>
          <cell r="G276"/>
          <cell r="H276"/>
          <cell r="I276"/>
          <cell r="J276"/>
          <cell r="K276"/>
        </row>
        <row r="277">
          <cell r="B277" t="str">
            <v>PLC5D</v>
          </cell>
          <cell r="C277">
            <v>1.09561018</v>
          </cell>
          <cell r="D277">
            <v>1.0935236800000001</v>
          </cell>
          <cell r="E277">
            <v>1.0905285899999999</v>
          </cell>
          <cell r="F277">
            <v>1.08797035</v>
          </cell>
          <cell r="G277"/>
          <cell r="H277"/>
          <cell r="I277"/>
          <cell r="J277"/>
          <cell r="K277"/>
        </row>
        <row r="278">
          <cell r="B278" t="str">
            <v>TSC3D</v>
          </cell>
          <cell r="C278">
            <v>1.1100000000000001</v>
          </cell>
          <cell r="D278">
            <v>1.0954453799999999</v>
          </cell>
          <cell r="E278">
            <v>1.09929477</v>
          </cell>
          <cell r="F278">
            <v>1.09917149</v>
          </cell>
          <cell r="G278"/>
          <cell r="H278"/>
          <cell r="I278"/>
          <cell r="J278"/>
          <cell r="K278"/>
        </row>
        <row r="279">
          <cell r="B279" t="str">
            <v>YFCJD</v>
          </cell>
          <cell r="C279">
            <v>1.0492001500000001</v>
          </cell>
          <cell r="D279">
            <v>1.05868031</v>
          </cell>
          <cell r="E279">
            <v>1.05172172</v>
          </cell>
          <cell r="F279">
            <v>1.0496679</v>
          </cell>
          <cell r="G279"/>
          <cell r="H279"/>
          <cell r="I279"/>
          <cell r="J279"/>
          <cell r="K279"/>
        </row>
        <row r="280">
          <cell r="B280" t="str">
            <v>MGCMD</v>
          </cell>
          <cell r="C280">
            <v>1.0756212000000001</v>
          </cell>
          <cell r="D280">
            <v>1.0827392300000001</v>
          </cell>
          <cell r="E280">
            <v>1.0765</v>
          </cell>
          <cell r="F280">
            <v>1.075</v>
          </cell>
          <cell r="G280"/>
          <cell r="H280"/>
          <cell r="I280"/>
          <cell r="J280"/>
          <cell r="K280"/>
        </row>
        <row r="281">
          <cell r="B281" t="str">
            <v>TTCAD</v>
          </cell>
          <cell r="C281">
            <v>1.0569999999999999</v>
          </cell>
          <cell r="D281">
            <v>1.04906853</v>
          </cell>
          <cell r="E281">
            <v>1.0449219300000001</v>
          </cell>
          <cell r="F281">
            <v>1.0425</v>
          </cell>
          <cell r="G281"/>
          <cell r="H281"/>
          <cell r="I281"/>
          <cell r="J281"/>
          <cell r="K281"/>
        </row>
        <row r="282">
          <cell r="B282" t="str">
            <v>PLC4D</v>
          </cell>
          <cell r="C282">
            <v>1.1103269200000001</v>
          </cell>
          <cell r="D282">
            <v>1.1109782500000001</v>
          </cell>
          <cell r="E282">
            <v>1.1021971399999999</v>
          </cell>
          <cell r="F282">
            <v>1.1062670699999999</v>
          </cell>
          <cell r="G282"/>
          <cell r="H282"/>
          <cell r="I282"/>
          <cell r="J282"/>
          <cell r="K282"/>
        </row>
        <row r="283">
          <cell r="B283" t="str">
            <v>VSCVD</v>
          </cell>
          <cell r="C283">
            <v>1.11612241</v>
          </cell>
          <cell r="D283">
            <v>1.1085</v>
          </cell>
          <cell r="E283">
            <v>1.1008772099999999</v>
          </cell>
          <cell r="F283">
            <v>1.10221426</v>
          </cell>
          <cell r="G283"/>
          <cell r="H283"/>
          <cell r="I283"/>
          <cell r="J283"/>
          <cell r="K283"/>
        </row>
        <row r="284">
          <cell r="B284" t="str">
            <v>YM34D</v>
          </cell>
          <cell r="C284">
            <v>1.09652003</v>
          </cell>
          <cell r="D284">
            <v>1.0904818199999999</v>
          </cell>
          <cell r="E284">
            <v>1.08610457</v>
          </cell>
          <cell r="F284">
            <v>1.0854186400000001</v>
          </cell>
          <cell r="G284"/>
          <cell r="H284"/>
          <cell r="I284"/>
          <cell r="J284"/>
          <cell r="K284"/>
        </row>
        <row r="285">
          <cell r="B285" t="str">
            <v>YMCJD</v>
          </cell>
          <cell r="C285">
            <v>1.0211821800000001</v>
          </cell>
          <cell r="D285">
            <v>1.02188777</v>
          </cell>
          <cell r="E285">
            <v>1.0200792000000001</v>
          </cell>
          <cell r="F285">
            <v>1.01162207</v>
          </cell>
          <cell r="G285"/>
          <cell r="H285"/>
          <cell r="I285"/>
          <cell r="J285"/>
          <cell r="K285"/>
        </row>
        <row r="286">
          <cell r="B286" t="str">
            <v>CAC5D</v>
          </cell>
          <cell r="C286">
            <v>0.54844546000000005</v>
          </cell>
          <cell r="D286">
            <v>0.54857454000000005</v>
          </cell>
          <cell r="E286">
            <v>0.54495141999999996</v>
          </cell>
          <cell r="F286">
            <v>0.54368278000000003</v>
          </cell>
          <cell r="G286"/>
          <cell r="H286"/>
          <cell r="I286"/>
          <cell r="J286"/>
          <cell r="K286"/>
        </row>
        <row r="287">
          <cell r="B287" t="str">
            <v>TLCMD</v>
          </cell>
          <cell r="C287">
            <v>1.1255489700000001</v>
          </cell>
          <cell r="D287">
            <v>1.1165014499999999</v>
          </cell>
          <cell r="E287">
            <v>1.11745768</v>
          </cell>
          <cell r="F287">
            <v>1.1095465799999999</v>
          </cell>
          <cell r="G287"/>
          <cell r="H287"/>
          <cell r="I287"/>
          <cell r="J287"/>
          <cell r="K287"/>
        </row>
        <row r="288">
          <cell r="B288" t="str">
            <v>TLCPD</v>
          </cell>
          <cell r="C288">
            <v>1.1187099</v>
          </cell>
          <cell r="D288">
            <v>1.11569071</v>
          </cell>
          <cell r="E288">
            <v>1.1091845</v>
          </cell>
          <cell r="F288">
            <v>1.10853651</v>
          </cell>
          <cell r="G288"/>
          <cell r="H288"/>
          <cell r="I288"/>
          <cell r="J288"/>
          <cell r="K288"/>
        </row>
        <row r="289">
          <cell r="B289" t="str">
            <v>AEC2D</v>
          </cell>
          <cell r="C289">
            <v>0.53138790000000002</v>
          </cell>
          <cell r="D289">
            <v>0.53205670000000005</v>
          </cell>
          <cell r="E289">
            <v>0.52853099999999997</v>
          </cell>
          <cell r="F289">
            <v>0.52773992999999997</v>
          </cell>
          <cell r="G289"/>
          <cell r="H289"/>
          <cell r="I289"/>
          <cell r="J289"/>
          <cell r="K289"/>
        </row>
        <row r="290"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</row>
        <row r="291">
          <cell r="B291" t="str">
            <v>Obligaciones Negociables Hard USD - LE - Contra $</v>
          </cell>
          <cell r="C291"/>
          <cell r="D291"/>
          <cell r="E291"/>
          <cell r="F291"/>
          <cell r="G291"/>
          <cell r="H291"/>
          <cell r="I291"/>
          <cell r="J291"/>
          <cell r="K291"/>
        </row>
        <row r="292"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</row>
        <row r="293">
          <cell r="B293" t="str">
            <v>PNDCO</v>
          </cell>
          <cell r="C293">
            <v>707.68466656999999</v>
          </cell>
          <cell r="D293">
            <v>696.00204865000001</v>
          </cell>
          <cell r="E293">
            <v>698.77824333000001</v>
          </cell>
          <cell r="F293">
            <v>333.58005665000002</v>
          </cell>
          <cell r="G293"/>
          <cell r="H293"/>
          <cell r="I293"/>
          <cell r="J293"/>
          <cell r="K293"/>
        </row>
        <row r="294">
          <cell r="B294" t="str">
            <v>YCAMO</v>
          </cell>
          <cell r="C294">
            <v>1717.2777503100001</v>
          </cell>
          <cell r="D294">
            <v>1688.5934474799999</v>
          </cell>
          <cell r="E294">
            <v>1693.49758365</v>
          </cell>
          <cell r="F294">
            <v>1681.3998223999999</v>
          </cell>
          <cell r="G294"/>
          <cell r="H294"/>
          <cell r="I294"/>
          <cell r="J294"/>
          <cell r="K294"/>
        </row>
        <row r="295">
          <cell r="B295" t="str">
            <v>AER4O</v>
          </cell>
          <cell r="C295">
            <v>1223.93075649</v>
          </cell>
          <cell r="D295">
            <v>1202.89236544</v>
          </cell>
          <cell r="E295">
            <v>1206.17202664</v>
          </cell>
          <cell r="F295">
            <v>1197.79327132</v>
          </cell>
          <cell r="G295"/>
          <cell r="H295"/>
          <cell r="I295"/>
          <cell r="J295"/>
          <cell r="K295"/>
        </row>
        <row r="296">
          <cell r="B296" t="str">
            <v>YMCIO</v>
          </cell>
          <cell r="C296">
            <v>1516.8206442400001</v>
          </cell>
          <cell r="D296">
            <v>1503.41770251</v>
          </cell>
          <cell r="E296">
            <v>1505.9725035500001</v>
          </cell>
          <cell r="F296">
            <v>1498.45806176</v>
          </cell>
          <cell r="G296"/>
          <cell r="H296"/>
          <cell r="I296"/>
          <cell r="J296"/>
          <cell r="K296"/>
        </row>
        <row r="297">
          <cell r="B297" t="str">
            <v>BYCHO</v>
          </cell>
          <cell r="C297">
            <v>1705.00346786</v>
          </cell>
          <cell r="D297">
            <v>1675.06917957</v>
          </cell>
          <cell r="E297">
            <v>1678.9196166300001</v>
          </cell>
          <cell r="F297">
            <v>1667.7326287799999</v>
          </cell>
          <cell r="G297"/>
          <cell r="H297"/>
          <cell r="I297"/>
          <cell r="J297"/>
          <cell r="K297"/>
        </row>
        <row r="298">
          <cell r="B298" t="str">
            <v>YMCUO</v>
          </cell>
          <cell r="C298">
            <v>1573.42487291</v>
          </cell>
          <cell r="D298">
            <v>1583.32201123</v>
          </cell>
          <cell r="E298">
            <v>1610.00867971</v>
          </cell>
          <cell r="F298">
            <v>1585.2526467</v>
          </cell>
          <cell r="G298"/>
          <cell r="H298"/>
          <cell r="I298"/>
          <cell r="J298"/>
          <cell r="K298"/>
        </row>
        <row r="299">
          <cell r="B299" t="str">
            <v>YMC1O</v>
          </cell>
          <cell r="C299">
            <v>1772.52088314</v>
          </cell>
          <cell r="D299">
            <v>1740.7574268799999</v>
          </cell>
          <cell r="E299">
            <v>1745.2029252100001</v>
          </cell>
          <cell r="F299">
            <v>1733.4858117399999</v>
          </cell>
          <cell r="G299"/>
          <cell r="H299"/>
          <cell r="I299"/>
          <cell r="J299"/>
          <cell r="K299"/>
        </row>
        <row r="300">
          <cell r="B300" t="str">
            <v>ARC1O</v>
          </cell>
          <cell r="C300">
            <v>1714.39664859</v>
          </cell>
          <cell r="D300">
            <v>1683.87159651</v>
          </cell>
          <cell r="E300">
            <v>1688.7713561400001</v>
          </cell>
          <cell r="F300">
            <v>1677.0627917500001</v>
          </cell>
          <cell r="G300"/>
          <cell r="H300"/>
          <cell r="I300"/>
          <cell r="J300"/>
          <cell r="K300"/>
        </row>
        <row r="301">
          <cell r="B301" t="str">
            <v>TTCDO</v>
          </cell>
          <cell r="C301">
            <v>1716</v>
          </cell>
          <cell r="D301">
            <v>1693.5182051899999</v>
          </cell>
          <cell r="E301">
            <v>1719.8</v>
          </cell>
          <cell r="F301">
            <v>1691.33677831</v>
          </cell>
          <cell r="G301"/>
          <cell r="H301"/>
          <cell r="I301"/>
          <cell r="J301"/>
          <cell r="K301"/>
        </row>
        <row r="302">
          <cell r="B302" t="str">
            <v>YMCXO</v>
          </cell>
          <cell r="C302">
            <v>1738.36738917</v>
          </cell>
          <cell r="D302">
            <v>1705.7120496099999</v>
          </cell>
          <cell r="E302">
            <v>1717.2799855799999</v>
          </cell>
          <cell r="F302">
            <v>1698.2067790200001</v>
          </cell>
          <cell r="G302"/>
          <cell r="H302"/>
          <cell r="I302"/>
          <cell r="J302"/>
          <cell r="K302"/>
        </row>
        <row r="303">
          <cell r="B303" t="str">
            <v>PNXCO</v>
          </cell>
          <cell r="C303">
            <v>1791.28808888</v>
          </cell>
          <cell r="D303">
            <v>1758.4237722</v>
          </cell>
          <cell r="E303">
            <v>1764.4388808599999</v>
          </cell>
          <cell r="F303">
            <v>1681.79158542</v>
          </cell>
          <cell r="G303"/>
          <cell r="H303"/>
          <cell r="I303"/>
          <cell r="J303"/>
          <cell r="K303"/>
        </row>
        <row r="304">
          <cell r="B304" t="str">
            <v>PLC5O</v>
          </cell>
          <cell r="C304">
            <v>1738.2125127300001</v>
          </cell>
          <cell r="D304">
            <v>1707.4155003000001</v>
          </cell>
          <cell r="E304">
            <v>1731.3658932799999</v>
          </cell>
          <cell r="F304">
            <v>1698.0399054899999</v>
          </cell>
          <cell r="G304"/>
          <cell r="H304"/>
          <cell r="I304"/>
          <cell r="J304"/>
          <cell r="K304"/>
        </row>
        <row r="305">
          <cell r="B305" t="str">
            <v>TSC3O</v>
          </cell>
          <cell r="C305">
            <v>1757.2663322599999</v>
          </cell>
          <cell r="D305">
            <v>1727.9339134700001</v>
          </cell>
          <cell r="E305">
            <v>1736.6</v>
          </cell>
          <cell r="F305">
            <v>1718.49623821</v>
          </cell>
          <cell r="G305"/>
          <cell r="H305"/>
          <cell r="I305"/>
          <cell r="J305"/>
          <cell r="K305"/>
        </row>
        <row r="306">
          <cell r="B306" t="str">
            <v>YFCJO</v>
          </cell>
          <cell r="C306">
            <v>1636.67124911</v>
          </cell>
          <cell r="D306">
            <v>1648.86344033</v>
          </cell>
          <cell r="E306">
            <v>1654.8007153000001</v>
          </cell>
          <cell r="F306">
            <v>1642.84030461</v>
          </cell>
          <cell r="G306"/>
          <cell r="H306"/>
          <cell r="I306"/>
          <cell r="J306"/>
          <cell r="K306"/>
        </row>
        <row r="307">
          <cell r="B307" t="str">
            <v>MGCMO</v>
          </cell>
          <cell r="C307">
            <v>1720</v>
          </cell>
          <cell r="D307">
            <v>1699.8</v>
          </cell>
          <cell r="E307">
            <v>1686.2</v>
          </cell>
          <cell r="F307">
            <v>1662.2325616999999</v>
          </cell>
          <cell r="G307"/>
          <cell r="H307"/>
          <cell r="I307"/>
          <cell r="J307"/>
          <cell r="K307"/>
        </row>
        <row r="308">
          <cell r="B308" t="str">
            <v>TTCAO</v>
          </cell>
          <cell r="C308">
            <v>1664.5451309499999</v>
          </cell>
          <cell r="D308">
            <v>1634</v>
          </cell>
          <cell r="E308">
            <v>1614.64668117</v>
          </cell>
          <cell r="F308">
            <v>1603.6390050699999</v>
          </cell>
          <cell r="G308"/>
          <cell r="H308"/>
          <cell r="I308"/>
          <cell r="J308"/>
          <cell r="K308"/>
        </row>
        <row r="309">
          <cell r="B309" t="str">
            <v>PLC4O</v>
          </cell>
          <cell r="C309">
            <v>1745.1227633799999</v>
          </cell>
          <cell r="D309">
            <v>1720.1541381</v>
          </cell>
          <cell r="E309">
            <v>1747.7978731799999</v>
          </cell>
          <cell r="F309">
            <v>1730.2496018899999</v>
          </cell>
          <cell r="G309"/>
          <cell r="H309"/>
          <cell r="I309"/>
          <cell r="J309"/>
          <cell r="K309"/>
        </row>
        <row r="310">
          <cell r="B310" t="str">
            <v>VSCVO</v>
          </cell>
          <cell r="C310">
            <v>1761.3792990300001</v>
          </cell>
          <cell r="D310">
            <v>1736.7815661</v>
          </cell>
          <cell r="E310">
            <v>1740.3671492799999</v>
          </cell>
          <cell r="F310">
            <v>1731.40685676</v>
          </cell>
          <cell r="G310"/>
          <cell r="H310"/>
          <cell r="I310"/>
          <cell r="J310"/>
          <cell r="K310"/>
        </row>
        <row r="311">
          <cell r="B311" t="str">
            <v>YM34O</v>
          </cell>
          <cell r="C311">
            <v>1723.05750913</v>
          </cell>
          <cell r="D311">
            <v>1692.32616644</v>
          </cell>
          <cell r="E311">
            <v>1706.1232724199999</v>
          </cell>
          <cell r="F311">
            <v>1698.2094014300001</v>
          </cell>
          <cell r="G311"/>
          <cell r="H311"/>
          <cell r="I311"/>
          <cell r="J311"/>
          <cell r="K311"/>
        </row>
        <row r="312">
          <cell r="B312" t="str">
            <v>YMCJO</v>
          </cell>
          <cell r="C312">
            <v>1603.3775420500001</v>
          </cell>
          <cell r="D312">
            <v>1596.0196141199999</v>
          </cell>
          <cell r="E312">
            <v>1603.2317615300001</v>
          </cell>
          <cell r="F312">
            <v>1581.1534231999999</v>
          </cell>
          <cell r="G312"/>
          <cell r="H312"/>
          <cell r="I312"/>
          <cell r="J312"/>
          <cell r="K312"/>
        </row>
        <row r="313">
          <cell r="B313" t="str">
            <v>CAC5O</v>
          </cell>
          <cell r="C313">
            <v>867.91522542999996</v>
          </cell>
          <cell r="D313">
            <v>853.32987609999998</v>
          </cell>
          <cell r="E313">
            <v>855.75419624999995</v>
          </cell>
          <cell r="F313">
            <v>849.74537461</v>
          </cell>
          <cell r="G313"/>
          <cell r="H313"/>
          <cell r="I313"/>
          <cell r="J313"/>
          <cell r="K313"/>
        </row>
        <row r="314">
          <cell r="B314" t="str">
            <v>TLCMO</v>
          </cell>
          <cell r="C314">
            <v>1763.97478456</v>
          </cell>
          <cell r="D314">
            <v>1739.25667987</v>
          </cell>
          <cell r="E314">
            <v>1739.8011028599999</v>
          </cell>
          <cell r="F314">
            <v>1734.0783697700001</v>
          </cell>
          <cell r="G314"/>
          <cell r="H314"/>
          <cell r="I314"/>
          <cell r="J314"/>
          <cell r="K314"/>
        </row>
        <row r="315">
          <cell r="B315" t="str">
            <v>TLCPO</v>
          </cell>
          <cell r="C315">
            <v>1753.49123738</v>
          </cell>
          <cell r="D315">
            <v>1768.90640949</v>
          </cell>
          <cell r="E315">
            <v>1749.70647459</v>
          </cell>
          <cell r="F315">
            <v>1762.81873432</v>
          </cell>
          <cell r="G315"/>
          <cell r="H315"/>
          <cell r="I315"/>
          <cell r="J315"/>
          <cell r="K315"/>
        </row>
        <row r="316">
          <cell r="B316" t="str">
            <v>AEC2O</v>
          </cell>
          <cell r="C316">
            <v>852.51601225000002</v>
          </cell>
          <cell r="D316">
            <v>838.25392394000005</v>
          </cell>
          <cell r="E316">
            <v>841.11886262999997</v>
          </cell>
          <cell r="F316">
            <v>835.14199309000003</v>
          </cell>
          <cell r="G316"/>
          <cell r="H316"/>
          <cell r="I316"/>
          <cell r="J316"/>
          <cell r="K316"/>
        </row>
        <row r="317"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</row>
        <row r="318">
          <cell r="B318" t="str">
            <v>Obligaciones Negociables Dólar linked</v>
          </cell>
          <cell r="C318"/>
          <cell r="D318"/>
          <cell r="E318"/>
          <cell r="F318"/>
          <cell r="G318"/>
          <cell r="H318"/>
          <cell r="I318"/>
          <cell r="J318"/>
          <cell r="K318"/>
        </row>
        <row r="319"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</row>
        <row r="320">
          <cell r="B320" t="str">
            <v>GE22P</v>
          </cell>
          <cell r="C320">
            <v>526.46141843999999</v>
          </cell>
          <cell r="D320">
            <v>525.93975558</v>
          </cell>
          <cell r="E320">
            <v>525.91935736000005</v>
          </cell>
          <cell r="F320">
            <v>526.37280170999998</v>
          </cell>
          <cell r="G320"/>
          <cell r="H320"/>
          <cell r="I320"/>
          <cell r="J320"/>
          <cell r="K320"/>
        </row>
        <row r="321">
          <cell r="B321" t="str">
            <v>HA12L</v>
          </cell>
          <cell r="C321">
            <v>1549.53680145</v>
          </cell>
          <cell r="D321">
            <v>1552.76683929</v>
          </cell>
          <cell r="E321">
            <v>1556.72375422</v>
          </cell>
          <cell r="F321">
            <v>1561.0882760699999</v>
          </cell>
          <cell r="G321"/>
          <cell r="H321"/>
          <cell r="I321"/>
          <cell r="J321"/>
          <cell r="K321"/>
        </row>
        <row r="322">
          <cell r="B322" t="str">
            <v>APS1L</v>
          </cell>
          <cell r="C322">
            <v>1558.2230448299999</v>
          </cell>
          <cell r="D322">
            <v>1556.7206898899999</v>
          </cell>
          <cell r="E322">
            <v>1556.7020516699999</v>
          </cell>
          <cell r="F322">
            <v>1558.0860790700001</v>
          </cell>
          <cell r="G322"/>
          <cell r="H322"/>
          <cell r="I322"/>
          <cell r="J322"/>
          <cell r="K322"/>
        </row>
        <row r="323">
          <cell r="B323" t="str">
            <v>GN37O</v>
          </cell>
          <cell r="C323">
            <v>512.92876188000002</v>
          </cell>
          <cell r="D323">
            <v>512.39624775000004</v>
          </cell>
          <cell r="E323">
            <v>512.35210273999996</v>
          </cell>
          <cell r="F323">
            <v>512.76954401</v>
          </cell>
          <cell r="G323"/>
          <cell r="H323"/>
          <cell r="I323"/>
          <cell r="J323"/>
          <cell r="K323"/>
        </row>
        <row r="324">
          <cell r="B324" t="str">
            <v>VSCIO</v>
          </cell>
          <cell r="C324">
            <v>1534.61013185</v>
          </cell>
          <cell r="D324">
            <v>1533.02371743</v>
          </cell>
          <cell r="E324">
            <v>1532.8984448900001</v>
          </cell>
          <cell r="F324">
            <v>1534.15420221</v>
          </cell>
          <cell r="G324"/>
          <cell r="H324"/>
          <cell r="I324"/>
          <cell r="J324"/>
          <cell r="K324"/>
        </row>
        <row r="325">
          <cell r="B325" t="str">
            <v>PNJCO</v>
          </cell>
          <cell r="C325">
            <v>1535.2959672500001</v>
          </cell>
          <cell r="D325">
            <v>1533.7224780900001</v>
          </cell>
          <cell r="E325">
            <v>1533.6108055899999</v>
          </cell>
          <cell r="F325">
            <v>1534.8808388499999</v>
          </cell>
          <cell r="G325"/>
          <cell r="H325"/>
          <cell r="I325"/>
          <cell r="J325"/>
          <cell r="K325"/>
        </row>
        <row r="326">
          <cell r="B326" t="str">
            <v>VSCJO</v>
          </cell>
          <cell r="C326">
            <v>1521.9927974300001</v>
          </cell>
          <cell r="D326">
            <v>1520.4377643099999</v>
          </cell>
          <cell r="E326">
            <v>1520.33188913</v>
          </cell>
          <cell r="F326">
            <v>1521.59576821</v>
          </cell>
          <cell r="G326"/>
          <cell r="H326"/>
          <cell r="I326"/>
          <cell r="J326"/>
          <cell r="K326"/>
        </row>
        <row r="327">
          <cell r="B327" t="str">
            <v>TLCDO</v>
          </cell>
          <cell r="C327">
            <v>1528.61478278</v>
          </cell>
          <cell r="D327">
            <v>1527.0541496200001</v>
          </cell>
          <cell r="E327">
            <v>1526.9489813800001</v>
          </cell>
          <cell r="F327">
            <v>1528.2195320599999</v>
          </cell>
          <cell r="G327"/>
          <cell r="H327"/>
          <cell r="I327"/>
          <cell r="J327"/>
          <cell r="K327"/>
        </row>
        <row r="328">
          <cell r="B328" t="str">
            <v>PNZCO</v>
          </cell>
          <cell r="C328">
            <v>1501.0290626999999</v>
          </cell>
          <cell r="D328">
            <v>1499.51772611</v>
          </cell>
          <cell r="E328">
            <v>1499.43562322</v>
          </cell>
          <cell r="F328">
            <v>1500.7045044199999</v>
          </cell>
          <cell r="G328"/>
          <cell r="H328"/>
          <cell r="I328"/>
          <cell r="J328"/>
          <cell r="K328"/>
        </row>
        <row r="329">
          <cell r="B329" t="str">
            <v>OLC3O</v>
          </cell>
          <cell r="C329">
            <v>1509.2753</v>
          </cell>
          <cell r="D329">
            <v>1498.2662938000001</v>
          </cell>
          <cell r="E329">
            <v>1498.1853795100001</v>
          </cell>
          <cell r="F329">
            <v>1499.4543257099999</v>
          </cell>
          <cell r="G329"/>
          <cell r="H329"/>
          <cell r="I329"/>
          <cell r="J329"/>
          <cell r="K329"/>
        </row>
        <row r="330">
          <cell r="B330" t="str">
            <v>MGCEO</v>
          </cell>
          <cell r="C330">
            <v>1469.2964346900001</v>
          </cell>
          <cell r="D330">
            <v>1467.8399626800001</v>
          </cell>
          <cell r="E330">
            <v>1467.7825475899999</v>
          </cell>
          <cell r="F330">
            <v>1469.04765615</v>
          </cell>
          <cell r="G330"/>
          <cell r="H330"/>
          <cell r="I330"/>
          <cell r="J330"/>
          <cell r="K330"/>
        </row>
        <row r="331">
          <cell r="B331" t="str">
            <v>OLC2O</v>
          </cell>
          <cell r="C331">
            <v>1460.1653664800001</v>
          </cell>
          <cell r="D331">
            <v>1458.7346271500001</v>
          </cell>
          <cell r="E331">
            <v>1458.6942783899999</v>
          </cell>
          <cell r="F331">
            <v>1459.9683077899999</v>
          </cell>
          <cell r="G331"/>
          <cell r="H331"/>
          <cell r="I331"/>
          <cell r="J331"/>
          <cell r="K331"/>
        </row>
        <row r="332">
          <cell r="B332" t="str">
            <v>MR43O</v>
          </cell>
          <cell r="C332">
            <v>462.14253000000002</v>
          </cell>
          <cell r="D332">
            <v>461.6223</v>
          </cell>
          <cell r="E332">
            <v>461.54217</v>
          </cell>
          <cell r="F332">
            <v>461.87790000000001</v>
          </cell>
          <cell r="G332"/>
          <cell r="H332"/>
          <cell r="I332"/>
          <cell r="J332"/>
          <cell r="K332"/>
        </row>
        <row r="333">
          <cell r="B333" t="str">
            <v>DRSAO</v>
          </cell>
          <cell r="C333">
            <v>9.9999999999999995E-8</v>
          </cell>
          <cell r="D333">
            <v>9.9999999999999995E-8</v>
          </cell>
          <cell r="E333">
            <v>9.9999999999999995E-8</v>
          </cell>
          <cell r="F333">
            <v>9.9999999999999995E-8</v>
          </cell>
          <cell r="G333"/>
          <cell r="H333"/>
          <cell r="I333"/>
          <cell r="J333"/>
          <cell r="K333"/>
        </row>
        <row r="334">
          <cell r="B334"/>
          <cell r="C334"/>
          <cell r="D334"/>
          <cell r="E334"/>
          <cell r="F334"/>
          <cell r="G334"/>
          <cell r="H334"/>
          <cell r="I334"/>
          <cell r="J334"/>
          <cell r="K334"/>
        </row>
        <row r="335">
          <cell r="B335" t="str">
            <v>Fideicomisos Financieros Tamar</v>
          </cell>
          <cell r="C335"/>
          <cell r="D335"/>
          <cell r="E335"/>
          <cell r="F335"/>
          <cell r="G335"/>
          <cell r="H335"/>
          <cell r="I335"/>
          <cell r="J335"/>
          <cell r="K335"/>
        </row>
        <row r="336">
          <cell r="B336"/>
          <cell r="C336"/>
          <cell r="D336"/>
          <cell r="E336"/>
          <cell r="F336"/>
          <cell r="G336"/>
          <cell r="H336"/>
          <cell r="I336"/>
          <cell r="J336"/>
          <cell r="K336"/>
        </row>
        <row r="337">
          <cell r="B337" t="str">
            <v>CO18A</v>
          </cell>
          <cell r="C337">
            <v>0.18479005000000001</v>
          </cell>
          <cell r="D337">
            <v>0.18492233999999999</v>
          </cell>
          <cell r="E337">
            <v>0.18501569000000001</v>
          </cell>
          <cell r="F337">
            <v>0.18514046000000001</v>
          </cell>
          <cell r="G337"/>
          <cell r="H337"/>
          <cell r="I337"/>
          <cell r="J337"/>
          <cell r="K337"/>
        </row>
        <row r="338">
          <cell r="B338" t="str">
            <v>CO17A</v>
          </cell>
          <cell r="C338">
            <v>0.20138434999999999</v>
          </cell>
          <cell r="D338">
            <v>0.20152853000000001</v>
          </cell>
          <cell r="E338">
            <v>0.20163026000000001</v>
          </cell>
          <cell r="F338">
            <v>0.20176622999999999</v>
          </cell>
          <cell r="G338"/>
          <cell r="H338"/>
          <cell r="I338"/>
          <cell r="J338"/>
          <cell r="K338"/>
        </row>
        <row r="339">
          <cell r="B339" t="str">
            <v>CO19A</v>
          </cell>
          <cell r="C339">
            <v>0.83204767000000002</v>
          </cell>
          <cell r="D339">
            <v>0.83272376999999997</v>
          </cell>
          <cell r="E339">
            <v>0.83325265999999998</v>
          </cell>
          <cell r="F339">
            <v>0.83385171999999996</v>
          </cell>
          <cell r="G339"/>
          <cell r="H339"/>
          <cell r="I339"/>
          <cell r="J339"/>
          <cell r="K339"/>
        </row>
        <row r="340">
          <cell r="B340" t="str">
            <v>CO20A</v>
          </cell>
          <cell r="C340">
            <v>1.01449729</v>
          </cell>
          <cell r="D340">
            <v>1.0153198800000001</v>
          </cell>
          <cell r="E340">
            <v>1.0160790200000001</v>
          </cell>
          <cell r="F340">
            <v>1.01683061</v>
          </cell>
          <cell r="G340"/>
          <cell r="H340"/>
          <cell r="I340"/>
          <cell r="J340"/>
          <cell r="K340"/>
        </row>
        <row r="341">
          <cell r="B341" t="str">
            <v>CF82A</v>
          </cell>
          <cell r="C341"/>
          <cell r="D341"/>
          <cell r="E341">
            <v>1.8828580000000001E-2</v>
          </cell>
          <cell r="F341">
            <v>1.8841179999999999E-2</v>
          </cell>
          <cell r="G341"/>
          <cell r="H341"/>
          <cell r="I341"/>
          <cell r="J341"/>
          <cell r="K341"/>
        </row>
        <row r="342">
          <cell r="B342" t="str">
            <v>M333A</v>
          </cell>
          <cell r="C342">
            <v>0.15156359999999999</v>
          </cell>
          <cell r="D342">
            <v>0.15167473000000001</v>
          </cell>
          <cell r="E342">
            <v>0.15174783999999999</v>
          </cell>
          <cell r="F342">
            <v>0.15184755</v>
          </cell>
          <cell r="G342"/>
          <cell r="H342"/>
          <cell r="I342"/>
          <cell r="J342"/>
          <cell r="K342"/>
        </row>
        <row r="343">
          <cell r="B343" t="str">
            <v>M331A</v>
          </cell>
          <cell r="C343">
            <v>5.528317E-2</v>
          </cell>
          <cell r="D343">
            <v>5.5323709999999998E-2</v>
          </cell>
          <cell r="E343">
            <v>5.5350370000000003E-2</v>
          </cell>
          <cell r="F343">
            <v>5.5386739999999997E-2</v>
          </cell>
          <cell r="G343"/>
          <cell r="H343"/>
          <cell r="I343"/>
          <cell r="J343"/>
          <cell r="K343"/>
        </row>
        <row r="344">
          <cell r="B344" t="str">
            <v>M329A</v>
          </cell>
          <cell r="C344">
            <v>2.2097169999999999E-2</v>
          </cell>
          <cell r="D344">
            <v>2.211337E-2</v>
          </cell>
          <cell r="E344">
            <v>2.2124029999999999E-2</v>
          </cell>
          <cell r="F344">
            <v>2.2138560000000002E-2</v>
          </cell>
          <cell r="G344"/>
          <cell r="H344"/>
          <cell r="I344"/>
          <cell r="J344"/>
          <cell r="K344"/>
        </row>
        <row r="345">
          <cell r="B345" t="str">
            <v>M322A</v>
          </cell>
          <cell r="C345">
            <v>4.3767630000000002E-2</v>
          </cell>
          <cell r="D345">
            <v>4.3800020000000002E-2</v>
          </cell>
          <cell r="E345">
            <v>4.3820329999999998E-2</v>
          </cell>
          <cell r="F345">
            <v>4.3848999999999999E-2</v>
          </cell>
          <cell r="G345"/>
          <cell r="H345"/>
          <cell r="I345"/>
          <cell r="J345"/>
          <cell r="K345"/>
        </row>
        <row r="346">
          <cell r="B346" t="str">
            <v>M320A</v>
          </cell>
          <cell r="C346">
            <v>9.1065999999999999E-4</v>
          </cell>
          <cell r="D346">
            <v>9.1133000000000002E-4</v>
          </cell>
          <cell r="E346">
            <v>9.1175000000000002E-4</v>
          </cell>
          <cell r="F346">
            <v>9.1235000000000003E-4</v>
          </cell>
          <cell r="G346"/>
          <cell r="H346"/>
          <cell r="I346"/>
          <cell r="J346"/>
          <cell r="K346"/>
        </row>
        <row r="347">
          <cell r="B347" t="str">
            <v>CF83A</v>
          </cell>
          <cell r="C347">
            <v>0.1827153</v>
          </cell>
          <cell r="D347">
            <v>0.18284764000000001</v>
          </cell>
          <cell r="E347">
            <v>0.18294041999999999</v>
          </cell>
          <cell r="F347">
            <v>0.18306127999999999</v>
          </cell>
          <cell r="G347"/>
          <cell r="H347"/>
          <cell r="I347"/>
          <cell r="J347"/>
          <cell r="K347"/>
        </row>
        <row r="348">
          <cell r="B348" t="str">
            <v>CU57A</v>
          </cell>
          <cell r="C348">
            <v>0.12023346</v>
          </cell>
          <cell r="D348">
            <v>0.12032065</v>
          </cell>
          <cell r="E348">
            <v>0.12038113</v>
          </cell>
          <cell r="F348">
            <v>0.12046068</v>
          </cell>
          <cell r="G348"/>
          <cell r="H348"/>
          <cell r="I348"/>
          <cell r="J348"/>
          <cell r="K348"/>
        </row>
        <row r="349">
          <cell r="B349" t="str">
            <v>CU58A</v>
          </cell>
          <cell r="C349">
            <v>0.20772785999999999</v>
          </cell>
          <cell r="D349">
            <v>0.20787958000000001</v>
          </cell>
          <cell r="E349">
            <v>0.20797850000000001</v>
          </cell>
          <cell r="F349">
            <v>0.20811605999999999</v>
          </cell>
          <cell r="G349"/>
          <cell r="H349"/>
          <cell r="I349"/>
          <cell r="J349"/>
          <cell r="K349"/>
        </row>
        <row r="350">
          <cell r="B350" t="str">
            <v>DT44A</v>
          </cell>
          <cell r="C350">
            <v>0.16199129000000001</v>
          </cell>
          <cell r="D350">
            <v>0.16210582000000001</v>
          </cell>
          <cell r="E350">
            <v>0.16219201</v>
          </cell>
          <cell r="F350">
            <v>0.16230205</v>
          </cell>
          <cell r="G350"/>
          <cell r="H350"/>
          <cell r="I350"/>
          <cell r="J350"/>
          <cell r="K350"/>
        </row>
        <row r="351">
          <cell r="B351" t="str">
            <v>DT45A</v>
          </cell>
          <cell r="C351">
            <v>0.26809778000000001</v>
          </cell>
          <cell r="D351">
            <v>0.26828919000000001</v>
          </cell>
          <cell r="E351">
            <v>0.2684204</v>
          </cell>
          <cell r="F351">
            <v>0.26860288999999998</v>
          </cell>
          <cell r="G351"/>
          <cell r="H351"/>
          <cell r="I351"/>
          <cell r="J351"/>
          <cell r="K351"/>
        </row>
        <row r="352">
          <cell r="B352" t="str">
            <v>CU59A</v>
          </cell>
          <cell r="C352">
            <v>0.41327989999999998</v>
          </cell>
          <cell r="D352">
            <v>0.41358752999999998</v>
          </cell>
          <cell r="E352">
            <v>0.41375838999999998</v>
          </cell>
          <cell r="F352">
            <v>0.41403303000000002</v>
          </cell>
          <cell r="G352"/>
          <cell r="H352"/>
          <cell r="I352"/>
          <cell r="J352"/>
          <cell r="K352"/>
        </row>
        <row r="353">
          <cell r="B353" t="str">
            <v>M341A</v>
          </cell>
          <cell r="C353">
            <v>0.16118452999999999</v>
          </cell>
          <cell r="D353">
            <v>0.1613018</v>
          </cell>
          <cell r="E353">
            <v>0.16136687</v>
          </cell>
          <cell r="F353">
            <v>0.16147754</v>
          </cell>
          <cell r="G353"/>
          <cell r="H353"/>
          <cell r="I353"/>
          <cell r="J353"/>
          <cell r="K353"/>
        </row>
        <row r="354">
          <cell r="B354" t="str">
            <v>C200A</v>
          </cell>
          <cell r="C354">
            <v>0.22908043</v>
          </cell>
          <cell r="D354">
            <v>0.22925356999999999</v>
          </cell>
          <cell r="E354">
            <v>0.22934302000000001</v>
          </cell>
          <cell r="F354">
            <v>0.22949404000000001</v>
          </cell>
          <cell r="G354"/>
          <cell r="H354"/>
          <cell r="I354"/>
          <cell r="J354"/>
          <cell r="K354"/>
        </row>
        <row r="355">
          <cell r="B355" t="str">
            <v>M343A</v>
          </cell>
          <cell r="C355">
            <v>0.26234278999999999</v>
          </cell>
          <cell r="D355">
            <v>0.26253554000000001</v>
          </cell>
          <cell r="E355">
            <v>0.26263507000000003</v>
          </cell>
          <cell r="F355">
            <v>0.26281555000000001</v>
          </cell>
          <cell r="G355"/>
          <cell r="H355"/>
          <cell r="I355"/>
          <cell r="J355"/>
          <cell r="K355"/>
        </row>
        <row r="356">
          <cell r="B356" t="str">
            <v>C201A</v>
          </cell>
          <cell r="C356">
            <v>0.25722627999999997</v>
          </cell>
          <cell r="D356">
            <v>0.25742092999999999</v>
          </cell>
          <cell r="E356">
            <v>0.25752068</v>
          </cell>
          <cell r="F356">
            <v>0.25769037</v>
          </cell>
          <cell r="G356"/>
          <cell r="H356"/>
          <cell r="I356"/>
          <cell r="J356"/>
          <cell r="K356"/>
        </row>
        <row r="357">
          <cell r="B357" t="str">
            <v>CF86A</v>
          </cell>
          <cell r="C357">
            <v>0.36970426000000001</v>
          </cell>
          <cell r="D357">
            <v>0.36997645000000001</v>
          </cell>
          <cell r="E357">
            <v>0.37012542999999998</v>
          </cell>
          <cell r="F357">
            <v>0.37037622999999997</v>
          </cell>
          <cell r="G357"/>
          <cell r="H357"/>
          <cell r="I357"/>
          <cell r="J357"/>
          <cell r="K357"/>
        </row>
        <row r="358">
          <cell r="B358" t="str">
            <v>DT46A</v>
          </cell>
          <cell r="C358">
            <v>0.63234288000000005</v>
          </cell>
          <cell r="D358">
            <v>0.63280345999999998</v>
          </cell>
          <cell r="E358">
            <v>0.63307086999999995</v>
          </cell>
          <cell r="F358">
            <v>0.63350313999999996</v>
          </cell>
          <cell r="G358"/>
          <cell r="H358"/>
          <cell r="I358"/>
          <cell r="J358"/>
          <cell r="K358"/>
        </row>
        <row r="359">
          <cell r="B359" t="str">
            <v>M345A</v>
          </cell>
          <cell r="C359">
            <v>0.32819124</v>
          </cell>
          <cell r="D359">
            <v>0.32843467999999998</v>
          </cell>
          <cell r="E359">
            <v>0.32855424999999999</v>
          </cell>
          <cell r="F359">
            <v>0.32878060999999997</v>
          </cell>
          <cell r="G359"/>
          <cell r="H359"/>
          <cell r="I359"/>
          <cell r="J359"/>
          <cell r="K359"/>
        </row>
        <row r="360">
          <cell r="B360" t="str">
            <v>CU60A</v>
          </cell>
          <cell r="C360">
            <v>0.70475469999999996</v>
          </cell>
          <cell r="D360">
            <v>0.70528268000000005</v>
          </cell>
          <cell r="E360">
            <v>0.70557318999999996</v>
          </cell>
          <cell r="F360">
            <v>0.70604241000000001</v>
          </cell>
          <cell r="G360"/>
          <cell r="H360"/>
          <cell r="I360"/>
          <cell r="J360"/>
          <cell r="K360"/>
        </row>
        <row r="361">
          <cell r="B361" t="str">
            <v>CU61A</v>
          </cell>
          <cell r="C361">
            <v>1.0051552100000001</v>
          </cell>
          <cell r="D361">
            <v>1.0059102</v>
          </cell>
          <cell r="E361">
            <v>1.0063253599999999</v>
          </cell>
          <cell r="F361">
            <v>1.0069953899999999</v>
          </cell>
          <cell r="G361"/>
          <cell r="H361"/>
          <cell r="I361"/>
          <cell r="J361"/>
          <cell r="K361"/>
        </row>
        <row r="362">
          <cell r="B362" t="str">
            <v>M347A</v>
          </cell>
          <cell r="C362">
            <v>0.42546639000000003</v>
          </cell>
          <cell r="D362">
            <v>0.42578724000000001</v>
          </cell>
          <cell r="E362">
            <v>0.42593639999999999</v>
          </cell>
          <cell r="F362">
            <v>0.42623162999999997</v>
          </cell>
          <cell r="G362"/>
          <cell r="H362"/>
          <cell r="I362"/>
          <cell r="J362"/>
          <cell r="K362"/>
        </row>
        <row r="363">
          <cell r="B363" t="str">
            <v>C202A</v>
          </cell>
          <cell r="C363">
            <v>0.60001519000000003</v>
          </cell>
          <cell r="D363">
            <v>0.60049067</v>
          </cell>
          <cell r="E363">
            <v>0.60071463999999997</v>
          </cell>
          <cell r="F363">
            <v>0.60111888999999996</v>
          </cell>
          <cell r="G363"/>
          <cell r="H363"/>
          <cell r="I363"/>
          <cell r="J363"/>
          <cell r="K363"/>
        </row>
        <row r="364">
          <cell r="B364" t="str">
            <v>SK01A</v>
          </cell>
          <cell r="C364">
            <v>0.32405144000000002</v>
          </cell>
          <cell r="D364">
            <v>0.32429305000000003</v>
          </cell>
          <cell r="E364">
            <v>0.32441428999999999</v>
          </cell>
          <cell r="F364">
            <v>0.32463909000000002</v>
          </cell>
          <cell r="G364"/>
          <cell r="H364"/>
          <cell r="I364"/>
          <cell r="J364"/>
          <cell r="K364"/>
        </row>
        <row r="365">
          <cell r="B365" t="str">
            <v>DT47A</v>
          </cell>
          <cell r="C365">
            <v>1.00506574</v>
          </cell>
          <cell r="D365">
            <v>1.00581393</v>
          </cell>
          <cell r="E365">
            <v>1.00620021</v>
          </cell>
          <cell r="F365">
            <v>1.0068920699999999</v>
          </cell>
          <cell r="G365"/>
          <cell r="H365"/>
          <cell r="I365"/>
          <cell r="J365"/>
          <cell r="K365"/>
        </row>
        <row r="366">
          <cell r="B366" t="str">
            <v>CU62A</v>
          </cell>
          <cell r="C366"/>
          <cell r="D366"/>
          <cell r="E366">
            <v>0.98768412999999999</v>
          </cell>
          <cell r="F366">
            <v>0.98409166000000003</v>
          </cell>
          <cell r="G366"/>
          <cell r="H366"/>
          <cell r="I366"/>
          <cell r="J366"/>
          <cell r="K366"/>
        </row>
        <row r="367">
          <cell r="B367" t="str">
            <v>M349A</v>
          </cell>
          <cell r="C367">
            <v>0.53360088999999999</v>
          </cell>
          <cell r="D367">
            <v>0.53400901000000001</v>
          </cell>
          <cell r="E367">
            <v>0.53420294000000001</v>
          </cell>
          <cell r="F367">
            <v>0.53457573999999997</v>
          </cell>
          <cell r="G367"/>
          <cell r="H367"/>
          <cell r="I367"/>
          <cell r="J367"/>
          <cell r="K367"/>
        </row>
        <row r="368">
          <cell r="B368" t="str">
            <v>M351A</v>
          </cell>
          <cell r="C368">
            <v>0.58066046000000004</v>
          </cell>
          <cell r="D368">
            <v>0.58110600000000001</v>
          </cell>
          <cell r="E368">
            <v>0.58131924999999995</v>
          </cell>
          <cell r="F368">
            <v>0.58172557999999996</v>
          </cell>
          <cell r="G368"/>
          <cell r="H368"/>
          <cell r="I368"/>
          <cell r="J368"/>
          <cell r="K368"/>
        </row>
        <row r="369">
          <cell r="B369" t="str">
            <v>M353A</v>
          </cell>
          <cell r="C369">
            <v>0.65659011</v>
          </cell>
          <cell r="D369">
            <v>0.65709496999999994</v>
          </cell>
          <cell r="E369">
            <v>0.65734475999999997</v>
          </cell>
          <cell r="F369">
            <v>0.65780506000000005</v>
          </cell>
          <cell r="G369"/>
          <cell r="H369"/>
          <cell r="I369"/>
          <cell r="J369"/>
          <cell r="K369"/>
        </row>
        <row r="370">
          <cell r="B370" t="str">
            <v>M355A</v>
          </cell>
          <cell r="C370">
            <v>0.79305912999999995</v>
          </cell>
          <cell r="D370">
            <v>0.79367441999999999</v>
          </cell>
          <cell r="E370">
            <v>0.79399706000000003</v>
          </cell>
          <cell r="F370">
            <v>0.79455609999999999</v>
          </cell>
          <cell r="G370"/>
          <cell r="H370"/>
          <cell r="I370"/>
          <cell r="J370"/>
          <cell r="K370"/>
        </row>
        <row r="371">
          <cell r="B371" t="str">
            <v>DT48A</v>
          </cell>
          <cell r="C371">
            <v>1.00333779</v>
          </cell>
          <cell r="D371">
            <v>1.0041042</v>
          </cell>
          <cell r="E371">
            <v>1.0044413999999999</v>
          </cell>
          <cell r="F371">
            <v>1.00513808</v>
          </cell>
          <cell r="G371"/>
          <cell r="H371"/>
          <cell r="I371"/>
          <cell r="J371"/>
          <cell r="K371"/>
        </row>
        <row r="372">
          <cell r="B372" t="str">
            <v>C203A</v>
          </cell>
          <cell r="C372">
            <v>1.01562661</v>
          </cell>
          <cell r="D372">
            <v>1.0163881800000001</v>
          </cell>
          <cell r="E372">
            <v>1.01770681</v>
          </cell>
          <cell r="F372">
            <v>0.80118592</v>
          </cell>
          <cell r="G372"/>
          <cell r="H372"/>
          <cell r="I372"/>
          <cell r="J372"/>
          <cell r="K372"/>
        </row>
        <row r="373">
          <cell r="B373" t="str">
            <v>DT49A</v>
          </cell>
          <cell r="C373">
            <v>1.00105511</v>
          </cell>
          <cell r="D373">
            <v>1.00183584</v>
          </cell>
          <cell r="E373">
            <v>1.00216528</v>
          </cell>
          <cell r="F373">
            <v>1.0028664</v>
          </cell>
          <cell r="G373"/>
          <cell r="H373"/>
          <cell r="I373"/>
          <cell r="J373"/>
          <cell r="K373"/>
        </row>
        <row r="374">
          <cell r="B374" t="str">
            <v>M357A</v>
          </cell>
          <cell r="C374">
            <v>0.92574166999999996</v>
          </cell>
          <cell r="D374">
            <v>0.92646680000000003</v>
          </cell>
          <cell r="E374">
            <v>0.92688387000000005</v>
          </cell>
          <cell r="F374">
            <v>0.92754139999999996</v>
          </cell>
          <cell r="G374"/>
          <cell r="H374"/>
          <cell r="I374"/>
          <cell r="J374"/>
          <cell r="K374"/>
        </row>
        <row r="375">
          <cell r="B375" t="str">
            <v>DT50A</v>
          </cell>
          <cell r="C375">
            <v>1.0001844600000001</v>
          </cell>
          <cell r="D375">
            <v>1.0009676599999999</v>
          </cell>
          <cell r="E375">
            <v>1.00131064</v>
          </cell>
          <cell r="F375">
            <v>1.00201289</v>
          </cell>
          <cell r="G375"/>
          <cell r="H375"/>
          <cell r="I375"/>
          <cell r="J375"/>
          <cell r="K375"/>
        </row>
        <row r="376">
          <cell r="B376" t="str">
            <v>WC08A</v>
          </cell>
          <cell r="C376">
            <v>0.82549437000000003</v>
          </cell>
          <cell r="D376">
            <v>0.82615411999999999</v>
          </cell>
          <cell r="E376">
            <v>0.82658310999999995</v>
          </cell>
          <cell r="F376">
            <v>0.82716073999999995</v>
          </cell>
          <cell r="G376"/>
          <cell r="H376"/>
          <cell r="I376"/>
          <cell r="J376"/>
          <cell r="K376"/>
        </row>
        <row r="377">
          <cell r="B377" t="str">
            <v>M359A</v>
          </cell>
          <cell r="C377">
            <v>1.0231993699999999</v>
          </cell>
          <cell r="D377">
            <v>1.02400351</v>
          </cell>
          <cell r="E377">
            <v>1.02447746</v>
          </cell>
          <cell r="F377">
            <v>1.0252050100000001</v>
          </cell>
          <cell r="G377"/>
          <cell r="H377"/>
          <cell r="I377"/>
          <cell r="J377"/>
          <cell r="K377"/>
        </row>
        <row r="378">
          <cell r="B378" t="str">
            <v>SK02A</v>
          </cell>
          <cell r="C378">
            <v>0.69637333999999995</v>
          </cell>
          <cell r="D378">
            <v>0.6969244</v>
          </cell>
          <cell r="E378">
            <v>0.69733875999999995</v>
          </cell>
          <cell r="F378">
            <v>0.69784265000000001</v>
          </cell>
          <cell r="G378"/>
          <cell r="H378"/>
          <cell r="I378"/>
          <cell r="J378"/>
          <cell r="K378"/>
        </row>
        <row r="379">
          <cell r="B379" t="str">
            <v>DT54A</v>
          </cell>
          <cell r="C379">
            <v>0.98726877999999996</v>
          </cell>
          <cell r="D379">
            <v>0.98808547999999996</v>
          </cell>
          <cell r="E379">
            <v>0.98870908999999996</v>
          </cell>
          <cell r="F379">
            <v>0.98943468999999995</v>
          </cell>
          <cell r="G379"/>
          <cell r="H379"/>
          <cell r="I379"/>
          <cell r="J379"/>
          <cell r="K379"/>
        </row>
        <row r="380">
          <cell r="B380" t="str">
            <v>DT55A</v>
          </cell>
          <cell r="C380">
            <v>0.96621378000000002</v>
          </cell>
          <cell r="D380">
            <v>0.96702465999999998</v>
          </cell>
          <cell r="E380">
            <v>0.96774402999999998</v>
          </cell>
          <cell r="F380">
            <v>0.96845972999999996</v>
          </cell>
          <cell r="G380"/>
          <cell r="H380"/>
          <cell r="I380"/>
          <cell r="J380"/>
          <cell r="K380"/>
        </row>
        <row r="381"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</row>
        <row r="382">
          <cell r="B382" t="str">
            <v>Acciones en Pesos</v>
          </cell>
          <cell r="C382"/>
          <cell r="D382"/>
          <cell r="E382"/>
          <cell r="F382"/>
          <cell r="G382"/>
          <cell r="H382"/>
          <cell r="I382"/>
          <cell r="J382"/>
          <cell r="K382"/>
        </row>
        <row r="383"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</row>
        <row r="384">
          <cell r="B384" t="str">
            <v>GGAL</v>
          </cell>
          <cell r="C384">
            <v>5960</v>
          </cell>
          <cell r="D384">
            <v>5835</v>
          </cell>
          <cell r="E384">
            <v>5620</v>
          </cell>
          <cell r="F384">
            <v>5565</v>
          </cell>
          <cell r="G384"/>
          <cell r="H384"/>
          <cell r="I384"/>
          <cell r="J384"/>
          <cell r="K384"/>
        </row>
        <row r="385">
          <cell r="B385" t="str">
            <v>TXAR</v>
          </cell>
          <cell r="C385">
            <v>784.5</v>
          </cell>
          <cell r="D385">
            <v>747</v>
          </cell>
          <cell r="E385">
            <v>722.5</v>
          </cell>
          <cell r="F385">
            <v>745</v>
          </cell>
          <cell r="G385"/>
          <cell r="H385"/>
          <cell r="I385"/>
          <cell r="J385"/>
          <cell r="K385"/>
        </row>
        <row r="386">
          <cell r="B386" t="str">
            <v>YPFD</v>
          </cell>
          <cell r="C386">
            <v>8260</v>
          </cell>
          <cell r="D386">
            <v>8030</v>
          </cell>
          <cell r="E386">
            <v>8185</v>
          </cell>
          <cell r="F386">
            <v>7870</v>
          </cell>
          <cell r="G386"/>
          <cell r="H386"/>
          <cell r="I386"/>
          <cell r="J386"/>
          <cell r="K386"/>
        </row>
        <row r="387">
          <cell r="B387" t="str">
            <v>PAMP</v>
          </cell>
          <cell r="C387">
            <v>5140</v>
          </cell>
          <cell r="D387">
            <v>4997.5</v>
          </cell>
          <cell r="E387">
            <v>4992.5</v>
          </cell>
          <cell r="F387">
            <v>4932.5</v>
          </cell>
          <cell r="G387"/>
          <cell r="H387"/>
          <cell r="I387"/>
          <cell r="J387"/>
          <cell r="K387"/>
        </row>
        <row r="388">
          <cell r="B388" t="str">
            <v>BBAR</v>
          </cell>
          <cell r="C388">
            <v>6800</v>
          </cell>
          <cell r="D388">
            <v>6740</v>
          </cell>
          <cell r="E388">
            <v>6540</v>
          </cell>
          <cell r="F388">
            <v>6560</v>
          </cell>
          <cell r="G388"/>
          <cell r="H388"/>
          <cell r="I388"/>
          <cell r="J388"/>
          <cell r="K388"/>
        </row>
        <row r="389">
          <cell r="B389" t="str">
            <v>ALUA</v>
          </cell>
          <cell r="C389">
            <v>868</v>
          </cell>
          <cell r="D389">
            <v>848</v>
          </cell>
          <cell r="E389">
            <v>841.5</v>
          </cell>
          <cell r="F389">
            <v>863</v>
          </cell>
          <cell r="G389"/>
          <cell r="H389"/>
          <cell r="I389"/>
          <cell r="J389"/>
          <cell r="K389"/>
        </row>
        <row r="390">
          <cell r="B390" t="str">
            <v>LOMA</v>
          </cell>
          <cell r="C390">
            <v>3152.5</v>
          </cell>
          <cell r="D390">
            <v>3075</v>
          </cell>
          <cell r="E390">
            <v>3000</v>
          </cell>
          <cell r="F390">
            <v>3040</v>
          </cell>
          <cell r="G390"/>
          <cell r="H390"/>
          <cell r="I390"/>
          <cell r="J390"/>
          <cell r="K390"/>
        </row>
        <row r="391">
          <cell r="B391" t="str">
            <v>CEPU</v>
          </cell>
          <cell r="C391">
            <v>1947</v>
          </cell>
          <cell r="D391">
            <v>1894</v>
          </cell>
          <cell r="E391">
            <v>1873</v>
          </cell>
          <cell r="F391">
            <v>1817</v>
          </cell>
          <cell r="G391"/>
          <cell r="H391"/>
          <cell r="I391"/>
          <cell r="J391"/>
          <cell r="K391"/>
        </row>
        <row r="392">
          <cell r="B392" t="str">
            <v>BYMA</v>
          </cell>
          <cell r="C392">
            <v>240.5</v>
          </cell>
          <cell r="D392">
            <v>233.5</v>
          </cell>
          <cell r="E392">
            <v>223.75</v>
          </cell>
          <cell r="F392">
            <v>222.5</v>
          </cell>
          <cell r="G392"/>
          <cell r="H392"/>
          <cell r="I392"/>
          <cell r="J392"/>
          <cell r="K392"/>
        </row>
        <row r="393">
          <cell r="B393" t="str">
            <v>SUPV</v>
          </cell>
          <cell r="C393">
            <v>2379</v>
          </cell>
          <cell r="D393">
            <v>2326</v>
          </cell>
          <cell r="E393">
            <v>2227</v>
          </cell>
          <cell r="F393">
            <v>2208</v>
          </cell>
          <cell r="G393"/>
          <cell r="H393"/>
          <cell r="I393"/>
          <cell r="J393"/>
          <cell r="K393"/>
        </row>
        <row r="394">
          <cell r="B394" t="str">
            <v>TGNO4</v>
          </cell>
          <cell r="C394">
            <v>2902.5</v>
          </cell>
          <cell r="D394">
            <v>2787.5</v>
          </cell>
          <cell r="E394">
            <v>2700</v>
          </cell>
          <cell r="F394">
            <v>2817.5</v>
          </cell>
          <cell r="G394"/>
          <cell r="H394"/>
          <cell r="I394"/>
          <cell r="J394"/>
          <cell r="K394"/>
        </row>
        <row r="395">
          <cell r="B395" t="str">
            <v>CRES</v>
          </cell>
          <cell r="C395">
            <v>1809</v>
          </cell>
          <cell r="D395">
            <v>1668</v>
          </cell>
          <cell r="E395">
            <v>1634</v>
          </cell>
          <cell r="F395">
            <v>1647</v>
          </cell>
          <cell r="G395"/>
          <cell r="H395"/>
          <cell r="I395"/>
          <cell r="J395"/>
          <cell r="K395"/>
        </row>
        <row r="396">
          <cell r="B396" t="str">
            <v>TECO2</v>
          </cell>
          <cell r="C396">
            <v>4002.5</v>
          </cell>
          <cell r="D396">
            <v>3832.5</v>
          </cell>
          <cell r="E396">
            <v>3670</v>
          </cell>
          <cell r="F396">
            <v>3687.5</v>
          </cell>
          <cell r="G396"/>
          <cell r="H396"/>
          <cell r="I396"/>
          <cell r="J396"/>
          <cell r="K396"/>
        </row>
        <row r="397">
          <cell r="B397" t="str">
            <v>VALO</v>
          </cell>
          <cell r="C397">
            <v>510</v>
          </cell>
          <cell r="D397">
            <v>506</v>
          </cell>
          <cell r="E397">
            <v>509</v>
          </cell>
          <cell r="F397">
            <v>513.5</v>
          </cell>
          <cell r="G397"/>
          <cell r="H397"/>
          <cell r="I397"/>
          <cell r="J397"/>
          <cell r="K397"/>
        </row>
        <row r="398">
          <cell r="B398" t="str">
            <v>TGSU2</v>
          </cell>
          <cell r="C398">
            <v>8750</v>
          </cell>
          <cell r="D398">
            <v>8405</v>
          </cell>
          <cell r="E398">
            <v>8400</v>
          </cell>
          <cell r="F398">
            <v>8285</v>
          </cell>
          <cell r="G398"/>
          <cell r="H398"/>
          <cell r="I398"/>
          <cell r="J398"/>
          <cell r="K398"/>
        </row>
        <row r="399">
          <cell r="B399" t="str">
            <v>AUSO</v>
          </cell>
          <cell r="C399">
            <v>2740</v>
          </cell>
          <cell r="D399">
            <v>2705</v>
          </cell>
          <cell r="E399">
            <v>2585</v>
          </cell>
          <cell r="F399">
            <v>2545</v>
          </cell>
          <cell r="G399"/>
          <cell r="H399"/>
          <cell r="I399"/>
          <cell r="J399"/>
          <cell r="K399"/>
        </row>
        <row r="400">
          <cell r="B400" t="str">
            <v>METR</v>
          </cell>
          <cell r="C400">
            <v>2390</v>
          </cell>
          <cell r="D400">
            <v>2386</v>
          </cell>
          <cell r="E400">
            <v>2413</v>
          </cell>
          <cell r="F400">
            <v>2357</v>
          </cell>
          <cell r="G400"/>
          <cell r="H400"/>
          <cell r="I400"/>
          <cell r="J400"/>
          <cell r="K400"/>
        </row>
        <row r="401">
          <cell r="B401" t="str">
            <v>ECOG</v>
          </cell>
          <cell r="C401">
            <v>2209</v>
          </cell>
          <cell r="D401">
            <v>2194</v>
          </cell>
          <cell r="E401">
            <v>2115</v>
          </cell>
          <cell r="F401">
            <v>2167</v>
          </cell>
          <cell r="G401"/>
          <cell r="H401"/>
          <cell r="I401"/>
          <cell r="J401"/>
          <cell r="K401"/>
        </row>
        <row r="402">
          <cell r="B402" t="str">
            <v>COME</v>
          </cell>
          <cell r="C402">
            <v>35.83</v>
          </cell>
          <cell r="D402">
            <v>35.85</v>
          </cell>
          <cell r="E402">
            <v>34.340000000000003</v>
          </cell>
          <cell r="F402">
            <v>33.31</v>
          </cell>
          <cell r="G402"/>
          <cell r="H402"/>
          <cell r="I402"/>
          <cell r="J402"/>
          <cell r="K402"/>
        </row>
        <row r="403">
          <cell r="B403" t="str">
            <v>MIRG</v>
          </cell>
          <cell r="C403">
            <v>1785</v>
          </cell>
          <cell r="D403">
            <v>1830</v>
          </cell>
          <cell r="E403">
            <v>1780</v>
          </cell>
          <cell r="F403">
            <v>1820</v>
          </cell>
          <cell r="G403"/>
          <cell r="H403"/>
          <cell r="I403"/>
          <cell r="J403"/>
          <cell r="K403"/>
        </row>
        <row r="404">
          <cell r="B404" t="str">
            <v>CVH</v>
          </cell>
          <cell r="C404">
            <v>9090</v>
          </cell>
          <cell r="D404">
            <v>9170</v>
          </cell>
          <cell r="E404">
            <v>9170</v>
          </cell>
          <cell r="F404">
            <v>9060</v>
          </cell>
          <cell r="G404"/>
          <cell r="H404"/>
          <cell r="I404"/>
          <cell r="J404"/>
          <cell r="K404"/>
        </row>
        <row r="405">
          <cell r="B405" t="str">
            <v>TRAN</v>
          </cell>
          <cell r="C405">
            <v>2353</v>
          </cell>
          <cell r="D405">
            <v>2255</v>
          </cell>
          <cell r="E405">
            <v>2219</v>
          </cell>
          <cell r="F405">
            <v>2239</v>
          </cell>
          <cell r="G405"/>
          <cell r="H405"/>
          <cell r="I405"/>
          <cell r="J405"/>
          <cell r="K405"/>
        </row>
        <row r="406">
          <cell r="B406" t="str">
            <v>HARG</v>
          </cell>
          <cell r="C406">
            <v>1235</v>
          </cell>
          <cell r="D406">
            <v>1195</v>
          </cell>
          <cell r="E406">
            <v>1170</v>
          </cell>
          <cell r="F406">
            <v>1175</v>
          </cell>
          <cell r="G406"/>
          <cell r="H406"/>
          <cell r="I406"/>
          <cell r="J406"/>
          <cell r="K406"/>
        </row>
        <row r="407">
          <cell r="B407" t="str">
            <v>EDN</v>
          </cell>
          <cell r="C407">
            <v>1506</v>
          </cell>
          <cell r="D407">
            <v>1442</v>
          </cell>
          <cell r="E407">
            <v>1419</v>
          </cell>
          <cell r="F407">
            <v>1362</v>
          </cell>
          <cell r="G407"/>
          <cell r="H407"/>
          <cell r="I407"/>
          <cell r="J407"/>
          <cell r="K407"/>
        </row>
        <row r="408">
          <cell r="B408" t="str">
            <v>MASU</v>
          </cell>
          <cell r="C408">
            <v>0.01</v>
          </cell>
          <cell r="D408">
            <v>0.01</v>
          </cell>
          <cell r="E408">
            <v>0.01</v>
          </cell>
          <cell r="F408">
            <v>0.01</v>
          </cell>
          <cell r="G408"/>
          <cell r="H408"/>
          <cell r="I408"/>
          <cell r="J408"/>
          <cell r="K408"/>
        </row>
        <row r="409">
          <cell r="B409" t="str">
            <v>INVJ</v>
          </cell>
          <cell r="C409">
            <v>384.5</v>
          </cell>
          <cell r="D409">
            <v>378.5</v>
          </cell>
          <cell r="E409">
            <v>369.5</v>
          </cell>
          <cell r="F409">
            <v>365</v>
          </cell>
          <cell r="G409"/>
          <cell r="H409"/>
          <cell r="I409"/>
          <cell r="J409"/>
          <cell r="K409"/>
        </row>
        <row r="410">
          <cell r="B410" t="str">
            <v>IRSA</v>
          </cell>
          <cell r="C410">
            <v>2160</v>
          </cell>
          <cell r="D410">
            <v>2155</v>
          </cell>
          <cell r="E410">
            <v>2130</v>
          </cell>
          <cell r="F410">
            <v>2160</v>
          </cell>
          <cell r="G410"/>
          <cell r="H410"/>
          <cell r="I410"/>
          <cell r="J410"/>
          <cell r="K410"/>
        </row>
        <row r="411">
          <cell r="B411" t="str">
            <v>DGCE</v>
          </cell>
          <cell r="C411">
            <v>1850</v>
          </cell>
          <cell r="D411">
            <v>1850</v>
          </cell>
          <cell r="E411">
            <v>1850</v>
          </cell>
          <cell r="F411">
            <v>1850</v>
          </cell>
          <cell r="G411"/>
          <cell r="H411"/>
          <cell r="I411"/>
          <cell r="J411"/>
          <cell r="K411"/>
        </row>
        <row r="412">
          <cell r="B412" t="str">
            <v>BHIP</v>
          </cell>
          <cell r="C412">
            <v>236</v>
          </cell>
          <cell r="D412">
            <v>234.5</v>
          </cell>
          <cell r="E412">
            <v>227</v>
          </cell>
          <cell r="F412">
            <v>223</v>
          </cell>
          <cell r="G412"/>
          <cell r="H412"/>
          <cell r="I412"/>
          <cell r="J412"/>
          <cell r="K412"/>
        </row>
        <row r="413"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</row>
        <row r="414">
          <cell r="B414" t="str">
            <v>Acciones en USD</v>
          </cell>
          <cell r="C414"/>
          <cell r="D414"/>
          <cell r="E414"/>
          <cell r="F414"/>
          <cell r="G414"/>
          <cell r="H414"/>
          <cell r="I414"/>
          <cell r="J414"/>
          <cell r="K414"/>
        </row>
        <row r="415">
          <cell r="B415"/>
          <cell r="C415"/>
          <cell r="D415"/>
          <cell r="E415"/>
          <cell r="F415"/>
          <cell r="G415"/>
          <cell r="H415"/>
          <cell r="I415"/>
          <cell r="J415"/>
          <cell r="K415"/>
        </row>
        <row r="416">
          <cell r="B416" t="str">
            <v>YPFDD</v>
          </cell>
          <cell r="C416">
            <v>5.29</v>
          </cell>
          <cell r="D416">
            <v>5.16</v>
          </cell>
          <cell r="E416">
            <v>5.22</v>
          </cell>
          <cell r="F416">
            <v>5.03</v>
          </cell>
          <cell r="G416"/>
          <cell r="H416"/>
          <cell r="I416"/>
          <cell r="J416"/>
          <cell r="K416"/>
        </row>
        <row r="417">
          <cell r="B417" t="str">
            <v>VALOD</v>
          </cell>
          <cell r="C417">
            <v>0.32400000000000001</v>
          </cell>
          <cell r="D417">
            <v>0.32500000000000001</v>
          </cell>
          <cell r="E417">
            <v>0.32600000000000001</v>
          </cell>
          <cell r="F417">
            <v>0.32700000000000001</v>
          </cell>
          <cell r="G417"/>
          <cell r="H417"/>
          <cell r="I417"/>
          <cell r="J417"/>
          <cell r="K417"/>
        </row>
        <row r="418">
          <cell r="B418" t="str">
            <v>LOMAD</v>
          </cell>
          <cell r="C418">
            <v>1.9950000000000001</v>
          </cell>
          <cell r="D418">
            <v>1.99</v>
          </cell>
          <cell r="E418">
            <v>1.9</v>
          </cell>
          <cell r="F418">
            <v>1.9550000000000001</v>
          </cell>
          <cell r="G418"/>
          <cell r="H418"/>
          <cell r="I418"/>
          <cell r="J418"/>
          <cell r="K418"/>
        </row>
        <row r="419">
          <cell r="B419" t="str">
            <v>PAMPD</v>
          </cell>
          <cell r="C419">
            <v>3.28</v>
          </cell>
          <cell r="D419">
            <v>3.21</v>
          </cell>
          <cell r="E419">
            <v>3.19</v>
          </cell>
          <cell r="F419">
            <v>3.145</v>
          </cell>
          <cell r="G419"/>
          <cell r="H419"/>
          <cell r="I419"/>
          <cell r="J419"/>
          <cell r="K419"/>
        </row>
        <row r="420">
          <cell r="B420" t="str">
            <v>EDND</v>
          </cell>
          <cell r="C420">
            <v>0.95899999999999996</v>
          </cell>
          <cell r="D420">
            <v>0.92600000000000005</v>
          </cell>
          <cell r="E420">
            <v>0.90300000000000002</v>
          </cell>
          <cell r="F420">
            <v>0.86899999999999999</v>
          </cell>
          <cell r="G420"/>
          <cell r="H420"/>
          <cell r="I420"/>
          <cell r="J420"/>
          <cell r="K420"/>
        </row>
        <row r="421">
          <cell r="B421" t="str">
            <v>BBARD</v>
          </cell>
          <cell r="C421">
            <v>4.335</v>
          </cell>
          <cell r="D421">
            <v>4.33</v>
          </cell>
          <cell r="E421">
            <v>4.1500000000000004</v>
          </cell>
          <cell r="F421">
            <v>4.1900000000000004</v>
          </cell>
          <cell r="G421"/>
          <cell r="H421"/>
          <cell r="I421"/>
          <cell r="J421"/>
          <cell r="K421"/>
        </row>
        <row r="422">
          <cell r="B422" t="str">
            <v>GGALD</v>
          </cell>
          <cell r="C422">
            <v>3.8050000000000002</v>
          </cell>
          <cell r="D422">
            <v>3.7549999999999999</v>
          </cell>
          <cell r="E422">
            <v>3.5950000000000002</v>
          </cell>
          <cell r="F422">
            <v>3.59</v>
          </cell>
          <cell r="G422"/>
          <cell r="H422"/>
          <cell r="I422"/>
          <cell r="J422"/>
          <cell r="K422"/>
        </row>
        <row r="423">
          <cell r="B423" t="str">
            <v>SUPVD</v>
          </cell>
          <cell r="C423">
            <v>1.51</v>
          </cell>
          <cell r="D423">
            <v>1.51</v>
          </cell>
          <cell r="E423">
            <v>1.42</v>
          </cell>
          <cell r="F423">
            <v>1.42</v>
          </cell>
          <cell r="G423"/>
          <cell r="H423"/>
          <cell r="I423"/>
          <cell r="J423"/>
          <cell r="K423"/>
        </row>
        <row r="424"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</row>
        <row r="425">
          <cell r="B425" t="str">
            <v>Cedears en Pesos</v>
          </cell>
          <cell r="C425"/>
          <cell r="D425"/>
          <cell r="E425"/>
          <cell r="F425"/>
          <cell r="G425"/>
          <cell r="H425"/>
          <cell r="I425"/>
          <cell r="J425"/>
          <cell r="K425"/>
        </row>
        <row r="426"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</row>
        <row r="427">
          <cell r="B427" t="str">
            <v>MELI</v>
          </cell>
          <cell r="C427">
            <v>23340</v>
          </cell>
          <cell r="D427">
            <v>23190</v>
          </cell>
          <cell r="E427">
            <v>23050</v>
          </cell>
          <cell r="F427">
            <v>22740</v>
          </cell>
          <cell r="G427"/>
          <cell r="H427"/>
          <cell r="I427"/>
          <cell r="J427"/>
          <cell r="K427"/>
        </row>
        <row r="428">
          <cell r="B428" t="str">
            <v>NU</v>
          </cell>
          <cell r="C428">
            <v>10640</v>
          </cell>
          <cell r="D428">
            <v>10290</v>
          </cell>
          <cell r="E428">
            <v>9960</v>
          </cell>
          <cell r="F428">
            <v>9960</v>
          </cell>
          <cell r="G428"/>
          <cell r="H428"/>
          <cell r="I428"/>
          <cell r="J428"/>
          <cell r="K428"/>
        </row>
        <row r="429">
          <cell r="B429" t="str">
            <v>VALE</v>
          </cell>
          <cell r="C429">
            <v>10060</v>
          </cell>
          <cell r="D429">
            <v>9805</v>
          </cell>
          <cell r="E429">
            <v>9490</v>
          </cell>
          <cell r="F429">
            <v>9235</v>
          </cell>
          <cell r="G429"/>
          <cell r="H429"/>
          <cell r="I429"/>
          <cell r="J429"/>
          <cell r="K429"/>
        </row>
        <row r="430">
          <cell r="B430" t="str">
            <v>BBDC3</v>
          </cell>
          <cell r="C430">
            <v>4567.5</v>
          </cell>
          <cell r="D430">
            <v>4407.5</v>
          </cell>
          <cell r="E430">
            <v>4187.5</v>
          </cell>
          <cell r="F430">
            <v>3930</v>
          </cell>
          <cell r="G430"/>
          <cell r="H430"/>
          <cell r="I430"/>
          <cell r="J430"/>
          <cell r="K430"/>
        </row>
        <row r="431">
          <cell r="B431" t="str">
            <v>VALE3</v>
          </cell>
          <cell r="C431">
            <v>20170</v>
          </cell>
          <cell r="D431">
            <v>19640</v>
          </cell>
          <cell r="E431">
            <v>18910</v>
          </cell>
          <cell r="F431">
            <v>18530</v>
          </cell>
          <cell r="G431"/>
          <cell r="H431"/>
          <cell r="I431"/>
          <cell r="J431"/>
          <cell r="K431"/>
        </row>
        <row r="432">
          <cell r="B432" t="str">
            <v>ITUB3</v>
          </cell>
          <cell r="C432">
            <v>14430</v>
          </cell>
          <cell r="D432">
            <v>14220</v>
          </cell>
          <cell r="E432">
            <v>13710</v>
          </cell>
          <cell r="F432">
            <v>13680</v>
          </cell>
          <cell r="G432"/>
          <cell r="H432"/>
          <cell r="I432"/>
          <cell r="J432"/>
          <cell r="K432"/>
        </row>
        <row r="433">
          <cell r="B433" t="str">
            <v>PETR3</v>
          </cell>
          <cell r="C433">
            <v>19030</v>
          </cell>
          <cell r="D433">
            <v>18950</v>
          </cell>
          <cell r="E433">
            <v>18420</v>
          </cell>
          <cell r="F433">
            <v>18060</v>
          </cell>
          <cell r="G433"/>
          <cell r="H433"/>
          <cell r="I433"/>
          <cell r="J433"/>
          <cell r="K433"/>
        </row>
        <row r="434">
          <cell r="B434" t="str">
            <v>SUZB3</v>
          </cell>
          <cell r="C434">
            <v>14500</v>
          </cell>
          <cell r="D434">
            <v>14800</v>
          </cell>
          <cell r="E434">
            <v>14960</v>
          </cell>
          <cell r="F434">
            <v>15200</v>
          </cell>
          <cell r="G434"/>
          <cell r="H434"/>
          <cell r="I434"/>
          <cell r="J434"/>
          <cell r="K434"/>
        </row>
        <row r="435">
          <cell r="B435" t="str">
            <v>SBSP3</v>
          </cell>
          <cell r="C435">
            <v>7405</v>
          </cell>
          <cell r="D435">
            <v>8020</v>
          </cell>
          <cell r="E435">
            <v>7605</v>
          </cell>
          <cell r="F435">
            <v>7610</v>
          </cell>
          <cell r="G435"/>
          <cell r="H435"/>
          <cell r="I435"/>
          <cell r="J435"/>
          <cell r="K435"/>
        </row>
        <row r="436">
          <cell r="B436" t="str">
            <v>ABEV3</v>
          </cell>
          <cell r="C436">
            <v>4925</v>
          </cell>
          <cell r="D436">
            <v>4792.5</v>
          </cell>
          <cell r="E436">
            <v>4650</v>
          </cell>
          <cell r="F436">
            <v>4470</v>
          </cell>
          <cell r="G436"/>
          <cell r="H436"/>
          <cell r="I436"/>
          <cell r="J436"/>
          <cell r="K436"/>
        </row>
        <row r="437">
          <cell r="B437" t="str">
            <v>MSFT</v>
          </cell>
          <cell r="C437">
            <v>29800</v>
          </cell>
          <cell r="D437">
            <v>29260</v>
          </cell>
          <cell r="E437">
            <v>29280</v>
          </cell>
          <cell r="F437">
            <v>29100</v>
          </cell>
          <cell r="G437"/>
          <cell r="H437"/>
          <cell r="I437"/>
          <cell r="J437"/>
          <cell r="K437"/>
        </row>
        <row r="438">
          <cell r="B438" t="str">
            <v>META</v>
          </cell>
          <cell r="C438">
            <v>44080</v>
          </cell>
          <cell r="D438">
            <v>42760</v>
          </cell>
          <cell r="E438">
            <v>42300</v>
          </cell>
          <cell r="F438">
            <v>43100</v>
          </cell>
          <cell r="G438"/>
          <cell r="H438"/>
          <cell r="I438"/>
          <cell r="J438"/>
          <cell r="K438"/>
        </row>
        <row r="439">
          <cell r="B439" t="str">
            <v>ITUB</v>
          </cell>
          <cell r="C439">
            <v>13010</v>
          </cell>
          <cell r="D439">
            <v>12730</v>
          </cell>
          <cell r="E439">
            <v>12330</v>
          </cell>
          <cell r="F439">
            <v>12110</v>
          </cell>
          <cell r="G439"/>
          <cell r="H439"/>
          <cell r="I439"/>
          <cell r="J439"/>
          <cell r="K439"/>
        </row>
        <row r="440">
          <cell r="B440" t="str">
            <v>PBR</v>
          </cell>
          <cell r="C440">
            <v>37800</v>
          </cell>
          <cell r="D440">
            <v>36900</v>
          </cell>
          <cell r="E440">
            <v>36640</v>
          </cell>
          <cell r="F440">
            <v>36140</v>
          </cell>
          <cell r="G440"/>
          <cell r="H440"/>
          <cell r="I440"/>
          <cell r="J440"/>
          <cell r="K440"/>
        </row>
        <row r="441">
          <cell r="B441" t="str">
            <v>VIST</v>
          </cell>
          <cell r="C441">
            <v>40640</v>
          </cell>
          <cell r="D441">
            <v>39500</v>
          </cell>
          <cell r="E441">
            <v>40060</v>
          </cell>
          <cell r="F441">
            <v>39160</v>
          </cell>
          <cell r="G441"/>
          <cell r="H441"/>
          <cell r="I441"/>
          <cell r="J441"/>
          <cell r="K441"/>
        </row>
        <row r="442">
          <cell r="B442" t="str">
            <v>PAGS</v>
          </cell>
          <cell r="C442">
            <v>4815</v>
          </cell>
          <cell r="D442">
            <v>4615</v>
          </cell>
          <cell r="E442">
            <v>4485</v>
          </cell>
          <cell r="F442">
            <v>4412.5</v>
          </cell>
          <cell r="G442"/>
          <cell r="H442"/>
          <cell r="I442"/>
          <cell r="J442"/>
          <cell r="K442"/>
        </row>
        <row r="443">
          <cell r="B443" t="str">
            <v>BBD</v>
          </cell>
          <cell r="C443">
            <v>4942.5</v>
          </cell>
          <cell r="D443">
            <v>4867.5</v>
          </cell>
          <cell r="E443">
            <v>4572.5</v>
          </cell>
          <cell r="F443">
            <v>4350</v>
          </cell>
          <cell r="G443"/>
          <cell r="H443"/>
          <cell r="I443"/>
          <cell r="J443"/>
          <cell r="K443"/>
        </row>
        <row r="444">
          <cell r="B444" t="str">
            <v>SID</v>
          </cell>
          <cell r="C444">
            <v>12310</v>
          </cell>
          <cell r="D444">
            <v>11590</v>
          </cell>
          <cell r="E444">
            <v>10690</v>
          </cell>
          <cell r="F444">
            <v>10290</v>
          </cell>
          <cell r="G444"/>
          <cell r="H444"/>
          <cell r="I444"/>
          <cell r="J444"/>
          <cell r="K444"/>
        </row>
        <row r="445">
          <cell r="B445" t="str">
            <v>SMH</v>
          </cell>
          <cell r="C445">
            <v>18220</v>
          </cell>
          <cell r="D445">
            <v>18490</v>
          </cell>
          <cell r="E445">
            <v>18830</v>
          </cell>
          <cell r="F445">
            <v>18530</v>
          </cell>
          <cell r="G445"/>
          <cell r="H445"/>
          <cell r="I445"/>
          <cell r="J445"/>
          <cell r="K445"/>
        </row>
        <row r="446">
          <cell r="B446" t="str">
            <v>GOOGL</v>
          </cell>
          <cell r="C446">
            <v>9195</v>
          </cell>
          <cell r="D446">
            <v>9190</v>
          </cell>
          <cell r="E446">
            <v>9315</v>
          </cell>
          <cell r="F446">
            <v>8065</v>
          </cell>
          <cell r="G446"/>
          <cell r="H446"/>
          <cell r="I446"/>
          <cell r="J446"/>
          <cell r="K446"/>
        </row>
        <row r="447"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</row>
        <row r="448">
          <cell r="B448" t="str">
            <v>Cedears en USD</v>
          </cell>
          <cell r="C448"/>
          <cell r="D448"/>
          <cell r="E448"/>
          <cell r="F448"/>
          <cell r="G448"/>
          <cell r="H448"/>
          <cell r="I448"/>
          <cell r="J448"/>
          <cell r="K448"/>
        </row>
        <row r="449"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</row>
        <row r="450">
          <cell r="B450" t="str">
            <v>VALED</v>
          </cell>
          <cell r="C450">
            <v>6.44</v>
          </cell>
          <cell r="D450">
            <v>6.3</v>
          </cell>
          <cell r="E450">
            <v>6.06</v>
          </cell>
          <cell r="F450">
            <v>5.91</v>
          </cell>
          <cell r="G450"/>
          <cell r="H450"/>
          <cell r="I450"/>
          <cell r="J450"/>
          <cell r="K450"/>
        </row>
        <row r="451">
          <cell r="B451" t="str">
            <v>PBRD</v>
          </cell>
          <cell r="C451">
            <v>23.52</v>
          </cell>
          <cell r="D451">
            <v>23.78</v>
          </cell>
          <cell r="E451">
            <v>23.49</v>
          </cell>
          <cell r="F451">
            <v>23.1</v>
          </cell>
          <cell r="G451"/>
          <cell r="H451"/>
          <cell r="I451"/>
          <cell r="J451"/>
          <cell r="K451"/>
        </row>
        <row r="452">
          <cell r="B452" t="str">
            <v>PAGSD</v>
          </cell>
          <cell r="C452">
            <v>3.13</v>
          </cell>
          <cell r="D452">
            <v>2.9750000000000001</v>
          </cell>
          <cell r="E452">
            <v>2.895</v>
          </cell>
          <cell r="F452">
            <v>2.835</v>
          </cell>
          <cell r="G452"/>
          <cell r="H452"/>
          <cell r="I452"/>
          <cell r="J452"/>
          <cell r="K452"/>
        </row>
        <row r="453">
          <cell r="B453" t="str">
            <v>VISTD</v>
          </cell>
          <cell r="C453">
            <v>25.82</v>
          </cell>
          <cell r="D453">
            <v>25.33</v>
          </cell>
          <cell r="E453">
            <v>25.44</v>
          </cell>
          <cell r="F453">
            <v>25.07</v>
          </cell>
          <cell r="G453"/>
          <cell r="H453"/>
          <cell r="I453"/>
          <cell r="J453"/>
          <cell r="K453"/>
        </row>
        <row r="454">
          <cell r="B454" t="str">
            <v>BBDD</v>
          </cell>
          <cell r="C454">
            <v>3.1549999999999998</v>
          </cell>
          <cell r="D454">
            <v>3.145</v>
          </cell>
          <cell r="E454">
            <v>2.93</v>
          </cell>
          <cell r="F454">
            <v>2.7749999999999999</v>
          </cell>
          <cell r="G454"/>
          <cell r="H454"/>
          <cell r="I454"/>
          <cell r="J454"/>
          <cell r="K454"/>
        </row>
        <row r="455">
          <cell r="B455" t="str">
            <v>SIDD</v>
          </cell>
          <cell r="C455">
            <v>7.92</v>
          </cell>
          <cell r="D455">
            <v>7.46</v>
          </cell>
          <cell r="E455">
            <v>6.85</v>
          </cell>
          <cell r="F455">
            <v>6.59</v>
          </cell>
          <cell r="G455"/>
          <cell r="H455"/>
          <cell r="I455"/>
          <cell r="J455"/>
          <cell r="K455"/>
        </row>
        <row r="456">
          <cell r="B456"/>
          <cell r="C456"/>
          <cell r="D456"/>
          <cell r="E456"/>
          <cell r="F456"/>
          <cell r="G456"/>
          <cell r="H456"/>
          <cell r="I456"/>
          <cell r="J456"/>
          <cell r="K456"/>
        </row>
        <row r="457">
          <cell r="B457" t="str">
            <v>ADR</v>
          </cell>
          <cell r="C457"/>
          <cell r="D457"/>
          <cell r="E457"/>
          <cell r="F457"/>
          <cell r="G457"/>
          <cell r="H457"/>
          <cell r="I457"/>
          <cell r="J457"/>
          <cell r="K457"/>
        </row>
        <row r="458"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</row>
        <row r="459">
          <cell r="B459" t="str">
            <v>BBD US</v>
          </cell>
          <cell r="C459">
            <v>2.93</v>
          </cell>
          <cell r="D459">
            <v>2.91</v>
          </cell>
          <cell r="E459">
            <v>2.73</v>
          </cell>
          <cell r="F459">
            <v>2.63</v>
          </cell>
          <cell r="G459"/>
          <cell r="H459"/>
          <cell r="I459"/>
          <cell r="J459"/>
          <cell r="K459"/>
        </row>
        <row r="460">
          <cell r="B460" t="str">
            <v>PAGS US</v>
          </cell>
          <cell r="C460">
            <v>8.56</v>
          </cell>
          <cell r="D460">
            <v>8.4</v>
          </cell>
          <cell r="E460">
            <v>8.15</v>
          </cell>
          <cell r="F460">
            <v>8.07</v>
          </cell>
          <cell r="G460"/>
          <cell r="H460"/>
          <cell r="I460"/>
          <cell r="J460"/>
          <cell r="K460"/>
        </row>
        <row r="461">
          <cell r="B461" t="str">
            <v>NIO US</v>
          </cell>
          <cell r="C461">
            <v>3.26</v>
          </cell>
          <cell r="D461">
            <v>3.29</v>
          </cell>
          <cell r="E461">
            <v>3.32</v>
          </cell>
          <cell r="F461">
            <v>3.32</v>
          </cell>
          <cell r="G461"/>
          <cell r="H461"/>
          <cell r="I461"/>
          <cell r="J461"/>
          <cell r="K461"/>
        </row>
        <row r="462">
          <cell r="B462" t="str">
            <v>JD US</v>
          </cell>
          <cell r="C462">
            <v>25.24</v>
          </cell>
          <cell r="D462">
            <v>25.57</v>
          </cell>
          <cell r="E462">
            <v>25.45</v>
          </cell>
          <cell r="F462">
            <v>25.63</v>
          </cell>
          <cell r="G462"/>
          <cell r="H462"/>
          <cell r="I462"/>
          <cell r="J462"/>
          <cell r="K462"/>
        </row>
        <row r="463">
          <cell r="B463" t="str">
            <v>BDORY US</v>
          </cell>
          <cell r="C463">
            <v>3.42</v>
          </cell>
          <cell r="D463">
            <v>3.35</v>
          </cell>
          <cell r="E463">
            <v>3.19</v>
          </cell>
          <cell r="F463">
            <v>3.19</v>
          </cell>
          <cell r="G463"/>
          <cell r="H463"/>
          <cell r="I463"/>
          <cell r="J463"/>
          <cell r="K463"/>
        </row>
        <row r="464">
          <cell r="B464" t="str">
            <v>GGAL US</v>
          </cell>
          <cell r="C464">
            <v>35.35</v>
          </cell>
          <cell r="D464">
            <v>35.14</v>
          </cell>
          <cell r="E464">
            <v>33.840000000000003</v>
          </cell>
          <cell r="F464">
            <v>33.729999999999997</v>
          </cell>
          <cell r="G464"/>
          <cell r="H464"/>
          <cell r="I464"/>
          <cell r="J464"/>
          <cell r="K464"/>
        </row>
        <row r="465">
          <cell r="B465" t="str">
            <v>VALE US</v>
          </cell>
          <cell r="C465">
            <v>12</v>
          </cell>
          <cell r="D465">
            <v>11.84</v>
          </cell>
          <cell r="E465">
            <v>11.47</v>
          </cell>
          <cell r="F465">
            <v>11.18</v>
          </cell>
          <cell r="G465"/>
          <cell r="H465"/>
          <cell r="I465"/>
          <cell r="J465"/>
          <cell r="K465"/>
        </row>
        <row r="466">
          <cell r="B466" t="str">
            <v>PBR US</v>
          </cell>
          <cell r="C466">
            <v>22.5</v>
          </cell>
          <cell r="D466">
            <v>22.3</v>
          </cell>
          <cell r="E466">
            <v>22.03</v>
          </cell>
          <cell r="F466">
            <v>21.9</v>
          </cell>
          <cell r="G466"/>
          <cell r="H466"/>
          <cell r="I466"/>
          <cell r="J466"/>
          <cell r="K466"/>
        </row>
        <row r="467">
          <cell r="B467" t="str">
            <v>VIST US</v>
          </cell>
          <cell r="C467">
            <v>72.98</v>
          </cell>
          <cell r="D467">
            <v>71.53</v>
          </cell>
          <cell r="E467">
            <v>72.27</v>
          </cell>
          <cell r="F467">
            <v>71.58</v>
          </cell>
          <cell r="G467"/>
          <cell r="H467"/>
          <cell r="I467"/>
          <cell r="J467"/>
          <cell r="K467"/>
        </row>
        <row r="468">
          <cell r="B468" t="str">
            <v>AMD US</v>
          </cell>
          <cell r="C468">
            <v>531.28</v>
          </cell>
          <cell r="D468">
            <v>560.26</v>
          </cell>
          <cell r="E468">
            <v>578.44000000000005</v>
          </cell>
          <cell r="F468">
            <v>566.41999999999996</v>
          </cell>
          <cell r="G468"/>
          <cell r="H468"/>
          <cell r="I468"/>
          <cell r="J468"/>
          <cell r="K468"/>
        </row>
        <row r="469">
          <cell r="B469" t="str">
            <v>SID US</v>
          </cell>
          <cell r="C469">
            <v>0.91180000000000005</v>
          </cell>
          <cell r="D469">
            <v>0.87009999999999998</v>
          </cell>
          <cell r="E469">
            <v>0.80430000000000001</v>
          </cell>
          <cell r="F469">
            <v>0.77990000000000004</v>
          </cell>
          <cell r="G469"/>
          <cell r="H469"/>
          <cell r="I469"/>
          <cell r="J469"/>
          <cell r="K469"/>
        </row>
        <row r="470">
          <cell r="B470" t="str">
            <v>MSFT US</v>
          </cell>
          <cell r="C470">
            <v>532.6</v>
          </cell>
          <cell r="D470">
            <v>531.33000000000004</v>
          </cell>
          <cell r="E470">
            <v>531.01</v>
          </cell>
          <cell r="F470">
            <v>530.14</v>
          </cell>
          <cell r="G470"/>
          <cell r="H470"/>
          <cell r="I470"/>
          <cell r="J470"/>
          <cell r="K470"/>
        </row>
        <row r="471">
          <cell r="B471" t="str">
            <v>NU US</v>
          </cell>
          <cell r="C471">
            <v>12.59</v>
          </cell>
          <cell r="D471">
            <v>12.4</v>
          </cell>
          <cell r="E471">
            <v>11.97</v>
          </cell>
          <cell r="F471">
            <v>12.05</v>
          </cell>
          <cell r="G471"/>
          <cell r="H471"/>
          <cell r="I471"/>
          <cell r="J471"/>
          <cell r="K471"/>
        </row>
        <row r="472">
          <cell r="B472" t="str">
            <v>YPF US</v>
          </cell>
          <cell r="C472">
            <v>49.24</v>
          </cell>
          <cell r="D472">
            <v>48.45</v>
          </cell>
          <cell r="E472">
            <v>49.34</v>
          </cell>
          <cell r="F472">
            <v>47.81</v>
          </cell>
          <cell r="G472"/>
          <cell r="H472"/>
          <cell r="I472"/>
          <cell r="J472"/>
          <cell r="K472"/>
        </row>
        <row r="473">
          <cell r="B473" t="str">
            <v>TSLA US</v>
          </cell>
          <cell r="C473">
            <v>391.62</v>
          </cell>
          <cell r="D473">
            <v>407.46</v>
          </cell>
          <cell r="E473">
            <v>404.22</v>
          </cell>
          <cell r="F473">
            <v>403.3</v>
          </cell>
          <cell r="G473"/>
          <cell r="H473"/>
          <cell r="I473"/>
          <cell r="J473"/>
          <cell r="K473"/>
        </row>
        <row r="474">
          <cell r="B474"/>
          <cell r="C474"/>
          <cell r="D474"/>
          <cell r="E474"/>
          <cell r="F474"/>
          <cell r="G474"/>
          <cell r="H474"/>
          <cell r="I474"/>
          <cell r="J474"/>
          <cell r="K474"/>
        </row>
        <row r="475">
          <cell r="B475" t="str">
            <v>ETF</v>
          </cell>
          <cell r="C475"/>
          <cell r="D475"/>
          <cell r="E475"/>
          <cell r="F475"/>
          <cell r="G475"/>
          <cell r="H475"/>
          <cell r="I475"/>
          <cell r="J475"/>
          <cell r="K475"/>
        </row>
        <row r="476">
          <cell r="B476"/>
          <cell r="C476"/>
          <cell r="D476"/>
          <cell r="E476"/>
          <cell r="F476"/>
          <cell r="G476"/>
          <cell r="H476"/>
          <cell r="I476"/>
          <cell r="J476"/>
          <cell r="K476"/>
        </row>
        <row r="477">
          <cell r="B477" t="str">
            <v>EWZ US</v>
          </cell>
          <cell r="C477">
            <v>34.15</v>
          </cell>
          <cell r="D477">
            <v>34.299999999999997</v>
          </cell>
          <cell r="E477">
            <v>33.619999999999997</v>
          </cell>
          <cell r="F477">
            <v>33.14</v>
          </cell>
          <cell r="G477"/>
          <cell r="H477"/>
          <cell r="I477"/>
          <cell r="J477"/>
          <cell r="K477"/>
        </row>
        <row r="478">
          <cell r="B478" t="str">
            <v>FLRN US</v>
          </cell>
          <cell r="C478">
            <v>30.81</v>
          </cell>
          <cell r="D478">
            <v>30.82</v>
          </cell>
          <cell r="E478">
            <v>30.83</v>
          </cell>
          <cell r="F478">
            <v>30.83</v>
          </cell>
          <cell r="G478"/>
          <cell r="H478"/>
          <cell r="I478"/>
          <cell r="J478"/>
          <cell r="K478"/>
        </row>
        <row r="479">
          <cell r="B479" t="str">
            <v>SDIA LN</v>
          </cell>
          <cell r="C479">
            <v>6.3929999999999998</v>
          </cell>
          <cell r="D479">
            <v>6.3710000000000004</v>
          </cell>
          <cell r="E479">
            <v>6.3659999999999997</v>
          </cell>
          <cell r="F479">
            <v>6.3879999999999999</v>
          </cell>
          <cell r="G479"/>
          <cell r="H479"/>
          <cell r="I479"/>
          <cell r="J479"/>
          <cell r="K479"/>
        </row>
        <row r="480">
          <cell r="B480" t="str">
            <v>EMCA LN</v>
          </cell>
          <cell r="C480">
            <v>6.6390000000000002</v>
          </cell>
          <cell r="D480">
            <v>6.6790000000000003</v>
          </cell>
          <cell r="E480">
            <v>6.6989999999999998</v>
          </cell>
          <cell r="F480">
            <v>6.7110000000000003</v>
          </cell>
          <cell r="G480"/>
          <cell r="H480"/>
          <cell r="I480"/>
          <cell r="J480"/>
          <cell r="K480"/>
        </row>
        <row r="481">
          <cell r="B481" t="str">
            <v>IGV US</v>
          </cell>
          <cell r="C481">
            <v>111.39</v>
          </cell>
          <cell r="D481">
            <v>111.78</v>
          </cell>
          <cell r="E481">
            <v>111.91</v>
          </cell>
          <cell r="F481">
            <v>107.97</v>
          </cell>
          <cell r="G481"/>
          <cell r="H481"/>
          <cell r="I481"/>
          <cell r="J481"/>
          <cell r="K481"/>
        </row>
        <row r="482">
          <cell r="B482"/>
          <cell r="C482"/>
          <cell r="D482"/>
          <cell r="E482"/>
          <cell r="F482"/>
          <cell r="G482"/>
          <cell r="H482"/>
          <cell r="I482"/>
          <cell r="J482"/>
          <cell r="K482"/>
        </row>
        <row r="483">
          <cell r="B483" t="str">
            <v>Funds</v>
          </cell>
          <cell r="C483"/>
          <cell r="D483"/>
          <cell r="E483"/>
          <cell r="F483"/>
          <cell r="G483"/>
          <cell r="H483"/>
          <cell r="I483"/>
          <cell r="J483"/>
          <cell r="K483"/>
        </row>
        <row r="484"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</row>
        <row r="485">
          <cell r="B485" t="str">
            <v>MUHYIU1 LX</v>
          </cell>
          <cell r="C485">
            <v>293.5</v>
          </cell>
          <cell r="D485">
            <v>293.82</v>
          </cell>
          <cell r="E485">
            <v>294.76</v>
          </cell>
          <cell r="F485">
            <v>295.37</v>
          </cell>
          <cell r="G485"/>
          <cell r="H485"/>
          <cell r="I485"/>
          <cell r="J485"/>
          <cell r="K485"/>
        </row>
        <row r="486">
          <cell r="B486" t="str">
            <v>MGCIF1U LX</v>
          </cell>
          <cell r="C486">
            <v>152.61000000000001</v>
          </cell>
          <cell r="D486">
            <v>152.56</v>
          </cell>
          <cell r="E486">
            <v>152.52000000000001</v>
          </cell>
          <cell r="F486">
            <v>152.65</v>
          </cell>
          <cell r="G486"/>
          <cell r="H486"/>
          <cell r="I486"/>
          <cell r="J486"/>
          <cell r="K486"/>
        </row>
        <row r="487">
          <cell r="B487"/>
          <cell r="C487"/>
          <cell r="D487"/>
          <cell r="E487"/>
          <cell r="F487"/>
          <cell r="G487"/>
          <cell r="H487"/>
          <cell r="I487"/>
          <cell r="J487"/>
          <cell r="K487"/>
        </row>
        <row r="488">
          <cell r="B488" t="str">
            <v>Latam</v>
          </cell>
          <cell r="C488"/>
          <cell r="D488"/>
          <cell r="E488"/>
          <cell r="F488"/>
          <cell r="G488"/>
          <cell r="H488"/>
          <cell r="I488"/>
          <cell r="J488"/>
          <cell r="K488"/>
        </row>
        <row r="489"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</row>
        <row r="490">
          <cell r="B490" t="str">
            <v>CH27</v>
          </cell>
          <cell r="C490">
            <v>1.0017858333333336</v>
          </cell>
          <cell r="D490">
            <v>1.0018622222222222</v>
          </cell>
          <cell r="E490">
            <v>1.0019536111111111</v>
          </cell>
          <cell r="F490">
            <v>1.0021500000000001</v>
          </cell>
          <cell r="G490"/>
          <cell r="H490"/>
          <cell r="I490"/>
          <cell r="J490"/>
          <cell r="K490"/>
        </row>
        <row r="491">
          <cell r="B491" t="str">
            <v>CH28</v>
          </cell>
          <cell r="C491">
            <v>0.98468</v>
          </cell>
          <cell r="D491">
            <v>0.98474000000000006</v>
          </cell>
          <cell r="E491">
            <v>0.984935</v>
          </cell>
          <cell r="F491">
            <v>0.98531499999999994</v>
          </cell>
          <cell r="G491"/>
          <cell r="H491"/>
          <cell r="I491"/>
          <cell r="J491"/>
          <cell r="K491"/>
        </row>
        <row r="492">
          <cell r="B492" t="str">
            <v>BR27</v>
          </cell>
          <cell r="C492">
            <v>1.0717775</v>
          </cell>
          <cell r="D492">
            <v>1.07058875</v>
          </cell>
          <cell r="E492">
            <v>1.0710850000000001</v>
          </cell>
          <cell r="F492">
            <v>1.07305125</v>
          </cell>
          <cell r="G492"/>
          <cell r="H492"/>
          <cell r="I492"/>
          <cell r="J492"/>
          <cell r="K492"/>
        </row>
        <row r="493">
          <cell r="B493" t="str">
            <v>BR28</v>
          </cell>
          <cell r="C493">
            <v>1.0084561111111112</v>
          </cell>
          <cell r="D493">
            <v>1.0084345833333332</v>
          </cell>
          <cell r="E493">
            <v>1.0080580555555556</v>
          </cell>
          <cell r="F493">
            <v>1.0075665277777779</v>
          </cell>
          <cell r="G493"/>
          <cell r="H493"/>
          <cell r="I493"/>
          <cell r="J493"/>
          <cell r="K493"/>
        </row>
        <row r="494">
          <cell r="B494" t="str">
            <v>CDEL27</v>
          </cell>
          <cell r="C494">
            <v>0.99653472222222217</v>
          </cell>
          <cell r="D494">
            <v>0.99705541666666664</v>
          </cell>
          <cell r="E494">
            <v>0.99713111111111108</v>
          </cell>
          <cell r="F494">
            <v>0.99755180555555567</v>
          </cell>
          <cell r="G494"/>
          <cell r="H494"/>
          <cell r="I494"/>
          <cell r="J494"/>
          <cell r="K494"/>
        </row>
        <row r="495">
          <cell r="B495"/>
          <cell r="C495"/>
          <cell r="D495"/>
          <cell r="E495"/>
          <cell r="F495"/>
          <cell r="G495"/>
          <cell r="H495"/>
          <cell r="I495"/>
          <cell r="J495"/>
          <cell r="K495"/>
        </row>
        <row r="496">
          <cell r="B496" t="str">
            <v>Futuros</v>
          </cell>
          <cell r="C496"/>
          <cell r="D496"/>
          <cell r="E496"/>
          <cell r="F496"/>
          <cell r="G496"/>
          <cell r="H496"/>
          <cell r="I496"/>
          <cell r="J496"/>
          <cell r="K496"/>
        </row>
        <row r="497"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</row>
        <row r="498">
          <cell r="B498" t="str">
            <v>FUTDLR102026</v>
          </cell>
          <cell r="C498">
            <v>1544.5</v>
          </cell>
          <cell r="D498">
            <v>1541</v>
          </cell>
          <cell r="E498">
            <v>1542.5</v>
          </cell>
          <cell r="F498">
            <v>1538</v>
          </cell>
          <cell r="G498"/>
          <cell r="H498"/>
          <cell r="I498"/>
          <cell r="J498"/>
          <cell r="K498"/>
        </row>
        <row r="499"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</row>
        <row r="500">
          <cell r="B500" t="str">
            <v>Futuros Soja</v>
          </cell>
          <cell r="C500"/>
          <cell r="D500"/>
          <cell r="E500"/>
          <cell r="F500"/>
          <cell r="G500"/>
          <cell r="H500"/>
          <cell r="I500"/>
          <cell r="J500"/>
          <cell r="K500"/>
        </row>
        <row r="501">
          <cell r="B501"/>
          <cell r="C501"/>
          <cell r="D501"/>
          <cell r="E501"/>
          <cell r="F501"/>
          <cell r="G501"/>
          <cell r="H501"/>
          <cell r="I501"/>
          <cell r="J501"/>
          <cell r="K501"/>
        </row>
        <row r="502">
          <cell r="B502" t="str">
            <v>FUTDLRMM1126</v>
          </cell>
          <cell r="C502">
            <v>562581.50652000005</v>
          </cell>
          <cell r="D502">
            <v>556254.87150000001</v>
          </cell>
          <cell r="E502">
            <v>553081.36705</v>
          </cell>
          <cell r="F502">
            <v>548095.10800000001</v>
          </cell>
          <cell r="G502"/>
          <cell r="H502"/>
          <cell r="I502"/>
          <cell r="J502"/>
          <cell r="K502"/>
        </row>
        <row r="503">
          <cell r="B503" t="str">
            <v>FUTDLRMM0527</v>
          </cell>
          <cell r="C503">
            <v>546868.6605</v>
          </cell>
          <cell r="D503">
            <v>542560.07660000003</v>
          </cell>
          <cell r="E503">
            <v>538927.40717000002</v>
          </cell>
          <cell r="F503">
            <v>536086.28260000004</v>
          </cell>
          <cell r="G503"/>
          <cell r="H503"/>
          <cell r="I503"/>
          <cell r="J503"/>
          <cell r="K503"/>
        </row>
        <row r="504">
          <cell r="B504" t="str">
            <v>FUTARSSRO1126</v>
          </cell>
          <cell r="C504">
            <v>562581.50652000005</v>
          </cell>
          <cell r="D504">
            <v>556254.87150000001</v>
          </cell>
          <cell r="E504">
            <v>553081.36705</v>
          </cell>
          <cell r="F504">
            <v>548095.10800000001</v>
          </cell>
          <cell r="G504"/>
          <cell r="H504"/>
          <cell r="I504"/>
          <cell r="J504"/>
          <cell r="K504"/>
        </row>
        <row r="505">
          <cell r="B505" t="str">
            <v>FUTARSSRO0127</v>
          </cell>
          <cell r="C505">
            <v>574135.06977000006</v>
          </cell>
          <cell r="D505">
            <v>568564.79949999996</v>
          </cell>
          <cell r="E505">
            <v>564927.61607999995</v>
          </cell>
          <cell r="F505">
            <v>559642.05550000002</v>
          </cell>
          <cell r="G505"/>
          <cell r="H505"/>
          <cell r="I505"/>
          <cell r="J505"/>
          <cell r="K505"/>
        </row>
        <row r="506">
          <cell r="B506" t="str">
            <v>FUTARSSRO0527</v>
          </cell>
          <cell r="C506">
            <v>546868.6605</v>
          </cell>
          <cell r="D506">
            <v>542560.07660000003</v>
          </cell>
          <cell r="E506">
            <v>538927.40717000002</v>
          </cell>
          <cell r="F506">
            <v>536086.28260000004</v>
          </cell>
          <cell r="G506"/>
          <cell r="H506"/>
          <cell r="I506"/>
          <cell r="J506"/>
          <cell r="K506"/>
        </row>
        <row r="507"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</row>
        <row r="508">
          <cell r="B508" t="str">
            <v>Treasury</v>
          </cell>
          <cell r="C508"/>
          <cell r="D508"/>
          <cell r="E508"/>
          <cell r="F508"/>
          <cell r="G508"/>
          <cell r="H508"/>
          <cell r="I508"/>
          <cell r="J508"/>
          <cell r="K508"/>
        </row>
        <row r="509"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</row>
        <row r="510">
          <cell r="B510" t="str">
            <v>US03112026</v>
          </cell>
          <cell r="C510">
            <v>0.9992606757718514</v>
          </cell>
          <cell r="D510">
            <v>0.99937143096397452</v>
          </cell>
          <cell r="E510">
            <v>0.99947725970170676</v>
          </cell>
          <cell r="F510">
            <v>0.99958262906575301</v>
          </cell>
          <cell r="G510"/>
          <cell r="H510"/>
          <cell r="I510"/>
          <cell r="J510"/>
          <cell r="K510"/>
        </row>
        <row r="511">
          <cell r="B511" t="str">
            <v>US19112026</v>
          </cell>
          <cell r="C511">
            <v>0.99755689297901917</v>
          </cell>
          <cell r="D511">
            <v>0.99764996853357324</v>
          </cell>
          <cell r="E511">
            <v>0.99776359354623323</v>
          </cell>
          <cell r="F511">
            <v>0.99788846800170838</v>
          </cell>
          <cell r="G511"/>
          <cell r="H511"/>
          <cell r="I511"/>
          <cell r="J511"/>
          <cell r="K511"/>
        </row>
        <row r="512">
          <cell r="B512" t="str">
            <v>US01122026</v>
          </cell>
          <cell r="C512">
            <v>0.99625355439044228</v>
          </cell>
          <cell r="D512">
            <v>0.99636843632328886</v>
          </cell>
          <cell r="E512">
            <v>0.99648321961161967</v>
          </cell>
          <cell r="F512">
            <v>0.99661293585023703</v>
          </cell>
          <cell r="G512"/>
          <cell r="H512"/>
          <cell r="I512"/>
          <cell r="J512"/>
          <cell r="K512"/>
        </row>
        <row r="513">
          <cell r="B513" t="str">
            <v>US10122026</v>
          </cell>
          <cell r="C513">
            <v>0.99528444591391452</v>
          </cell>
          <cell r="D513">
            <v>0.99538377004891765</v>
          </cell>
          <cell r="E513">
            <v>0.99551914921722529</v>
          </cell>
          <cell r="F513">
            <v>0.99564106975768207</v>
          </cell>
          <cell r="G513"/>
          <cell r="H513"/>
          <cell r="I513"/>
          <cell r="J513"/>
          <cell r="K513"/>
        </row>
        <row r="514">
          <cell r="B514" t="str">
            <v>US07012027</v>
          </cell>
          <cell r="C514">
            <v>0.99213796173611468</v>
          </cell>
          <cell r="D514">
            <v>0.99225722656520521</v>
          </cell>
          <cell r="E514">
            <v>0.99239321087763011</v>
          </cell>
          <cell r="F514">
            <v>0.99253551564682352</v>
          </cell>
          <cell r="G514"/>
          <cell r="H514"/>
          <cell r="I514"/>
          <cell r="J514"/>
          <cell r="K514"/>
        </row>
        <row r="515">
          <cell r="B515"/>
          <cell r="C515"/>
          <cell r="D515"/>
          <cell r="E515"/>
          <cell r="F515"/>
          <cell r="G515"/>
          <cell r="H515"/>
          <cell r="I515"/>
          <cell r="J515"/>
          <cell r="K515"/>
        </row>
        <row r="516">
          <cell r="B516" t="str">
            <v>Pagare $</v>
          </cell>
          <cell r="C516"/>
          <cell r="D516"/>
          <cell r="E516"/>
          <cell r="F516"/>
          <cell r="G516"/>
          <cell r="H516"/>
          <cell r="I516"/>
          <cell r="J516"/>
          <cell r="K516"/>
        </row>
        <row r="517">
          <cell r="B517"/>
          <cell r="C517"/>
          <cell r="D517"/>
          <cell r="E517"/>
          <cell r="F517"/>
          <cell r="G517"/>
          <cell r="H517"/>
          <cell r="I517"/>
          <cell r="J517"/>
          <cell r="K517"/>
        </row>
        <row r="518">
          <cell r="B518" t="str">
            <v>#MAV150270009</v>
          </cell>
          <cell r="C518">
            <v>0.91828519673945852</v>
          </cell>
          <cell r="D518">
            <v>0.91895566353634273</v>
          </cell>
          <cell r="E518">
            <v>0.91962711010330067</v>
          </cell>
          <cell r="F518">
            <v>0.92029953858954638</v>
          </cell>
          <cell r="G518"/>
          <cell r="H518"/>
          <cell r="I518"/>
          <cell r="J518"/>
          <cell r="K518"/>
        </row>
        <row r="519">
          <cell r="B519" t="str">
            <v>#MAV150270010</v>
          </cell>
          <cell r="C519">
            <v>0.91828519673945852</v>
          </cell>
          <cell r="D519">
            <v>0.91895566353634273</v>
          </cell>
          <cell r="E519">
            <v>0.91962711010330067</v>
          </cell>
          <cell r="F519">
            <v>0.92029953858954638</v>
          </cell>
          <cell r="G519"/>
          <cell r="H519"/>
          <cell r="I519"/>
          <cell r="J519"/>
          <cell r="K519"/>
        </row>
        <row r="520">
          <cell r="B520" t="str">
            <v>#MAV101260047</v>
          </cell>
          <cell r="C520">
            <v>0.96795794023854187</v>
          </cell>
          <cell r="D520">
            <v>0.96864766171108296</v>
          </cell>
          <cell r="E520">
            <v>0.96933836681091656</v>
          </cell>
          <cell r="F520">
            <v>0.97003005764370398</v>
          </cell>
          <cell r="G520"/>
          <cell r="H520"/>
          <cell r="I520"/>
          <cell r="J520"/>
          <cell r="K520"/>
        </row>
        <row r="521"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</row>
        <row r="522">
          <cell r="B522" t="str">
            <v>Pagarés USD</v>
          </cell>
          <cell r="C522"/>
          <cell r="D522"/>
          <cell r="E522"/>
          <cell r="F522"/>
          <cell r="G522"/>
          <cell r="H522"/>
          <cell r="I522"/>
          <cell r="J522"/>
          <cell r="K522"/>
        </row>
        <row r="523"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</row>
        <row r="524">
          <cell r="B524" t="str">
            <v>#UMV130170010</v>
          </cell>
          <cell r="C524">
            <v>1514.4187984809309</v>
          </cell>
          <cell r="D524">
            <v>1513.0339317055561</v>
          </cell>
          <cell r="E524">
            <v>1513.0912756687135</v>
          </cell>
          <cell r="F524">
            <v>1514.5122620063094</v>
          </cell>
          <cell r="G524"/>
          <cell r="H524"/>
          <cell r="I524"/>
          <cell r="J524"/>
          <cell r="K524"/>
        </row>
        <row r="525">
          <cell r="B525" t="str">
            <v>#UMV130170012</v>
          </cell>
          <cell r="C525">
            <v>1514.4187984809309</v>
          </cell>
          <cell r="D525">
            <v>1513.0339317055561</v>
          </cell>
          <cell r="E525">
            <v>1513.0912756687135</v>
          </cell>
          <cell r="F525">
            <v>1514.5122620063094</v>
          </cell>
          <cell r="G525"/>
          <cell r="H525"/>
          <cell r="I525"/>
          <cell r="J525"/>
          <cell r="K525"/>
        </row>
        <row r="526">
          <cell r="B526" t="str">
            <v>#UMV150270056</v>
          </cell>
          <cell r="C526">
            <v>1504.5573989165498</v>
          </cell>
          <cell r="D526">
            <v>1503.1794799737713</v>
          </cell>
          <cell r="E526">
            <v>1503.2343795383026</v>
          </cell>
          <cell r="F526">
            <v>1504.6440352577665</v>
          </cell>
          <cell r="G526"/>
          <cell r="H526"/>
          <cell r="I526"/>
          <cell r="J526"/>
          <cell r="K526"/>
        </row>
        <row r="527">
          <cell r="B527" t="str">
            <v>#UMV150270055</v>
          </cell>
          <cell r="C527">
            <v>1504.5573989165498</v>
          </cell>
          <cell r="D527">
            <v>1503.1794799737713</v>
          </cell>
          <cell r="E527">
            <v>1503.2343795383026</v>
          </cell>
          <cell r="F527">
            <v>1504.6440352577665</v>
          </cell>
          <cell r="G527"/>
          <cell r="H527"/>
          <cell r="I527"/>
          <cell r="J527"/>
          <cell r="K527"/>
        </row>
        <row r="528">
          <cell r="B528" t="str">
            <v>#UMV150370062</v>
          </cell>
          <cell r="C528">
            <v>1495.7600698568679</v>
          </cell>
          <cell r="D528">
            <v>1494.3883719630794</v>
          </cell>
          <cell r="E528">
            <v>1494.4411138123426</v>
          </cell>
          <cell r="F528">
            <v>1495.8406845260279</v>
          </cell>
          <cell r="G528"/>
          <cell r="H528"/>
          <cell r="I528"/>
          <cell r="J528"/>
          <cell r="K528"/>
        </row>
        <row r="529">
          <cell r="B529" t="str">
            <v>#UMV150370061</v>
          </cell>
          <cell r="C529">
            <v>1495.7600698568679</v>
          </cell>
          <cell r="D529">
            <v>1494.3883719630794</v>
          </cell>
          <cell r="E529">
            <v>1494.4411138123426</v>
          </cell>
          <cell r="F529">
            <v>1495.8406845260279</v>
          </cell>
          <cell r="G529"/>
          <cell r="H529"/>
          <cell r="I529"/>
          <cell r="J529"/>
          <cell r="K529"/>
        </row>
        <row r="530">
          <cell r="B530" t="str">
            <v>#UMV150170072</v>
          </cell>
          <cell r="C530">
            <v>1513.1391020845331</v>
          </cell>
          <cell r="D530">
            <v>1511.7551353846611</v>
          </cell>
          <cell r="E530">
            <v>1511.8121606086629</v>
          </cell>
          <cell r="F530">
            <v>1513.2316750525438</v>
          </cell>
          <cell r="G530"/>
          <cell r="H530"/>
          <cell r="I530"/>
          <cell r="J530"/>
          <cell r="K530"/>
        </row>
        <row r="531">
          <cell r="B531" t="str">
            <v>#UMV150170073</v>
          </cell>
          <cell r="C531">
            <v>1513.1391020845331</v>
          </cell>
          <cell r="D531">
            <v>1511.7551353846611</v>
          </cell>
          <cell r="E531">
            <v>1511.8121606086629</v>
          </cell>
          <cell r="F531">
            <v>1513.2316750525438</v>
          </cell>
          <cell r="G531"/>
          <cell r="H531"/>
          <cell r="I531"/>
          <cell r="J531"/>
          <cell r="K531"/>
        </row>
        <row r="532">
          <cell r="B532" t="str">
            <v>#UMV150370068</v>
          </cell>
          <cell r="C532">
            <v>1495.7600698568679</v>
          </cell>
          <cell r="D532">
            <v>1494.3883719630794</v>
          </cell>
          <cell r="E532">
            <v>1494.4411138123426</v>
          </cell>
          <cell r="F532">
            <v>1495.8406845260279</v>
          </cell>
          <cell r="G532"/>
          <cell r="H532"/>
          <cell r="I532"/>
          <cell r="J532"/>
          <cell r="K532"/>
        </row>
        <row r="533">
          <cell r="B533" t="str">
            <v>#UMV150370069</v>
          </cell>
          <cell r="C533">
            <v>1495.7600698568679</v>
          </cell>
          <cell r="D533">
            <v>1494.3883719630794</v>
          </cell>
          <cell r="E533">
            <v>1494.4411138123426</v>
          </cell>
          <cell r="F533">
            <v>1495.8406845260279</v>
          </cell>
          <cell r="G533"/>
          <cell r="H533"/>
          <cell r="I533"/>
          <cell r="J533"/>
          <cell r="K533"/>
        </row>
        <row r="534">
          <cell r="B534" t="str">
            <v>#UMV080470014</v>
          </cell>
          <cell r="C534">
            <v>1488.3009763218461</v>
          </cell>
          <cell r="D534">
            <v>1486.934570061713</v>
          </cell>
          <cell r="E534">
            <v>1486.9854993598374</v>
          </cell>
          <cell r="F534">
            <v>1488.3765361796802</v>
          </cell>
          <cell r="G534"/>
          <cell r="H534"/>
          <cell r="I534"/>
          <cell r="J534"/>
          <cell r="K534"/>
        </row>
        <row r="535">
          <cell r="B535" t="str">
            <v>#UMV110270016</v>
          </cell>
          <cell r="C535">
            <v>1505.8226149204806</v>
          </cell>
          <cell r="D535">
            <v>1504.443803054208</v>
          </cell>
          <cell r="E535">
            <v>1504.4990147156338</v>
          </cell>
          <cell r="F535">
            <v>1505.9101226270488</v>
          </cell>
          <cell r="G535"/>
          <cell r="H535"/>
          <cell r="I535"/>
          <cell r="J535"/>
          <cell r="K535"/>
        </row>
        <row r="536">
          <cell r="B536" t="str">
            <v>#UMV150470068</v>
          </cell>
          <cell r="C536">
            <v>1486.1394005471197</v>
          </cell>
          <cell r="D536">
            <v>1484.7745306549748</v>
          </cell>
          <cell r="E536">
            <v>1484.8249375971739</v>
          </cell>
          <cell r="F536">
            <v>1486.2135042891016</v>
          </cell>
          <cell r="G536"/>
          <cell r="H536"/>
          <cell r="I536"/>
          <cell r="J536"/>
          <cell r="K536"/>
        </row>
        <row r="537">
          <cell r="B537" t="str">
            <v>#UMV250270018</v>
          </cell>
          <cell r="C537">
            <v>1501.4036411360794</v>
          </cell>
          <cell r="D537">
            <v>1500.0279498958389</v>
          </cell>
          <cell r="E537">
            <v>1500.0820734543192</v>
          </cell>
          <cell r="F537">
            <v>1501.4881113014112</v>
          </cell>
          <cell r="G537"/>
          <cell r="H537"/>
          <cell r="I537"/>
          <cell r="J537"/>
          <cell r="K537"/>
        </row>
        <row r="538">
          <cell r="B538" t="str">
            <v>#UMV290370010</v>
          </cell>
          <cell r="C538">
            <v>1491.399872152102</v>
          </cell>
          <cell r="D538">
            <v>1490.0312655863656</v>
          </cell>
          <cell r="E538">
            <v>1490.0829460254449</v>
          </cell>
          <cell r="F538">
            <v>1491.4775263751576</v>
          </cell>
          <cell r="G538"/>
          <cell r="H538"/>
          <cell r="I538"/>
          <cell r="J538"/>
          <cell r="K538"/>
        </row>
        <row r="539">
          <cell r="B539" t="str">
            <v>#UMV040370018</v>
          </cell>
          <cell r="C539">
            <v>1499.2038659051641</v>
          </cell>
          <cell r="D539">
            <v>1497.8297301513855</v>
          </cell>
          <cell r="E539">
            <v>1497.8833140832937</v>
          </cell>
          <cell r="F539">
            <v>1499.2868300817074</v>
          </cell>
          <cell r="G539"/>
          <cell r="H539"/>
          <cell r="I539"/>
          <cell r="J539"/>
          <cell r="K539"/>
        </row>
        <row r="540">
          <cell r="B540" t="str">
            <v>#UMV110370016</v>
          </cell>
          <cell r="C540">
            <v>1497.0105272266192</v>
          </cell>
          <cell r="D540">
            <v>1495.6379437525131</v>
          </cell>
          <cell r="E540">
            <v>1495.6909909825924</v>
          </cell>
          <cell r="F540">
            <v>1497.0919938619254</v>
          </cell>
          <cell r="G540"/>
          <cell r="H540"/>
          <cell r="I540"/>
          <cell r="J540"/>
          <cell r="K540"/>
        </row>
        <row r="541">
          <cell r="B541" t="str">
            <v>#UMV210170045</v>
          </cell>
          <cell r="C541">
            <v>1512.5000645593423</v>
          </cell>
          <cell r="D541">
            <v>1511.1165474981335</v>
          </cell>
          <cell r="E541">
            <v>1511.1734137257329</v>
          </cell>
          <cell r="F541">
            <v>1512.592193327062</v>
          </cell>
          <cell r="G541"/>
          <cell r="H541"/>
          <cell r="I541"/>
          <cell r="J541"/>
          <cell r="K541"/>
        </row>
        <row r="542">
          <cell r="B542" t="str">
            <v>#UMV280170011</v>
          </cell>
          <cell r="C542">
            <v>1510.2676775883997</v>
          </cell>
          <cell r="D542">
            <v>1508.8857321705866</v>
          </cell>
          <cell r="E542">
            <v>1508.9420438621123</v>
          </cell>
          <cell r="F542">
            <v>1510.3582572937526</v>
          </cell>
          <cell r="G542"/>
          <cell r="H542"/>
          <cell r="I542"/>
          <cell r="J542"/>
          <cell r="K542"/>
        </row>
        <row r="543">
          <cell r="B543" t="str">
            <v>#UMV070170014</v>
          </cell>
          <cell r="C543">
            <v>1516.9846958872477</v>
          </cell>
          <cell r="D543">
            <v>1515.5980257627702</v>
          </cell>
          <cell r="E543">
            <v>1515.6560102025669</v>
          </cell>
          <cell r="F543">
            <v>1517.0799491923281</v>
          </cell>
          <cell r="G543"/>
          <cell r="H543"/>
          <cell r="I543"/>
          <cell r="J543"/>
          <cell r="K543"/>
        </row>
        <row r="544">
          <cell r="B544" t="str">
            <v>#UMV010670037</v>
          </cell>
          <cell r="C544">
            <v>1471.1824085569669</v>
          </cell>
          <cell r="D544">
            <v>1469.8282052691218</v>
          </cell>
          <cell r="E544">
            <v>1469.8750335375469</v>
          </cell>
          <cell r="F544">
            <v>1471.2465441045565</v>
          </cell>
          <cell r="G544"/>
          <cell r="H544"/>
          <cell r="I544"/>
          <cell r="J544"/>
          <cell r="K544"/>
        </row>
        <row r="545">
          <cell r="B545" t="str">
            <v>#UMV290670004</v>
          </cell>
          <cell r="C545">
            <v>1462.769954694392</v>
          </cell>
          <cell r="D545">
            <v>1461.4217781952639</v>
          </cell>
          <cell r="E545">
            <v>1461.4666211213262</v>
          </cell>
          <cell r="F545">
            <v>1462.8285661479513</v>
          </cell>
          <cell r="G545"/>
          <cell r="H545"/>
          <cell r="I545"/>
          <cell r="J545"/>
          <cell r="K545"/>
        </row>
        <row r="546">
          <cell r="B546" t="str">
            <v>#UMV150470071</v>
          </cell>
          <cell r="C546">
            <v>1484.9070311282712</v>
          </cell>
          <cell r="D546">
            <v>1483.5430377423029</v>
          </cell>
          <cell r="E546">
            <v>1483.5931474602512</v>
          </cell>
          <cell r="F546">
            <v>1484.9803064555979</v>
          </cell>
          <cell r="G546"/>
          <cell r="H546"/>
          <cell r="I546"/>
          <cell r="J546"/>
          <cell r="K546"/>
        </row>
        <row r="547">
          <cell r="B547" t="str">
            <v>#UMV040570009</v>
          </cell>
          <cell r="C547">
            <v>1479.6921828926022</v>
          </cell>
          <cell r="D547">
            <v>1478.3319031888714</v>
          </cell>
          <cell r="E547">
            <v>1478.3807598795797</v>
          </cell>
          <cell r="F547">
            <v>1479.7619668315087</v>
          </cell>
          <cell r="G547"/>
          <cell r="H547"/>
          <cell r="I547"/>
          <cell r="J547"/>
          <cell r="K547"/>
        </row>
        <row r="548">
          <cell r="B548" t="str">
            <v>#UMV140170021</v>
          </cell>
          <cell r="C548">
            <v>1513.4588233869115</v>
          </cell>
          <cell r="D548">
            <v>1512.0746317679714</v>
          </cell>
          <cell r="E548">
            <v>1512.1317365833825</v>
          </cell>
          <cell r="F548">
            <v>1513.5516187244129</v>
          </cell>
          <cell r="G548"/>
          <cell r="H548"/>
          <cell r="I548"/>
          <cell r="J548"/>
          <cell r="K548"/>
        </row>
        <row r="549">
          <cell r="B549" t="str">
            <v>#UMV200470019</v>
          </cell>
          <cell r="C549">
            <v>1484.5992580613222</v>
          </cell>
          <cell r="D549">
            <v>1483.235483640954</v>
          </cell>
          <cell r="E549">
            <v>1483.2855191960493</v>
          </cell>
          <cell r="F549">
            <v>1484.6723266984059</v>
          </cell>
          <cell r="G549"/>
        </row>
        <row r="550">
          <cell r="B550" t="str">
            <v>#UMV200470018</v>
          </cell>
          <cell r="C550">
            <v>1484.5992580613222</v>
          </cell>
          <cell r="D550">
            <v>1483.235483640954</v>
          </cell>
          <cell r="E550">
            <v>1483.2855191960493</v>
          </cell>
          <cell r="F550">
            <v>1484.6723266984059</v>
          </cell>
          <cell r="G550"/>
        </row>
        <row r="551">
          <cell r="B551" t="str">
            <v>#UMV200470017</v>
          </cell>
          <cell r="C551">
            <v>1484.5992580613222</v>
          </cell>
          <cell r="D551">
            <v>1483.235483640954</v>
          </cell>
          <cell r="E551">
            <v>1483.2855191960493</v>
          </cell>
          <cell r="F551">
            <v>1484.6723266984059</v>
          </cell>
          <cell r="G551"/>
        </row>
        <row r="552">
          <cell r="B552" t="str">
            <v>#UMV200470016</v>
          </cell>
          <cell r="C552">
            <v>1484.5992580613222</v>
          </cell>
          <cell r="D552">
            <v>1483.235483640954</v>
          </cell>
          <cell r="E552">
            <v>1483.2855191960493</v>
          </cell>
          <cell r="F552">
            <v>1484.6723266984059</v>
          </cell>
          <cell r="G552"/>
        </row>
        <row r="553">
          <cell r="B553" t="str">
            <v>#UMV040570010</v>
          </cell>
          <cell r="C553">
            <v>1480.3037925528483</v>
          </cell>
          <cell r="D553">
            <v>1478.9430769068724</v>
          </cell>
          <cell r="E553">
            <v>1478.9920801623475</v>
          </cell>
          <cell r="F553">
            <v>1480.3739847892921</v>
          </cell>
          <cell r="G553"/>
        </row>
        <row r="554">
          <cell r="B554" t="str">
            <v>#UMV180570011</v>
          </cell>
          <cell r="C554">
            <v>1476.0331119047717</v>
          </cell>
          <cell r="D554">
            <v>1474.6754424889129</v>
          </cell>
          <cell r="E554">
            <v>1474.7234245105751</v>
          </cell>
          <cell r="F554">
            <v>1476.1004596795378</v>
          </cell>
          <cell r="G554"/>
        </row>
        <row r="555">
          <cell r="B555" t="str">
            <v>#UMV010670043</v>
          </cell>
          <cell r="C555">
            <v>1471.7870022210036</v>
          </cell>
          <cell r="D555">
            <v>1470.43236655531</v>
          </cell>
          <cell r="E555">
            <v>1470.4793382694713</v>
          </cell>
          <cell r="F555">
            <v>1471.8515370653145</v>
          </cell>
          <cell r="G555"/>
        </row>
        <row r="556">
          <cell r="B556" t="str">
            <v>#UMV220670013</v>
          </cell>
          <cell r="C556">
            <v>1465.4634463867308</v>
          </cell>
          <cell r="D556">
            <v>1464.1133380864928</v>
          </cell>
          <cell r="E556">
            <v>1464.158814526264</v>
          </cell>
          <cell r="F556">
            <v>1465.5238200796721</v>
          </cell>
          <cell r="G556"/>
        </row>
        <row r="557">
          <cell r="B557" t="str">
            <v>#UMV200770025</v>
          </cell>
          <cell r="C557">
            <v>1456.5234808490356</v>
          </cell>
          <cell r="D557">
            <v>1455.1797921802677</v>
          </cell>
          <cell r="E557">
            <v>1455.2231737245418</v>
          </cell>
          <cell r="F557">
            <v>1456.5780289137579</v>
          </cell>
          <cell r="G557"/>
        </row>
        <row r="558">
          <cell r="B558" t="str">
            <v>#UMV100870044</v>
          </cell>
          <cell r="C558">
            <v>1450.3301288541129</v>
          </cell>
          <cell r="D558">
            <v>1448.9909006006067</v>
          </cell>
          <cell r="E558">
            <v>1449.0328439512348</v>
          </cell>
          <cell r="F558">
            <v>1450.3806803957145</v>
          </cell>
          <cell r="G558"/>
        </row>
        <row r="559">
          <cell r="B559" t="str">
            <v>#UMV080970009</v>
          </cell>
          <cell r="C559">
            <v>1441.8634883309442</v>
          </cell>
          <cell r="D559">
            <v>1440.5303750213204</v>
          </cell>
          <cell r="E559">
            <v>1440.5703696197595</v>
          </cell>
          <cell r="F559">
            <v>1441.9086284647606</v>
          </cell>
          <cell r="G559"/>
        </row>
        <row r="560">
          <cell r="B560" t="str">
            <v>#UMV220770015</v>
          </cell>
          <cell r="C560">
            <v>1455.3397199962728</v>
          </cell>
          <cell r="D560">
            <v>1453.9968830375371</v>
          </cell>
          <cell r="E560">
            <v>1454.0399888657282</v>
          </cell>
          <cell r="F560">
            <v>1455.3935017022065</v>
          </cell>
          <cell r="G560"/>
        </row>
        <row r="561">
          <cell r="B561" t="str">
            <v>#UMV190870007</v>
          </cell>
          <cell r="C561">
            <v>1447.1069656414875</v>
          </cell>
          <cell r="D561">
            <v>1445.7700629261092</v>
          </cell>
          <cell r="E561">
            <v>1445.8112620464324</v>
          </cell>
          <cell r="F561">
            <v>1447.1554500282632</v>
          </cell>
          <cell r="G561"/>
        </row>
        <row r="562">
          <cell r="B562" t="str">
            <v>#UMV010970022</v>
          </cell>
          <cell r="C562">
            <v>1443.8980967531943</v>
          </cell>
          <cell r="D562">
            <v>1442.5635121424996</v>
          </cell>
          <cell r="E562">
            <v>1442.6039732156046</v>
          </cell>
          <cell r="F562">
            <v>1443.9445318080675</v>
          </cell>
          <cell r="G562"/>
        </row>
        <row r="563">
          <cell r="B563" t="str">
            <v>#UMV230970007</v>
          </cell>
          <cell r="C563">
            <v>1436.9460870565235</v>
          </cell>
          <cell r="D563">
            <v>1435.6165344730189</v>
          </cell>
          <cell r="E563">
            <v>1435.6554064332381</v>
          </cell>
          <cell r="F563">
            <v>1436.9881118595003</v>
          </cell>
          <cell r="G563"/>
        </row>
        <row r="564">
          <cell r="B564" t="str">
            <v>#UMV120870008</v>
          </cell>
          <cell r="C564">
            <v>1448.8632765493626</v>
          </cell>
          <cell r="D564">
            <v>1447.5251062820794</v>
          </cell>
          <cell r="E564">
            <v>1447.5667105758375</v>
          </cell>
          <cell r="F564">
            <v>1448.9128862543782</v>
          </cell>
          <cell r="G564"/>
        </row>
      </sheetData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30O6"/>
      <sheetName val="S13N6"/>
      <sheetName val="S30N6"/>
      <sheetName val="S29E7"/>
      <sheetName val="TTD26"/>
      <sheetName val="S26F7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TTS26"/>
      <sheetName val="S16O6"/>
      <sheetName val="TO26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>
            <v>46314</v>
          </cell>
          <cell r="N496">
            <v>24</v>
          </cell>
          <cell r="P496">
            <v>38448</v>
          </cell>
          <cell r="Q496">
            <v>1.587413</v>
          </cell>
        </row>
        <row r="497">
          <cell r="M497">
            <v>46315</v>
          </cell>
          <cell r="N497">
            <v>24.375</v>
          </cell>
          <cell r="P497">
            <v>38449</v>
          </cell>
          <cell r="Q497">
            <v>1.5882229999999999</v>
          </cell>
        </row>
        <row r="498">
          <cell r="M498">
            <v>46316</v>
          </cell>
          <cell r="N498">
            <v>24.1875</v>
          </cell>
          <cell r="P498">
            <v>38450</v>
          </cell>
          <cell r="Q498">
            <v>1.5890329999999999</v>
          </cell>
        </row>
        <row r="499">
          <cell r="M499">
            <v>46317</v>
          </cell>
          <cell r="N499">
            <v>24.5</v>
          </cell>
          <cell r="P499">
            <v>38451</v>
          </cell>
          <cell r="Q499">
            <v>1.589844</v>
          </cell>
        </row>
        <row r="500">
          <cell r="M500">
            <v>46318</v>
          </cell>
          <cell r="N500">
            <v>24.375</v>
          </cell>
          <cell r="P500">
            <v>38452</v>
          </cell>
          <cell r="Q500">
            <v>1.5906549999999999</v>
          </cell>
        </row>
        <row r="501">
          <cell r="M501">
            <v>46321</v>
          </cell>
          <cell r="N501">
            <v>24.125</v>
          </cell>
          <cell r="P501">
            <v>38453</v>
          </cell>
          <cell r="Q501">
            <v>1.591466</v>
          </cell>
        </row>
        <row r="502">
          <cell r="M502">
            <v>46322</v>
          </cell>
          <cell r="N502">
            <v>24.5625</v>
          </cell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173"/>
  <sheetViews>
    <sheetView workbookViewId="0">
      <pane ySplit="1" topLeftCell="A141" activePane="bottomLeft" state="frozen"/>
      <selection pane="bottomLeft" activeCell="E174" sqref="E174"/>
    </sheetView>
  </sheetViews>
  <sheetFormatPr baseColWidth="10" defaultRowHeight="15" x14ac:dyDescent="0.25"/>
  <cols>
    <col min="6" max="7" width="11.42578125" customWidth="1"/>
    <col min="20" max="21" width="11.42578125" style="10"/>
    <col min="23" max="23" width="11.42578125" style="10"/>
    <col min="25" max="32" width="11.42578125" style="10"/>
  </cols>
  <sheetData>
    <row r="1" spans="1:63" x14ac:dyDescent="0.25">
      <c r="A1" t="s">
        <v>2</v>
      </c>
      <c r="B1" t="s">
        <v>23</v>
      </c>
      <c r="C1" t="s">
        <v>24</v>
      </c>
      <c r="D1" s="10" t="s">
        <v>15</v>
      </c>
      <c r="E1" s="10" t="s">
        <v>83</v>
      </c>
      <c r="F1" t="s">
        <v>7</v>
      </c>
      <c r="G1" t="s">
        <v>3</v>
      </c>
      <c r="H1" s="10" t="s">
        <v>16</v>
      </c>
      <c r="I1" t="s">
        <v>11</v>
      </c>
      <c r="J1" t="s">
        <v>17</v>
      </c>
      <c r="K1" t="s">
        <v>13</v>
      </c>
      <c r="L1" t="s">
        <v>14</v>
      </c>
      <c r="M1" s="10"/>
      <c r="O1" t="s">
        <v>4</v>
      </c>
      <c r="P1" t="s">
        <v>12</v>
      </c>
      <c r="R1" s="10" t="s">
        <v>20</v>
      </c>
      <c r="S1" t="s">
        <v>25</v>
      </c>
      <c r="T1" s="10" t="s">
        <v>13</v>
      </c>
      <c r="U1" s="10" t="s">
        <v>26</v>
      </c>
      <c r="V1" s="10" t="s">
        <v>19</v>
      </c>
      <c r="W1" s="10" t="s">
        <v>14</v>
      </c>
      <c r="X1" s="10" t="s">
        <v>18</v>
      </c>
      <c r="Y1" s="10" t="s">
        <v>27</v>
      </c>
      <c r="Z1" s="10" t="s">
        <v>28</v>
      </c>
      <c r="AA1" s="10" t="s">
        <v>29</v>
      </c>
      <c r="AB1" s="10" t="s">
        <v>30</v>
      </c>
      <c r="AC1" s="10" t="s">
        <v>31</v>
      </c>
      <c r="AD1" s="10" t="s">
        <v>32</v>
      </c>
      <c r="AE1" s="10" t="s">
        <v>33</v>
      </c>
      <c r="AF1" s="10" t="s">
        <v>34</v>
      </c>
      <c r="AI1" s="10" t="s">
        <v>55</v>
      </c>
      <c r="AJ1" s="10" t="s">
        <v>56</v>
      </c>
      <c r="AK1" s="10" t="s">
        <v>57</v>
      </c>
      <c r="AL1" s="10" t="s">
        <v>58</v>
      </c>
      <c r="AM1" s="10" t="s">
        <v>59</v>
      </c>
      <c r="AN1" s="10" t="s">
        <v>60</v>
      </c>
      <c r="AO1" s="10" t="s">
        <v>61</v>
      </c>
      <c r="AP1" s="10" t="s">
        <v>62</v>
      </c>
      <c r="AQ1" s="10" t="s">
        <v>63</v>
      </c>
      <c r="AR1" s="10" t="s">
        <v>64</v>
      </c>
      <c r="AS1" s="10" t="s">
        <v>65</v>
      </c>
      <c r="AT1" s="10" t="s">
        <v>66</v>
      </c>
      <c r="AU1" s="10" t="s">
        <v>67</v>
      </c>
      <c r="AV1" s="10" t="s">
        <v>68</v>
      </c>
      <c r="AX1" s="10" t="s">
        <v>69</v>
      </c>
      <c r="AY1" s="10" t="s">
        <v>70</v>
      </c>
      <c r="AZ1" s="10" t="s">
        <v>71</v>
      </c>
      <c r="BA1" s="10" t="s">
        <v>72</v>
      </c>
      <c r="BB1" s="10" t="s">
        <v>73</v>
      </c>
      <c r="BC1" s="10" t="s">
        <v>74</v>
      </c>
      <c r="BD1" s="10" t="s">
        <v>75</v>
      </c>
      <c r="BE1" s="10" t="s">
        <v>76</v>
      </c>
      <c r="BF1" s="10" t="s">
        <v>77</v>
      </c>
      <c r="BG1" s="10" t="s">
        <v>78</v>
      </c>
      <c r="BH1" s="10" t="s">
        <v>79</v>
      </c>
      <c r="BI1" s="10" t="s">
        <v>80</v>
      </c>
      <c r="BJ1" s="10" t="s">
        <v>81</v>
      </c>
      <c r="BK1" s="10" t="s">
        <v>82</v>
      </c>
    </row>
    <row r="2" spans="1:63" x14ac:dyDescent="0.25">
      <c r="A2" s="8">
        <v>46072</v>
      </c>
      <c r="B2" s="10">
        <v>1.100000000000062</v>
      </c>
      <c r="C2" s="8"/>
      <c r="D2" s="10">
        <v>1.0255000000000369</v>
      </c>
      <c r="E2" s="10"/>
      <c r="F2">
        <v>121.4499999999918</v>
      </c>
      <c r="H2" s="10">
        <v>1.0959999999939141</v>
      </c>
      <c r="I2">
        <v>103.70000000000471</v>
      </c>
      <c r="J2" s="10">
        <v>1.0525000000000342</v>
      </c>
      <c r="L2" s="10">
        <v>1.0390000000000437</v>
      </c>
      <c r="O2">
        <v>102.99999999941318</v>
      </c>
      <c r="R2" s="10">
        <v>1.0039999999997464</v>
      </c>
      <c r="S2" s="10">
        <v>2.4369999999991161</v>
      </c>
      <c r="U2" s="10">
        <v>1.7874999999863834</v>
      </c>
      <c r="V2" s="10">
        <v>0.9949999999951884</v>
      </c>
      <c r="W2" s="10">
        <v>1.0390000000000437</v>
      </c>
      <c r="X2" s="10">
        <v>3.1489999999999956</v>
      </c>
      <c r="AA2" s="10">
        <v>2.2240000000000069</v>
      </c>
      <c r="AC2" s="10">
        <v>2.8734999999995483</v>
      </c>
      <c r="AI2" s="10">
        <v>0.78156309111898226</v>
      </c>
      <c r="AJ2" s="10">
        <v>0.60688512110730797</v>
      </c>
      <c r="AK2" s="10">
        <v>0.59859999999995328</v>
      </c>
      <c r="AL2" s="10">
        <v>0.76368103806213439</v>
      </c>
      <c r="AM2" s="10">
        <v>0.71348701268716208</v>
      </c>
      <c r="AN2" s="10">
        <v>0.92102929642450659</v>
      </c>
      <c r="AO2" s="10"/>
      <c r="AP2" s="10"/>
      <c r="AQ2" s="10"/>
      <c r="AR2" s="10">
        <v>0.62163111803383952</v>
      </c>
      <c r="AS2" s="10">
        <v>0.61530832756622234</v>
      </c>
      <c r="AT2" s="10">
        <v>0.77438265282592356</v>
      </c>
      <c r="AU2" s="10">
        <v>0.80842069204152123</v>
      </c>
      <c r="AV2" s="10">
        <v>0.72011510957305869</v>
      </c>
      <c r="AX2" s="10">
        <v>0.80336747404862963</v>
      </c>
      <c r="AY2" s="10">
        <v>0.62381626297582116</v>
      </c>
      <c r="AZ2" s="10">
        <v>0.61529999999995189</v>
      </c>
      <c r="BA2" s="10">
        <v>0.78498653979223387</v>
      </c>
      <c r="BB2" s="10">
        <v>0.73339217993052264</v>
      </c>
      <c r="BC2" s="10">
        <v>0.94672456747410438</v>
      </c>
      <c r="BD2" s="10"/>
      <c r="BE2" s="10"/>
      <c r="BF2" s="10">
        <v>0.63972173762539131</v>
      </c>
      <c r="BG2" s="10">
        <v>0.63247446366771887</v>
      </c>
      <c r="BH2" s="10">
        <v>0.79598671280285782</v>
      </c>
      <c r="BI2" s="10"/>
      <c r="BJ2" s="10">
        <v>0.83097435986159029</v>
      </c>
      <c r="BK2" s="10">
        <v>0.74020519031123111</v>
      </c>
    </row>
    <row r="3" spans="1:63" x14ac:dyDescent="0.25">
      <c r="A3" s="8">
        <v>46073</v>
      </c>
      <c r="B3" s="10">
        <v>1.1093700000000242</v>
      </c>
      <c r="C3" s="8"/>
      <c r="D3" s="10">
        <v>1.0275000000000187</v>
      </c>
      <c r="E3" s="10"/>
      <c r="F3">
        <v>121.79999999999124</v>
      </c>
      <c r="H3" s="10">
        <v>1.10149999999524</v>
      </c>
      <c r="I3">
        <v>104.14999999893084</v>
      </c>
      <c r="J3" s="10">
        <v>1.0550000000000848</v>
      </c>
      <c r="L3" s="10">
        <v>1.0385000000000253</v>
      </c>
      <c r="O3">
        <v>104.89999999968605</v>
      </c>
      <c r="R3" s="10">
        <v>1.0052499999997973</v>
      </c>
      <c r="S3" s="10">
        <v>2.4439999999993489</v>
      </c>
      <c r="U3" s="10">
        <v>1.792999999989261</v>
      </c>
      <c r="V3" s="10">
        <v>0.98999999999997823</v>
      </c>
      <c r="W3" s="10">
        <v>1.0385000000000253</v>
      </c>
      <c r="X3" s="10">
        <v>3.1950000000001011</v>
      </c>
      <c r="AA3" s="10">
        <v>2.2324999999999329</v>
      </c>
      <c r="AC3" s="10">
        <v>2.8844999999999335</v>
      </c>
      <c r="AI3" s="10">
        <v>0.78076665124882072</v>
      </c>
      <c r="AJ3" s="10">
        <v>0.60525066481666723</v>
      </c>
      <c r="AK3" s="10">
        <v>0.59700000000002218</v>
      </c>
      <c r="AL3" s="10">
        <v>0.76626965772436395</v>
      </c>
      <c r="AM3" s="10">
        <v>0.71573728029584216</v>
      </c>
      <c r="AN3" s="10">
        <v>0.92159458834400954</v>
      </c>
      <c r="AO3" s="10"/>
      <c r="AP3" s="10"/>
      <c r="AQ3" s="10"/>
      <c r="AR3" s="10">
        <v>0.62712802636144849</v>
      </c>
      <c r="AS3" s="10">
        <v>0.61094472710448944</v>
      </c>
      <c r="AT3" s="10">
        <v>0.77455365402419707</v>
      </c>
      <c r="AU3" s="10">
        <v>0.80837997224808988</v>
      </c>
      <c r="AV3" s="10">
        <v>0.71967217853820953</v>
      </c>
      <c r="AX3" s="10">
        <v>0.80666142460682178</v>
      </c>
      <c r="AY3" s="10">
        <v>0.62573326396107443</v>
      </c>
      <c r="AZ3" s="10">
        <v>0.61680000000002277</v>
      </c>
      <c r="BA3" s="10">
        <v>0.79168362627200606</v>
      </c>
      <c r="BB3" s="10">
        <v>0.73947530064736255</v>
      </c>
      <c r="BC3" s="10">
        <v>0.95216003700265506</v>
      </c>
      <c r="BD3" s="10"/>
      <c r="BE3" s="10"/>
      <c r="BF3" s="10">
        <v>0.64835098855360995</v>
      </c>
      <c r="BG3" s="10">
        <v>0.63120721554112069</v>
      </c>
      <c r="BH3" s="10">
        <v>0.8002423681777634</v>
      </c>
      <c r="BI3" s="10"/>
      <c r="BJ3" s="10">
        <v>0.83519056429249883</v>
      </c>
      <c r="BK3" s="10">
        <v>0.74354070305254216</v>
      </c>
    </row>
    <row r="4" spans="1:63" x14ac:dyDescent="0.25">
      <c r="A4" s="8">
        <v>46076</v>
      </c>
      <c r="B4" s="10">
        <v>1.1040000000000636</v>
      </c>
      <c r="C4" s="8"/>
      <c r="D4" s="10">
        <v>1.0294000000000267</v>
      </c>
      <c r="E4" s="10"/>
      <c r="F4">
        <v>121.89999999998918</v>
      </c>
      <c r="H4" s="10">
        <v>1.1029999999954871</v>
      </c>
      <c r="I4">
        <v>103.50000000000973</v>
      </c>
      <c r="J4" s="10">
        <v>1.0519999999999896</v>
      </c>
      <c r="L4" s="10">
        <v>0.9999999999992718</v>
      </c>
      <c r="O4">
        <v>103.99999999937211</v>
      </c>
      <c r="R4" s="10">
        <v>1.0084999999998279</v>
      </c>
      <c r="S4" s="10">
        <v>2.4459999999993474</v>
      </c>
      <c r="U4" s="10">
        <v>1.7919999999873619</v>
      </c>
      <c r="V4" s="10">
        <v>1.033000000000005</v>
      </c>
      <c r="W4" s="10">
        <v>0.9999999999992718</v>
      </c>
      <c r="X4" s="10">
        <v>3.1829999999999679</v>
      </c>
      <c r="AA4" s="10">
        <v>2.2329999999997137</v>
      </c>
      <c r="AC4" s="10">
        <v>2.884000000000198</v>
      </c>
      <c r="AI4" s="10">
        <v>0.77771096034630238</v>
      </c>
      <c r="AJ4" s="10">
        <v>0.60204957304950413</v>
      </c>
      <c r="AK4" s="10">
        <v>0.59309999999999607</v>
      </c>
      <c r="AL4" s="10">
        <v>0.75967306117677547</v>
      </c>
      <c r="AM4" s="10">
        <v>0.70951382617851821</v>
      </c>
      <c r="AN4" s="10">
        <v>0.91715779623348426</v>
      </c>
      <c r="AO4" s="10"/>
      <c r="AP4" s="10"/>
      <c r="AQ4" s="10"/>
      <c r="AR4" s="10">
        <v>0.62733157894735525</v>
      </c>
      <c r="AS4" s="10">
        <v>0.61314981869231722</v>
      </c>
      <c r="AT4" s="10">
        <v>0.77077330681959555</v>
      </c>
      <c r="AU4" s="10">
        <v>0.80449030295944557</v>
      </c>
      <c r="AV4" s="10">
        <v>0.71887965843956836</v>
      </c>
      <c r="AX4" s="10">
        <v>0.80367399695877351</v>
      </c>
      <c r="AY4" s="10">
        <v>0.6221483448356786</v>
      </c>
      <c r="AZ4" s="10">
        <v>0.61289999999999578</v>
      </c>
      <c r="BA4" s="10">
        <v>0.78503392209618217</v>
      </c>
      <c r="BB4" s="10">
        <v>0.73320017545913629</v>
      </c>
      <c r="BC4" s="10">
        <v>0.94777611416540608</v>
      </c>
      <c r="BD4" s="10"/>
      <c r="BE4" s="10"/>
      <c r="BF4" s="10">
        <v>0.64912421052630231</v>
      </c>
      <c r="BG4" s="10">
        <v>0.63361916013576314</v>
      </c>
      <c r="BH4" s="10">
        <v>0.7965047373962737</v>
      </c>
      <c r="BI4" s="10"/>
      <c r="BJ4" s="10">
        <v>0.83134733887007939</v>
      </c>
      <c r="BK4" s="10">
        <v>0.74287867586850675</v>
      </c>
    </row>
    <row r="5" spans="1:63" x14ac:dyDescent="0.25">
      <c r="A5" s="8">
        <v>46077</v>
      </c>
      <c r="B5" s="10">
        <v>1.1119999999999826</v>
      </c>
      <c r="C5" s="8"/>
      <c r="D5" s="10">
        <v>1.0389499999999909</v>
      </c>
      <c r="E5" s="10"/>
      <c r="F5">
        <v>123.55000000000049</v>
      </c>
      <c r="H5" s="10">
        <v>1.1159999999973647</v>
      </c>
      <c r="I5">
        <v>105.14999999930235</v>
      </c>
      <c r="J5" s="10">
        <v>1.0614999999999595</v>
      </c>
      <c r="L5" s="10">
        <v>1.0089999999997927</v>
      </c>
      <c r="O5">
        <v>103.50000000000152</v>
      </c>
      <c r="R5" s="10">
        <v>1.0114999999998535</v>
      </c>
      <c r="S5" s="10">
        <v>2.451999999999344</v>
      </c>
      <c r="U5" s="10">
        <v>1.7969999999874642</v>
      </c>
      <c r="V5" s="10">
        <v>1.004999999997616</v>
      </c>
      <c r="W5" s="10">
        <v>1.0089999999997927</v>
      </c>
      <c r="X5" s="10">
        <v>3.1779999999999733</v>
      </c>
      <c r="AA5" s="10">
        <v>2.244000000000073</v>
      </c>
      <c r="AC5" s="10">
        <v>2.8924999999999188</v>
      </c>
      <c r="AI5" s="10">
        <v>0.77298622097790937</v>
      </c>
      <c r="AJ5" s="10">
        <v>0.59722280947382245</v>
      </c>
      <c r="AK5" s="10">
        <v>0.59170000000001888</v>
      </c>
      <c r="AL5" s="10">
        <v>0.75117112355605486</v>
      </c>
      <c r="AM5" s="10">
        <v>0.70146583829126641</v>
      </c>
      <c r="AN5" s="10">
        <v>0.91918156881046398</v>
      </c>
      <c r="AO5" s="10"/>
      <c r="AP5" s="10"/>
      <c r="AQ5" s="10"/>
      <c r="AR5" s="10">
        <v>0.61922499999997782</v>
      </c>
      <c r="AS5" s="10">
        <v>0.6103394819740503</v>
      </c>
      <c r="AT5" s="10">
        <v>0.76573753354329321</v>
      </c>
      <c r="AU5" s="10">
        <v>0.80039316299121799</v>
      </c>
      <c r="AV5" s="10">
        <v>0.70968101738411948</v>
      </c>
      <c r="AX5" s="10">
        <v>0.7968930113174324</v>
      </c>
      <c r="AY5" s="10">
        <v>0.61569361801424993</v>
      </c>
      <c r="AZ5" s="10">
        <v>0.61000000000001942</v>
      </c>
      <c r="BA5" s="10">
        <v>0.77440322016088114</v>
      </c>
      <c r="BB5" s="10">
        <v>0.72316065803223339</v>
      </c>
      <c r="BC5" s="10">
        <v>0.94758106688446619</v>
      </c>
      <c r="BD5" s="10"/>
      <c r="BE5" s="10"/>
      <c r="BF5" s="10">
        <v>0.63856924603172327</v>
      </c>
      <c r="BG5" s="10">
        <v>0.62921596079799014</v>
      </c>
      <c r="BH5" s="10">
        <v>0.78942013767349817</v>
      </c>
      <c r="BI5" s="10"/>
      <c r="BJ5" s="10">
        <v>0.8251475907125958</v>
      </c>
      <c r="BK5" s="10">
        <v>0.73162991482898898</v>
      </c>
    </row>
    <row r="6" spans="1:63" x14ac:dyDescent="0.25">
      <c r="A6" s="8">
        <v>46078</v>
      </c>
      <c r="B6" s="10">
        <v>1.1115000000000084</v>
      </c>
      <c r="C6" s="8"/>
      <c r="D6" s="10">
        <v>1.0409999999999873</v>
      </c>
      <c r="E6" s="10"/>
      <c r="F6">
        <v>123.59999999999873</v>
      </c>
      <c r="H6" s="10">
        <v>1.1189999999977578</v>
      </c>
      <c r="I6">
        <v>105.49999999939821</v>
      </c>
      <c r="J6" s="10">
        <v>1.0615000000000072</v>
      </c>
      <c r="L6" s="10"/>
      <c r="O6">
        <v>104.90000000000501</v>
      </c>
      <c r="R6" s="10">
        <v>1.0114999999998486</v>
      </c>
      <c r="S6" s="10">
        <v>2.4549999999994578</v>
      </c>
      <c r="U6" s="10">
        <v>1.7974999999866776</v>
      </c>
      <c r="V6" s="10">
        <v>1.004999999997251</v>
      </c>
      <c r="W6" s="10">
        <v>1.026000000000066</v>
      </c>
      <c r="X6" s="10">
        <v>3.1705000000001768</v>
      </c>
      <c r="AA6" s="10">
        <v>2.2525000000000031</v>
      </c>
      <c r="AC6" s="10">
        <v>2.8939999999996582</v>
      </c>
      <c r="AI6" s="10">
        <v>0.7737876606978783</v>
      </c>
      <c r="AJ6" s="10">
        <v>0.59360169880628144</v>
      </c>
      <c r="AK6" s="10">
        <v>0.59170000000002188</v>
      </c>
      <c r="AL6" s="10">
        <v>0.75117102846657491</v>
      </c>
      <c r="AM6" s="10">
        <v>0.70620943526146307</v>
      </c>
      <c r="AN6" s="10">
        <v>0.91621131772256914</v>
      </c>
      <c r="AO6" s="10"/>
      <c r="AP6" s="10"/>
      <c r="AQ6" s="10"/>
      <c r="AR6" s="10">
        <v>0.62208995979325654</v>
      </c>
      <c r="AS6" s="10">
        <v>0.61329786501377415</v>
      </c>
      <c r="AT6" s="10">
        <v>0.76475459136841495</v>
      </c>
      <c r="AU6" s="10">
        <v>0.80285648530771836</v>
      </c>
      <c r="AV6" s="10">
        <v>0.71191188971866071</v>
      </c>
      <c r="AX6" s="10">
        <v>0.79902697428832792</v>
      </c>
      <c r="AY6" s="10">
        <v>0.61296372819103928</v>
      </c>
      <c r="AZ6" s="10">
        <v>0.61100000000002253</v>
      </c>
      <c r="BA6" s="10">
        <v>0.7756726354454575</v>
      </c>
      <c r="BB6" s="10">
        <v>0.72924449035787375</v>
      </c>
      <c r="BC6" s="10">
        <v>0.94609618916425509</v>
      </c>
      <c r="BD6" s="10"/>
      <c r="BE6" s="10"/>
      <c r="BF6" s="10">
        <v>0.64184885697878313</v>
      </c>
      <c r="BG6" s="10">
        <v>0.63330234159779619</v>
      </c>
      <c r="BH6" s="10">
        <v>0.78969926538127677</v>
      </c>
      <c r="BI6" s="10"/>
      <c r="BJ6" s="10">
        <v>0.82904396235088029</v>
      </c>
      <c r="BK6" s="10">
        <v>0.73452372199896276</v>
      </c>
    </row>
    <row r="7" spans="1:63" x14ac:dyDescent="0.25">
      <c r="A7" s="8">
        <v>46079</v>
      </c>
      <c r="B7" s="10">
        <v>1.1140000000000327</v>
      </c>
      <c r="C7" s="8"/>
      <c r="D7" s="10">
        <v>1.042009999999967</v>
      </c>
      <c r="E7" s="10"/>
      <c r="F7">
        <v>124.14999999999895</v>
      </c>
      <c r="H7" s="10">
        <v>1.1254999999983901</v>
      </c>
      <c r="I7">
        <v>105.99999999950973</v>
      </c>
      <c r="J7" s="10">
        <v>1.0749999999899797</v>
      </c>
      <c r="L7" s="10">
        <v>1.026000000000066</v>
      </c>
      <c r="O7">
        <v>103.50000000000257</v>
      </c>
      <c r="R7" s="10">
        <v>1.0169999999999662</v>
      </c>
      <c r="S7" s="10">
        <v>2.469999999999839</v>
      </c>
      <c r="U7" s="10">
        <v>1.8069999999918676</v>
      </c>
      <c r="V7" s="10">
        <v>1.009999999998396</v>
      </c>
      <c r="W7" s="10">
        <v>1.026000000000066</v>
      </c>
      <c r="X7" s="10">
        <v>3.2039999999999678</v>
      </c>
      <c r="AA7" s="10">
        <v>2.2640000000000535</v>
      </c>
      <c r="AC7" s="10">
        <v>2.9000000000000155</v>
      </c>
      <c r="AI7" s="10">
        <v>0.77143162393171816</v>
      </c>
      <c r="AJ7" s="10">
        <v>0.59958974358974082</v>
      </c>
      <c r="AK7" s="10">
        <v>0.59250000000003333</v>
      </c>
      <c r="AL7" s="10">
        <v>0.74833931623951055</v>
      </c>
      <c r="AM7" s="10">
        <v>0.70154700854658392</v>
      </c>
      <c r="AN7" s="10">
        <v>0.91734529914520513</v>
      </c>
      <c r="AO7" s="10"/>
      <c r="AP7" s="10"/>
      <c r="AQ7" s="10"/>
      <c r="AR7" s="10">
        <v>0.62027098687964655</v>
      </c>
      <c r="AS7" s="10">
        <v>0.6134991452991716</v>
      </c>
      <c r="AT7" s="10">
        <v>0.76825811965827162</v>
      </c>
      <c r="AU7" s="10">
        <v>0.79627948717924013</v>
      </c>
      <c r="AV7" s="10">
        <v>0.70897435897392935</v>
      </c>
      <c r="AX7" s="10">
        <v>0.79473732193741897</v>
      </c>
      <c r="AY7" s="10">
        <v>0.61770393162392867</v>
      </c>
      <c r="AZ7" s="10">
        <v>0.61040000000003425</v>
      </c>
      <c r="BA7" s="10">
        <v>0.77094737321957341</v>
      </c>
      <c r="BB7" s="10">
        <v>0.72274142450098688</v>
      </c>
      <c r="BC7" s="10">
        <v>0.94505919088309387</v>
      </c>
      <c r="BD7" s="10"/>
      <c r="BE7" s="10"/>
      <c r="BF7" s="10">
        <v>0.64020527096407376</v>
      </c>
      <c r="BG7" s="10">
        <v>0.63203354985757687</v>
      </c>
      <c r="BH7" s="10">
        <v>0.79146794302009937</v>
      </c>
      <c r="BI7" s="10"/>
      <c r="BJ7" s="10">
        <v>0.82033586324760865</v>
      </c>
      <c r="BK7" s="10">
        <v>0.73039316239271967</v>
      </c>
    </row>
    <row r="8" spans="1:63" x14ac:dyDescent="0.25">
      <c r="A8" s="8">
        <v>46080</v>
      </c>
      <c r="B8" s="10">
        <v>1.110099999999985</v>
      </c>
      <c r="C8" s="8"/>
      <c r="D8" s="10">
        <v>1.0489999999999859</v>
      </c>
      <c r="E8" s="10"/>
      <c r="F8">
        <v>124.50000000000203</v>
      </c>
      <c r="H8" s="10">
        <v>1.1284999999985121</v>
      </c>
      <c r="I8">
        <v>105.99999999951297</v>
      </c>
      <c r="J8" s="10">
        <v>1.103999999997076</v>
      </c>
      <c r="L8" s="10">
        <v>1.0290000000000044</v>
      </c>
      <c r="O8">
        <v>104.89999999999642</v>
      </c>
      <c r="R8" s="10">
        <v>1.0244999999999562</v>
      </c>
      <c r="S8" s="10">
        <v>2.4799999999998779</v>
      </c>
      <c r="U8" s="10">
        <v>1.8179999999957566</v>
      </c>
      <c r="V8" s="10">
        <v>1.0400000000001015</v>
      </c>
      <c r="W8" s="10">
        <v>1.0290000000000044</v>
      </c>
      <c r="X8" s="10">
        <v>3.2499999999773217</v>
      </c>
      <c r="AA8" s="10">
        <v>2.2749999999999839</v>
      </c>
      <c r="AC8" s="10">
        <v>2.9069999999999272</v>
      </c>
      <c r="AI8" s="10">
        <v>0.76461902262654713</v>
      </c>
      <c r="AJ8" s="10">
        <v>0.5978601003032058</v>
      </c>
      <c r="AK8" s="10">
        <v>0.58550000000000102</v>
      </c>
      <c r="AL8" s="10">
        <v>0.74297177513424983</v>
      </c>
      <c r="AM8" s="10">
        <v>0.69926755306715482</v>
      </c>
      <c r="AN8" s="10">
        <v>0.91710578493127148</v>
      </c>
      <c r="AO8" s="10">
        <v>0.98464246559354607</v>
      </c>
      <c r="AP8" s="10"/>
      <c r="AQ8" s="10"/>
      <c r="AR8" s="10">
        <v>0.61725384884534562</v>
      </c>
      <c r="AS8" s="10">
        <v>0.60967389783055603</v>
      </c>
      <c r="AT8" s="10">
        <v>0.75792681362233016</v>
      </c>
      <c r="AU8" s="10">
        <v>0.79077326801958647</v>
      </c>
      <c r="AV8" s="10">
        <v>0.71019360858405367</v>
      </c>
      <c r="AX8" s="10">
        <v>0.78877863307674545</v>
      </c>
      <c r="AY8" s="10">
        <v>0.61675064147418668</v>
      </c>
      <c r="AZ8" s="10">
        <v>0.60400000000000087</v>
      </c>
      <c r="BA8" s="10">
        <v>0.7664473991137265</v>
      </c>
      <c r="BB8" s="10">
        <v>0.72136225798900344</v>
      </c>
      <c r="BC8" s="10">
        <v>0.94608350828093579</v>
      </c>
      <c r="BD8" s="10">
        <v>1.0157541404244266</v>
      </c>
      <c r="BE8" s="10"/>
      <c r="BF8" s="10">
        <v>0.6367571728481447</v>
      </c>
      <c r="BG8" s="10">
        <v>0.62893771868429693</v>
      </c>
      <c r="BH8" s="10">
        <v>0.781874970841823</v>
      </c>
      <c r="BI8" s="10"/>
      <c r="BJ8" s="10">
        <v>0.81575927221832656</v>
      </c>
      <c r="BK8" s="10">
        <v>0.73263354327031327</v>
      </c>
    </row>
    <row r="9" spans="1:63" x14ac:dyDescent="0.25">
      <c r="A9" s="8">
        <v>46083</v>
      </c>
      <c r="B9" s="10">
        <v>1.1223999999999632</v>
      </c>
      <c r="C9" s="8"/>
      <c r="D9" s="10">
        <v>1.0555000000000447</v>
      </c>
      <c r="E9" s="10"/>
      <c r="F9">
        <v>124.79999999999687</v>
      </c>
      <c r="H9" s="10">
        <v>1.1284999999984553</v>
      </c>
      <c r="I9">
        <v>106.74999999965307</v>
      </c>
      <c r="J9" s="10">
        <v>1.0909999999948847</v>
      </c>
      <c r="L9" s="10">
        <v>1.0290000000000237</v>
      </c>
      <c r="O9">
        <v>106.99999999972248</v>
      </c>
      <c r="R9" s="10">
        <v>1.0239999999999734</v>
      </c>
      <c r="S9" s="10">
        <v>2.4799999999997042</v>
      </c>
      <c r="U9" s="10">
        <v>1.8244999999969738</v>
      </c>
      <c r="V9" s="10">
        <v>1.0199999999993843</v>
      </c>
      <c r="W9" s="10">
        <v>1.0290000000000237</v>
      </c>
      <c r="X9" s="10">
        <v>3.2554999999793028</v>
      </c>
      <c r="AA9" s="10">
        <v>2.275000000000186</v>
      </c>
      <c r="AC9" s="10">
        <v>2.9100000000002035</v>
      </c>
      <c r="AI9" s="10">
        <v>0.76484414048909311</v>
      </c>
      <c r="AJ9" s="10">
        <v>0.59758205841443834</v>
      </c>
      <c r="AK9" s="10">
        <v>0.59039999999998127</v>
      </c>
      <c r="AL9" s="10">
        <v>0.74527135736652439</v>
      </c>
      <c r="AM9" s="10">
        <v>0.69456005563899426</v>
      </c>
      <c r="AN9" s="10">
        <v>0.92382167613302701</v>
      </c>
      <c r="AO9" s="10">
        <v>0.98206097136879889</v>
      </c>
      <c r="AP9" s="10"/>
      <c r="AQ9" s="10"/>
      <c r="AR9" s="10">
        <v>0.61462645183723874</v>
      </c>
      <c r="AS9" s="10">
        <v>0.61243649008915835</v>
      </c>
      <c r="AT9" s="10">
        <v>0.76060108960231843</v>
      </c>
      <c r="AU9" s="10">
        <v>0.79632484061678865</v>
      </c>
      <c r="AV9" s="10">
        <v>0.70585204590209438</v>
      </c>
      <c r="AX9" s="10">
        <v>0.78816255940644353</v>
      </c>
      <c r="AY9" s="10">
        <v>0.61569367176631529</v>
      </c>
      <c r="AZ9" s="10">
        <v>0.60839999999998062</v>
      </c>
      <c r="BA9" s="10">
        <v>0.76799304509111355</v>
      </c>
      <c r="BB9" s="10">
        <v>0.71573566709140257</v>
      </c>
      <c r="BC9" s="10">
        <v>0.95198697113708264</v>
      </c>
      <c r="BD9" s="10">
        <v>1.0120018546422378</v>
      </c>
      <c r="BE9" s="10"/>
      <c r="BF9" s="10">
        <v>0.63336506317373986</v>
      </c>
      <c r="BG9" s="10">
        <v>0.63110833429919355</v>
      </c>
      <c r="BH9" s="10">
        <v>0.78379014721214513</v>
      </c>
      <c r="BI9" s="10"/>
      <c r="BJ9" s="10">
        <v>0.8206030369770565</v>
      </c>
      <c r="BK9" s="10">
        <v>0.72737192535032902</v>
      </c>
    </row>
    <row r="10" spans="1:63" x14ac:dyDescent="0.25">
      <c r="A10" s="8">
        <v>46084</v>
      </c>
      <c r="B10" s="10">
        <v>1.119999999999977</v>
      </c>
      <c r="C10" s="8"/>
      <c r="D10" s="10">
        <v>1.0584999999999973</v>
      </c>
      <c r="E10" s="10"/>
      <c r="F10">
        <v>124.30000000000105</v>
      </c>
      <c r="H10" s="10">
        <v>1.1219999999980719</v>
      </c>
      <c r="I10">
        <v>106.6999999996502</v>
      </c>
      <c r="J10" s="10">
        <v>1.0839999999930721</v>
      </c>
      <c r="L10" s="10">
        <v>1.0290000000000428</v>
      </c>
      <c r="O10">
        <v>106.79999999978268</v>
      </c>
      <c r="R10" s="10">
        <v>1.0269999999999477</v>
      </c>
      <c r="S10" s="10">
        <v>2.4819999999995495</v>
      </c>
      <c r="U10" s="10">
        <v>1.8199999999923318</v>
      </c>
      <c r="V10" s="10">
        <v>1.0299999999997191</v>
      </c>
      <c r="W10" s="10">
        <v>1.0290000000000428</v>
      </c>
      <c r="X10" s="10">
        <v>3.2324999999997717</v>
      </c>
      <c r="AA10" s="10">
        <v>2.274000000000008</v>
      </c>
      <c r="AC10" s="10">
        <v>2.9100000000006103</v>
      </c>
      <c r="AI10" s="10">
        <v>0.75622771707868364</v>
      </c>
      <c r="AJ10" s="10">
        <v>0.59354456584247484</v>
      </c>
      <c r="AK10" s="10">
        <v>0.5849999999999681</v>
      </c>
      <c r="AL10" s="10">
        <v>0.73671650340282824</v>
      </c>
      <c r="AM10" s="10">
        <v>0.68491086831401216</v>
      </c>
      <c r="AN10" s="10">
        <v>0.90895342150663572</v>
      </c>
      <c r="AO10" s="10">
        <v>0.97757906842958731</v>
      </c>
      <c r="AP10" s="10"/>
      <c r="AQ10" s="10"/>
      <c r="AR10" s="10">
        <v>0.61513936121323542</v>
      </c>
      <c r="AS10" s="10">
        <v>0.60888441633128876</v>
      </c>
      <c r="AT10" s="10">
        <v>0.75468027602055943</v>
      </c>
      <c r="AU10" s="10">
        <v>0.78583093732025189</v>
      </c>
      <c r="AV10" s="10">
        <v>0.69863599769924944</v>
      </c>
      <c r="AX10" s="10">
        <v>0.78376216216206163</v>
      </c>
      <c r="AY10" s="10">
        <v>0.61515567567571372</v>
      </c>
      <c r="AZ10" s="10">
        <v>0.60629999999996709</v>
      </c>
      <c r="BA10" s="10">
        <v>0.76354054019339301</v>
      </c>
      <c r="BB10" s="10">
        <v>0.70984864864749686</v>
      </c>
      <c r="BC10" s="10">
        <v>0.94204864864867233</v>
      </c>
      <c r="BD10" s="10">
        <v>1.0131729729724084</v>
      </c>
      <c r="BE10" s="10"/>
      <c r="BF10" s="10">
        <v>0.63364057904411764</v>
      </c>
      <c r="BG10" s="10">
        <v>0.63105405405412041</v>
      </c>
      <c r="BH10" s="10">
        <v>0.78215837837823121</v>
      </c>
      <c r="BI10" s="10"/>
      <c r="BJ10" s="10">
        <v>0.8144432432431945</v>
      </c>
      <c r="BK10" s="10">
        <v>0.72407351351291449</v>
      </c>
    </row>
    <row r="11" spans="1:63" x14ac:dyDescent="0.25">
      <c r="A11" s="8">
        <v>46085</v>
      </c>
      <c r="B11" s="10">
        <v>1.1234899999999748</v>
      </c>
      <c r="C11" s="8"/>
      <c r="D11" s="10">
        <v>1.0574999999999493</v>
      </c>
      <c r="E11" s="10"/>
      <c r="F11">
        <v>124.59999999999923</v>
      </c>
      <c r="H11" s="10">
        <v>1.1249999999983304</v>
      </c>
      <c r="I11">
        <v>106.74999999964984</v>
      </c>
      <c r="J11" s="10">
        <v>1.0849999999935449</v>
      </c>
      <c r="L11" s="10">
        <v>0.99799999999567179</v>
      </c>
      <c r="O11">
        <v>106.79999999987135</v>
      </c>
      <c r="R11" s="10">
        <v>1.0299999999999416</v>
      </c>
      <c r="S11" s="10">
        <v>2.4979999999997498</v>
      </c>
      <c r="U11" s="10">
        <v>1.8319999999961294</v>
      </c>
      <c r="V11" s="10">
        <v>1.0399999999999416</v>
      </c>
      <c r="W11" s="10">
        <v>0.99799999999567179</v>
      </c>
      <c r="X11" s="10">
        <v>3.2490000000001835</v>
      </c>
      <c r="AA11" s="10">
        <v>2.282000000000258</v>
      </c>
      <c r="AC11" s="10">
        <v>2.9289999999996548</v>
      </c>
      <c r="AI11" s="10">
        <v>0.77217130554597391</v>
      </c>
      <c r="AJ11" s="10">
        <v>0.6033120909403894</v>
      </c>
      <c r="AK11" s="10">
        <v>0.59370000000008138</v>
      </c>
      <c r="AL11" s="10">
        <v>0.75349249052713219</v>
      </c>
      <c r="AM11" s="10">
        <v>0.70659094040593051</v>
      </c>
      <c r="AN11" s="10">
        <v>0.91982938339638121</v>
      </c>
      <c r="AO11" s="10">
        <v>0.98370547709258871</v>
      </c>
      <c r="AP11" s="10"/>
      <c r="AQ11" s="10"/>
      <c r="AR11" s="10">
        <v>0.62069565966245643</v>
      </c>
      <c r="AS11" s="10">
        <v>0.61619638305208912</v>
      </c>
      <c r="AT11" s="10">
        <v>0.77244398897697863</v>
      </c>
      <c r="AU11" s="10">
        <v>0.80550685497756225</v>
      </c>
      <c r="AV11" s="10">
        <v>0.71647571477756433</v>
      </c>
      <c r="AX11" s="10">
        <v>0.79337122516935166</v>
      </c>
      <c r="AY11" s="10">
        <v>0.6198759903547878</v>
      </c>
      <c r="AZ11" s="10">
        <v>0.61000000000008359</v>
      </c>
      <c r="BA11" s="10">
        <v>0.77417958433813483</v>
      </c>
      <c r="BB11" s="10">
        <v>0.72599035480481322</v>
      </c>
      <c r="BC11" s="10">
        <v>0.94508324721541614</v>
      </c>
      <c r="BD11" s="10">
        <v>1.010713055459793</v>
      </c>
      <c r="BE11" s="10"/>
      <c r="BF11" s="10">
        <v>0.63773682397523734</v>
      </c>
      <c r="BG11" s="10">
        <v>0.63311401997940775</v>
      </c>
      <c r="BH11" s="10">
        <v>0.79365139510856819</v>
      </c>
      <c r="BI11" s="10"/>
      <c r="BJ11" s="10">
        <v>0.82762200022959898</v>
      </c>
      <c r="BK11" s="10">
        <v>0.73614651509906393</v>
      </c>
    </row>
    <row r="12" spans="1:63" x14ac:dyDescent="0.25">
      <c r="A12" s="8">
        <v>46086</v>
      </c>
      <c r="B12" s="10">
        <v>1.1188500000000026</v>
      </c>
      <c r="C12" s="8"/>
      <c r="D12" s="10">
        <v>1.0523600000000179</v>
      </c>
      <c r="E12" s="10"/>
      <c r="F12">
        <v>124.60000000000102</v>
      </c>
      <c r="H12" s="10">
        <v>1.1244999999982772</v>
      </c>
      <c r="I12">
        <v>106.49999999960409</v>
      </c>
      <c r="J12" s="10">
        <v>1.0774999999910853</v>
      </c>
      <c r="L12" s="10">
        <v>1.0390000000000099</v>
      </c>
      <c r="O12">
        <v>105.19999999983145</v>
      </c>
      <c r="R12" s="10">
        <v>1.032000000000004</v>
      </c>
      <c r="S12" s="10">
        <v>2.5049999999999666</v>
      </c>
      <c r="U12" s="10">
        <v>1.8344999999963159</v>
      </c>
      <c r="V12" s="11">
        <v>1.0675000000000372</v>
      </c>
      <c r="W12" s="10">
        <v>1.0390000000000099</v>
      </c>
      <c r="X12" s="10">
        <v>3.2459999999998956</v>
      </c>
      <c r="AA12" s="10">
        <v>2.2900000000001266</v>
      </c>
      <c r="AC12" s="10">
        <v>2.928999999999887</v>
      </c>
      <c r="AI12" s="10">
        <v>0.76581521113780626</v>
      </c>
      <c r="AJ12" s="10">
        <v>0.59801357726390636</v>
      </c>
      <c r="AK12" s="10">
        <v>0.58899999999989783</v>
      </c>
      <c r="AL12" s="10">
        <v>0.74717811529159517</v>
      </c>
      <c r="AM12" s="10">
        <v>0.70400782418537711</v>
      </c>
      <c r="AN12" s="10">
        <v>0.91518306293862239</v>
      </c>
      <c r="AO12" s="10">
        <v>0.9826832355308549</v>
      </c>
      <c r="AP12" s="10"/>
      <c r="AQ12" s="10"/>
      <c r="AR12" s="10">
        <v>0.61793832700495099</v>
      </c>
      <c r="AS12" s="10">
        <v>0.61109342998495253</v>
      </c>
      <c r="AT12" s="10">
        <v>0.76513749856160618</v>
      </c>
      <c r="AU12" s="10">
        <v>0.80220837648152055</v>
      </c>
      <c r="AV12" s="10">
        <v>0.70888735473462983</v>
      </c>
      <c r="AX12" s="10">
        <v>0.78843861465868559</v>
      </c>
      <c r="AY12" s="10">
        <v>0.61567985272127834</v>
      </c>
      <c r="AZ12" s="10">
        <v>0.60639999999989502</v>
      </c>
      <c r="BA12" s="10">
        <v>0.76925094925776483</v>
      </c>
      <c r="BB12" s="10">
        <v>0.7248053388557093</v>
      </c>
      <c r="BC12" s="10">
        <v>0.94221903118163131</v>
      </c>
      <c r="BD12" s="10">
        <v>1.0117132665974711</v>
      </c>
      <c r="BE12" s="10"/>
      <c r="BF12" s="10">
        <v>0.63619321136808549</v>
      </c>
      <c r="BG12" s="10">
        <v>0.62914610516617198</v>
      </c>
      <c r="BH12" s="10">
        <v>0.78774088137140597</v>
      </c>
      <c r="BI12" s="10"/>
      <c r="BJ12" s="10">
        <v>0.82590689218742652</v>
      </c>
      <c r="BK12" s="10">
        <v>0.72982901852475324</v>
      </c>
    </row>
    <row r="13" spans="1:63" x14ac:dyDescent="0.25">
      <c r="A13" s="8">
        <v>46087</v>
      </c>
      <c r="B13" s="10">
        <v>1.1189999999999869</v>
      </c>
      <c r="C13" s="8"/>
      <c r="D13" s="10">
        <v>1.0480000000000138</v>
      </c>
      <c r="E13" s="10"/>
      <c r="F13">
        <v>124.64999999999526</v>
      </c>
      <c r="H13" s="10">
        <v>1.123999999998156</v>
      </c>
      <c r="I13">
        <v>105.9999999995149</v>
      </c>
      <c r="J13" s="10">
        <v>1.0749999999900617</v>
      </c>
      <c r="L13" s="10">
        <v>1.045499999999989</v>
      </c>
      <c r="O13">
        <v>104.99999999984149</v>
      </c>
      <c r="R13" s="10">
        <v>1.0349999999999961</v>
      </c>
      <c r="S13" s="10">
        <v>2.5099999999998319</v>
      </c>
      <c r="U13" s="10">
        <v>1.836999999995421</v>
      </c>
      <c r="V13" s="10"/>
      <c r="W13" s="10">
        <v>1.045499999999989</v>
      </c>
      <c r="X13" s="10">
        <v>3.2410000000000663</v>
      </c>
      <c r="AA13" s="10">
        <v>2.2900000000000902</v>
      </c>
      <c r="AC13" s="10">
        <v>2.9289999999997236</v>
      </c>
      <c r="AI13" s="10">
        <v>0.75648220436267322</v>
      </c>
      <c r="AJ13" s="10">
        <v>0.59404115958671777</v>
      </c>
      <c r="AK13" s="10">
        <v>0.58830000000008409</v>
      </c>
      <c r="AL13" s="10">
        <v>0.73547631458118867</v>
      </c>
      <c r="AM13" s="10">
        <v>0.69096544202004229</v>
      </c>
      <c r="AN13" s="10">
        <v>0.91014265212407408</v>
      </c>
      <c r="AO13" s="10">
        <v>0.98281897818596198</v>
      </c>
      <c r="AP13" s="10"/>
      <c r="AQ13" s="10"/>
      <c r="AR13" s="10">
        <v>0.61585986214814747</v>
      </c>
      <c r="AS13" s="10">
        <v>0.60890063145812323</v>
      </c>
      <c r="AT13" s="10">
        <v>0.75425328358229249</v>
      </c>
      <c r="AU13" s="10">
        <v>0.78788972445460415</v>
      </c>
      <c r="AV13" s="10">
        <v>0.70312319173305882</v>
      </c>
      <c r="AX13" s="10">
        <v>0.77911366245681402</v>
      </c>
      <c r="AY13" s="10">
        <v>0.61181291618832623</v>
      </c>
      <c r="AZ13" s="10">
        <v>0.60590000000008659</v>
      </c>
      <c r="BA13" s="10">
        <v>0.75747934558004804</v>
      </c>
      <c r="BB13" s="10">
        <v>0.71163685418994338</v>
      </c>
      <c r="BC13" s="10">
        <v>0.93737112514359422</v>
      </c>
      <c r="BD13" s="10">
        <v>1.0122216877152377</v>
      </c>
      <c r="BE13" s="10"/>
      <c r="BF13" s="10">
        <v>0.63482067777135143</v>
      </c>
      <c r="BG13" s="10">
        <v>0.62711693455800921</v>
      </c>
      <c r="BH13" s="10">
        <v>0.77681805970170159</v>
      </c>
      <c r="BI13" s="10"/>
      <c r="BJ13" s="10">
        <v>0.81146079219283462</v>
      </c>
      <c r="BK13" s="10">
        <v>0.72415832376518841</v>
      </c>
    </row>
    <row r="14" spans="1:63" x14ac:dyDescent="0.25">
      <c r="A14" s="8">
        <v>46090</v>
      </c>
      <c r="B14" s="10">
        <v>1.1174999999999917</v>
      </c>
      <c r="C14" s="8"/>
      <c r="D14" s="10">
        <v>1.044999999999999</v>
      </c>
      <c r="E14" s="10"/>
      <c r="F14">
        <v>124.99999999999638</v>
      </c>
      <c r="H14" s="10">
        <v>1.1249999999982796</v>
      </c>
      <c r="I14">
        <v>105.74999999945535</v>
      </c>
      <c r="J14" s="10">
        <v>1.0744999999898392</v>
      </c>
      <c r="L14" s="10">
        <v>1.0395000000000292</v>
      </c>
      <c r="O14">
        <v>104.54999999980792</v>
      </c>
      <c r="R14" s="10">
        <v>1.0358999999999625</v>
      </c>
      <c r="S14" s="10">
        <v>2.5119999999999494</v>
      </c>
      <c r="U14" s="10">
        <v>1.8389999999954856</v>
      </c>
      <c r="V14" s="11">
        <v>1.0675000000000372</v>
      </c>
      <c r="W14" s="10">
        <v>1.0395000000000292</v>
      </c>
      <c r="X14" s="10">
        <v>3.2499999999997504</v>
      </c>
      <c r="AA14" s="10">
        <v>2.2970000000001205</v>
      </c>
      <c r="AC14" s="10">
        <v>2.9319999999999555</v>
      </c>
      <c r="AI14" s="10">
        <v>0.75247830101569724</v>
      </c>
      <c r="AJ14" s="10">
        <v>0.59186357340720563</v>
      </c>
      <c r="AK14" s="10">
        <v>0.58839999999996229</v>
      </c>
      <c r="AL14" s="10">
        <v>0.7327834715079341</v>
      </c>
      <c r="AM14" s="10">
        <v>0.68089778393213374</v>
      </c>
      <c r="AN14" s="10">
        <v>0.91003693444143408</v>
      </c>
      <c r="AO14" s="10">
        <v>0.98127788550302253</v>
      </c>
      <c r="AP14" s="10"/>
      <c r="AQ14" s="10"/>
      <c r="AR14" s="10">
        <v>0.61171954314722254</v>
      </c>
      <c r="AS14" s="10">
        <v>0.60931726685139997</v>
      </c>
      <c r="AT14" s="10">
        <v>0.75281786703608367</v>
      </c>
      <c r="AU14" s="10">
        <v>0.79220752539238748</v>
      </c>
      <c r="AV14" s="10">
        <v>0.70079635272345486</v>
      </c>
      <c r="AX14" s="10">
        <v>0.77473037857802385</v>
      </c>
      <c r="AY14" s="10">
        <v>0.60936599722992035</v>
      </c>
      <c r="AZ14" s="10">
        <v>0.60579999999996115</v>
      </c>
      <c r="BA14" s="10">
        <v>0.75445313908821621</v>
      </c>
      <c r="BB14" s="10">
        <v>0.70103310249164963</v>
      </c>
      <c r="BC14" s="10">
        <v>0.93694829178215611</v>
      </c>
      <c r="BD14" s="10">
        <v>1.0102959602952601</v>
      </c>
      <c r="BE14" s="10"/>
      <c r="BF14" s="10">
        <v>0.63022185048455581</v>
      </c>
      <c r="BG14" s="10">
        <v>0.6273358264081883</v>
      </c>
      <c r="BH14" s="10">
        <v>0.77507998614965901</v>
      </c>
      <c r="BI14" s="10"/>
      <c r="BJ14" s="10">
        <v>0.81563446445055787</v>
      </c>
      <c r="BK14" s="10">
        <v>0.7215201061860449</v>
      </c>
    </row>
    <row r="15" spans="1:63" x14ac:dyDescent="0.25">
      <c r="A15" s="8">
        <v>46091</v>
      </c>
      <c r="B15" s="10">
        <v>1.1199800000000204</v>
      </c>
      <c r="C15" s="8"/>
      <c r="D15" s="10">
        <v>1.0494000000000043</v>
      </c>
      <c r="E15" s="10"/>
      <c r="F15">
        <v>125.50000000000064</v>
      </c>
      <c r="H15" s="10">
        <v>1.1294999999985909</v>
      </c>
      <c r="I15">
        <v>106.64999999963499</v>
      </c>
      <c r="J15" s="10">
        <v>1.0749999999900226</v>
      </c>
      <c r="L15" s="10">
        <v>1.0099999999979161</v>
      </c>
      <c r="O15">
        <v>106.04999999990095</v>
      </c>
      <c r="R15" s="10">
        <v>1.0378999999999534</v>
      </c>
      <c r="S15" s="10">
        <v>2.5139999999999203</v>
      </c>
      <c r="U15" s="10">
        <v>1.8409999999954139</v>
      </c>
      <c r="V15" s="10">
        <v>1.0679999999999417</v>
      </c>
      <c r="W15" s="10">
        <v>1.0099999999979161</v>
      </c>
      <c r="X15" s="10">
        <v>3.2500000000001599</v>
      </c>
      <c r="AA15" s="10">
        <v>2.2985000000001521</v>
      </c>
      <c r="AC15" s="10">
        <v>2.9390000000002732</v>
      </c>
      <c r="AI15" s="10">
        <v>0.76047722043253563</v>
      </c>
      <c r="AJ15" s="10">
        <v>0.5974788771283569</v>
      </c>
      <c r="AK15" s="10">
        <v>0.59229999999998084</v>
      </c>
      <c r="AL15" s="10">
        <v>0.73976171191892259</v>
      </c>
      <c r="AM15" s="10">
        <v>0.68892694431585821</v>
      </c>
      <c r="AN15" s="10">
        <v>0.91671952117875433</v>
      </c>
      <c r="AO15" s="10">
        <v>0.97914849286669736</v>
      </c>
      <c r="AP15" s="10"/>
      <c r="AQ15" s="10"/>
      <c r="AR15" s="10">
        <v>0.61744237541722025</v>
      </c>
      <c r="AS15" s="10">
        <v>0.61259192081944536</v>
      </c>
      <c r="AT15" s="10">
        <v>0.76115865163348018</v>
      </c>
      <c r="AU15" s="10">
        <v>0.79366291992635174</v>
      </c>
      <c r="AV15" s="10">
        <v>0.70718930050564255</v>
      </c>
      <c r="AX15" s="10">
        <v>0.78474367234233611</v>
      </c>
      <c r="AY15" s="10">
        <v>0.61654413253562668</v>
      </c>
      <c r="AZ15" s="10">
        <v>0.6111999999999802</v>
      </c>
      <c r="BA15" s="10">
        <v>0.76336714219963786</v>
      </c>
      <c r="BB15" s="10">
        <v>0.71091026230939136</v>
      </c>
      <c r="BC15" s="10">
        <v>0.94530423572756106</v>
      </c>
      <c r="BD15" s="10">
        <v>1.0103926369071847</v>
      </c>
      <c r="BE15" s="10"/>
      <c r="BF15" s="10">
        <v>0.6360613419266008</v>
      </c>
      <c r="BG15" s="10">
        <v>0.63106462193579993</v>
      </c>
      <c r="BH15" s="10">
        <v>0.7854468476758113</v>
      </c>
      <c r="BI15" s="10"/>
      <c r="BJ15" s="10">
        <v>0.81898831109064008</v>
      </c>
      <c r="BK15" s="10">
        <v>0.72975536125113738</v>
      </c>
    </row>
    <row r="16" spans="1:63" x14ac:dyDescent="0.25">
      <c r="A16" s="8">
        <v>46092</v>
      </c>
      <c r="B16" s="10">
        <v>1.1230000000000144</v>
      </c>
      <c r="C16" s="8"/>
      <c r="D16" s="10">
        <v>1.0500000000000074</v>
      </c>
      <c r="E16" s="10"/>
      <c r="F16">
        <v>126.00000000000557</v>
      </c>
      <c r="H16" s="10">
        <v>1.1354999999988609</v>
      </c>
      <c r="I16">
        <v>106.79999999966773</v>
      </c>
      <c r="J16" s="10">
        <v>1.0829999999929263</v>
      </c>
      <c r="L16" s="10">
        <v>1.0199999999994018</v>
      </c>
      <c r="O16">
        <v>106.7999999999403</v>
      </c>
      <c r="R16" s="10">
        <v>1.0384999999999893</v>
      </c>
      <c r="S16" s="10">
        <v>2.5174999999999406</v>
      </c>
      <c r="U16" s="10">
        <v>1.8409999999948243</v>
      </c>
      <c r="V16" s="10">
        <v>1.0675000000000372</v>
      </c>
      <c r="W16" s="10">
        <v>1.0199999999994018</v>
      </c>
      <c r="X16" s="10">
        <v>3.2540000000000036</v>
      </c>
      <c r="AA16" s="10">
        <v>2.3009999999999926</v>
      </c>
      <c r="AC16" s="10">
        <v>2.9414999999998472</v>
      </c>
      <c r="AI16" s="10">
        <v>0.76341787032761443</v>
      </c>
      <c r="AJ16" s="10">
        <v>0.60173915551448076</v>
      </c>
      <c r="AK16" s="10">
        <v>0.59609999999999974</v>
      </c>
      <c r="AL16" s="10">
        <v>0.74643163359489262</v>
      </c>
      <c r="AM16" s="10">
        <v>0.69148425242161693</v>
      </c>
      <c r="AN16" s="10">
        <v>0.92152053530239186</v>
      </c>
      <c r="AO16" s="10">
        <v>0.9808692085831785</v>
      </c>
      <c r="AP16" s="10"/>
      <c r="AQ16" s="10"/>
      <c r="AR16" s="10">
        <v>0.62443331795103607</v>
      </c>
      <c r="AS16" s="10">
        <v>0.61398024919240268</v>
      </c>
      <c r="AT16" s="10">
        <v>0.76197369635419321</v>
      </c>
      <c r="AU16" s="10">
        <v>0.79518969773889225</v>
      </c>
      <c r="AV16" s="10">
        <v>0.70626984310063479</v>
      </c>
      <c r="AX16" s="10">
        <v>0.78518955929854117</v>
      </c>
      <c r="AY16" s="10">
        <v>0.61889997692656951</v>
      </c>
      <c r="AZ16" s="10">
        <v>0.61309999999999976</v>
      </c>
      <c r="BA16" s="10">
        <v>0.76771889709281782</v>
      </c>
      <c r="BB16" s="10">
        <v>0.71120448776999379</v>
      </c>
      <c r="BC16" s="10">
        <v>0.94780110752205404</v>
      </c>
      <c r="BD16" s="10">
        <v>1.008842328103249</v>
      </c>
      <c r="BE16" s="10"/>
      <c r="BF16" s="10">
        <v>0.64224134748495243</v>
      </c>
      <c r="BG16" s="10">
        <v>0.63149017074293246</v>
      </c>
      <c r="BH16" s="10">
        <v>0.78370419935372548</v>
      </c>
      <c r="BI16" s="10"/>
      <c r="BJ16" s="10">
        <v>0.81786747808038041</v>
      </c>
      <c r="BK16" s="10">
        <v>0.72641174434658462</v>
      </c>
    </row>
    <row r="17" spans="1:63" x14ac:dyDescent="0.25">
      <c r="A17" s="8">
        <v>46093</v>
      </c>
      <c r="B17" s="10">
        <v>1.1184999999999874</v>
      </c>
      <c r="C17" s="8"/>
      <c r="D17" s="10">
        <v>1.0455000000000034</v>
      </c>
      <c r="E17" s="10"/>
      <c r="F17">
        <v>124.49999999999011</v>
      </c>
      <c r="H17" s="10">
        <v>1.1284999999984682</v>
      </c>
      <c r="I17">
        <v>106.44999999960689</v>
      </c>
      <c r="J17" s="10">
        <v>1.0824999999927818</v>
      </c>
      <c r="L17" s="10">
        <v>1.0099999999971798</v>
      </c>
      <c r="O17">
        <v>106.19999999991859</v>
      </c>
      <c r="R17" s="10">
        <v>1.0409899999999972</v>
      </c>
      <c r="S17" s="10">
        <v>2.5239999999999365</v>
      </c>
      <c r="U17" s="10">
        <v>1.84449999999526</v>
      </c>
      <c r="V17" s="10">
        <v>1.0159999999945137</v>
      </c>
      <c r="W17" s="10">
        <v>1.0099999999971798</v>
      </c>
      <c r="X17" s="10">
        <v>3.2504999999999491</v>
      </c>
      <c r="AA17" s="10">
        <v>2.315000000000099</v>
      </c>
      <c r="AC17" s="10">
        <v>2.9419999999998363</v>
      </c>
      <c r="AI17" s="10">
        <v>0.7570820483045283</v>
      </c>
      <c r="AJ17" s="10">
        <v>0.5990574361948614</v>
      </c>
      <c r="AK17" s="10">
        <v>0.59089999999999454</v>
      </c>
      <c r="AL17" s="10">
        <v>0.73615491175109837</v>
      </c>
      <c r="AM17" s="10">
        <v>0.68071515327291365</v>
      </c>
      <c r="AN17" s="10">
        <v>0.91770639804926257</v>
      </c>
      <c r="AO17" s="10">
        <v>0.98446739433347186</v>
      </c>
      <c r="AP17" s="10"/>
      <c r="AQ17" s="10"/>
      <c r="AR17" s="10">
        <v>0.61614979098928113</v>
      </c>
      <c r="AS17" s="10">
        <v>0.61175852299114164</v>
      </c>
      <c r="AT17" s="10">
        <v>0.7533769159313819</v>
      </c>
      <c r="AU17" s="10">
        <v>0.78596835810509846</v>
      </c>
      <c r="AV17" s="10">
        <v>0.69663349976738886</v>
      </c>
      <c r="AX17" s="10">
        <v>0.77950366929848547</v>
      </c>
      <c r="AY17" s="10">
        <v>0.61791421113685574</v>
      </c>
      <c r="AZ17" s="10">
        <v>0.6083999999999945</v>
      </c>
      <c r="BA17" s="10">
        <v>0.75795675801213125</v>
      </c>
      <c r="BB17" s="10">
        <v>0.70087510450370738</v>
      </c>
      <c r="BC17" s="10">
        <v>0.94488504412450736</v>
      </c>
      <c r="BD17" s="10">
        <v>1.01362322340918</v>
      </c>
      <c r="BE17" s="10"/>
      <c r="BF17" s="10">
        <v>0.63439758476540642</v>
      </c>
      <c r="BG17" s="10">
        <v>0.62987626567576682</v>
      </c>
      <c r="BH17" s="10">
        <v>0.7756888063168943</v>
      </c>
      <c r="BI17" s="10"/>
      <c r="BJ17" s="10">
        <v>0.80924547143533909</v>
      </c>
      <c r="BK17" s="10">
        <v>0.7172648862049068</v>
      </c>
    </row>
    <row r="18" spans="1:63" x14ac:dyDescent="0.25">
      <c r="A18" s="8">
        <v>46094</v>
      </c>
      <c r="B18" s="10">
        <v>1.1269900000000022</v>
      </c>
      <c r="C18" s="8"/>
      <c r="D18" s="10">
        <v>1.0590000000000477</v>
      </c>
      <c r="E18" s="10"/>
      <c r="F18">
        <v>125.90000000000032</v>
      </c>
      <c r="H18" s="10">
        <v>1.1354999999988571</v>
      </c>
      <c r="I18">
        <v>106.54999999961852</v>
      </c>
      <c r="J18" s="10">
        <v>1.0874999999940276</v>
      </c>
      <c r="L18" s="10">
        <v>1.0369999999998949</v>
      </c>
      <c r="O18">
        <v>107.94999999996216</v>
      </c>
      <c r="R18" s="10">
        <v>1.0540000000000018</v>
      </c>
      <c r="S18" s="10">
        <v>2.5544999999999027</v>
      </c>
      <c r="U18" s="10">
        <v>1.8709999999988403</v>
      </c>
      <c r="V18" s="10">
        <v>1.0379999999994793</v>
      </c>
      <c r="W18" s="10">
        <v>1.0369999999998949</v>
      </c>
      <c r="X18" s="10">
        <v>3.2999999999691103</v>
      </c>
      <c r="AA18" s="10">
        <v>2.3420000000002403</v>
      </c>
      <c r="AC18" s="10">
        <v>2.9735000000000658</v>
      </c>
      <c r="AI18" s="10">
        <v>0.74840075057748989</v>
      </c>
      <c r="AJ18" s="10">
        <v>0.60637245958430996</v>
      </c>
      <c r="AK18" s="10">
        <v>0.58849999999994107</v>
      </c>
      <c r="AL18" s="10">
        <v>0.7216260389946112</v>
      </c>
      <c r="AM18" s="10">
        <v>0.67276558891187888</v>
      </c>
      <c r="AN18" s="10">
        <v>0.91333025404179091</v>
      </c>
      <c r="AO18" s="10">
        <v>0.98672286374128693</v>
      </c>
      <c r="AP18" s="10"/>
      <c r="AQ18" s="10"/>
      <c r="AR18" s="10">
        <v>0.61144716479968286</v>
      </c>
      <c r="AS18" s="10">
        <v>0.60440173210155601</v>
      </c>
      <c r="AT18" s="10">
        <v>0.74310017320997712</v>
      </c>
      <c r="AU18" s="10">
        <v>0.77653458429542421</v>
      </c>
      <c r="AV18" s="10">
        <v>0.68696841801226838</v>
      </c>
      <c r="AX18" s="10">
        <v>0.77319907621259787</v>
      </c>
      <c r="AY18" s="10">
        <v>0.62646466512703558</v>
      </c>
      <c r="AZ18" s="10">
        <v>0.60799999999993903</v>
      </c>
      <c r="BA18" s="10">
        <v>0.74553718217285225</v>
      </c>
      <c r="BB18" s="10">
        <v>0.69505773671779492</v>
      </c>
      <c r="BC18" s="10">
        <v>0.94359353348752573</v>
      </c>
      <c r="BD18" s="10">
        <v>1.0194180138567586</v>
      </c>
      <c r="BE18" s="10"/>
      <c r="BF18" s="10">
        <v>0.63200175539906089</v>
      </c>
      <c r="BG18" s="10">
        <v>0.62442863741333243</v>
      </c>
      <c r="BH18" s="10">
        <v>0.76772286374114884</v>
      </c>
      <c r="BI18" s="10"/>
      <c r="BJ18" s="10">
        <v>0.80226512702059127</v>
      </c>
      <c r="BK18" s="10">
        <v>0.7097311778274582</v>
      </c>
    </row>
    <row r="19" spans="1:63" x14ac:dyDescent="0.25">
      <c r="A19" s="8">
        <v>46097</v>
      </c>
      <c r="B19" s="10">
        <v>1.1309999999999658</v>
      </c>
      <c r="C19" s="8"/>
      <c r="D19" s="10">
        <v>1.0609000000000328</v>
      </c>
      <c r="E19" s="10"/>
      <c r="F19">
        <v>127.15000000000043</v>
      </c>
      <c r="H19" s="10">
        <v>1.1419999999992334</v>
      </c>
      <c r="I19">
        <v>107.09999999969627</v>
      </c>
      <c r="J19" s="10">
        <v>1.0869999999939537</v>
      </c>
      <c r="L19" s="10">
        <v>1.0484999999999984</v>
      </c>
      <c r="O19">
        <v>107.74999999996066</v>
      </c>
      <c r="R19" s="10">
        <v>1.0660000000000289</v>
      </c>
      <c r="S19" s="10">
        <v>2.586999999999898</v>
      </c>
      <c r="U19" s="10">
        <v>1.8974999999999467</v>
      </c>
      <c r="V19" s="10">
        <v>1.0479999999998857</v>
      </c>
      <c r="W19" s="10">
        <v>1.0484999999999984</v>
      </c>
      <c r="X19" s="10">
        <v>3.3429999999920428</v>
      </c>
      <c r="AA19" s="10">
        <v>2.3779999999999863</v>
      </c>
      <c r="AC19" s="10">
        <v>3.0149999999996697</v>
      </c>
      <c r="AI19" s="10">
        <v>0.75056603773598785</v>
      </c>
      <c r="AJ19" s="10">
        <v>0.59990943396226615</v>
      </c>
      <c r="AK19" s="10">
        <v>0.5903999999999805</v>
      </c>
      <c r="AL19" s="10">
        <v>0.72604528271360014</v>
      </c>
      <c r="AM19" s="10">
        <v>0.67245283018599133</v>
      </c>
      <c r="AN19" s="10">
        <v>0.91487547169810823</v>
      </c>
      <c r="AO19" s="10">
        <v>0.9808981132073421</v>
      </c>
      <c r="AP19" s="10"/>
      <c r="AQ19" s="10"/>
      <c r="AR19" s="10">
        <v>0.61476220562895567</v>
      </c>
      <c r="AS19" s="10">
        <v>0.60731320754712836</v>
      </c>
      <c r="AT19" s="10">
        <v>0.74139622641509562</v>
      </c>
      <c r="AU19" s="10">
        <v>0.77807547169795133</v>
      </c>
      <c r="AV19" s="10">
        <v>0.68671698113102597</v>
      </c>
      <c r="AX19" s="10">
        <v>0.77548320294538031</v>
      </c>
      <c r="AY19" s="10">
        <v>0.61982512655315436</v>
      </c>
      <c r="AZ19" s="10">
        <v>0.60999999999997978</v>
      </c>
      <c r="BA19" s="10">
        <v>0.75014841201777782</v>
      </c>
      <c r="BB19" s="10">
        <v>0.69477680625585148</v>
      </c>
      <c r="BC19" s="10">
        <v>0.94524735388862813</v>
      </c>
      <c r="BD19" s="10">
        <v>1.0134618039574503</v>
      </c>
      <c r="BE19" s="10"/>
      <c r="BF19" s="10">
        <v>0.63535829982769232</v>
      </c>
      <c r="BG19" s="10">
        <v>0.62747468936949224</v>
      </c>
      <c r="BH19" s="10">
        <v>0.76600897376898436</v>
      </c>
      <c r="BI19" s="10"/>
      <c r="BJ19" s="10">
        <v>0.80390589047383176</v>
      </c>
      <c r="BK19" s="10">
        <v>0.70951449608727268</v>
      </c>
    </row>
    <row r="20" spans="1:63" x14ac:dyDescent="0.25">
      <c r="A20" s="8">
        <v>46098</v>
      </c>
      <c r="B20" s="10">
        <v>1.1339999999999888</v>
      </c>
      <c r="C20" s="8"/>
      <c r="D20" s="10">
        <v>1.0616999999999854</v>
      </c>
      <c r="E20" s="10"/>
      <c r="F20">
        <v>127.39999999999571</v>
      </c>
      <c r="H20" s="10">
        <v>1.1439999999992656</v>
      </c>
      <c r="I20">
        <v>107.74999999977079</v>
      </c>
      <c r="J20" s="10">
        <v>1.0949999999957478</v>
      </c>
      <c r="L20" s="10">
        <v>1.0449999999999871</v>
      </c>
      <c r="O20">
        <v>107.24999999994462</v>
      </c>
      <c r="R20" s="10">
        <v>1.0664999999999933</v>
      </c>
      <c r="S20" s="10">
        <v>2.5874999999999746</v>
      </c>
      <c r="U20" s="10">
        <v>1.9059999999999206</v>
      </c>
      <c r="V20" s="10">
        <v>1.0484999999998044</v>
      </c>
      <c r="W20" s="10">
        <v>1.0449999999999871</v>
      </c>
      <c r="X20" s="10">
        <v>3.3899999999988313</v>
      </c>
      <c r="AA20" s="10">
        <v>2.387500000000081</v>
      </c>
      <c r="AC20" s="10">
        <v>3.0315000000004635</v>
      </c>
      <c r="AI20" s="10">
        <v>0.75276936316698506</v>
      </c>
      <c r="AJ20" s="10">
        <v>0.60415209910528911</v>
      </c>
      <c r="AK20" s="10">
        <v>0.59370000000000933</v>
      </c>
      <c r="AL20" s="10">
        <v>0.73185531841642171</v>
      </c>
      <c r="AM20" s="10">
        <v>0.67844616178797812</v>
      </c>
      <c r="AN20" s="10">
        <v>0.91742488812403511</v>
      </c>
      <c r="AO20" s="10">
        <v>0.98098450946628502</v>
      </c>
      <c r="AP20" s="10"/>
      <c r="AQ20" s="10"/>
      <c r="AR20" s="10">
        <v>0.61559876118377621</v>
      </c>
      <c r="AS20" s="10">
        <v>0.61066285714279767</v>
      </c>
      <c r="AT20" s="10">
        <v>0.74936316695371985</v>
      </c>
      <c r="AU20" s="10">
        <v>0.78138141135980776</v>
      </c>
      <c r="AV20" s="10">
        <v>0.69429456297204994</v>
      </c>
      <c r="AX20" s="10">
        <v>0.77964945496274085</v>
      </c>
      <c r="AY20" s="10">
        <v>0.62469733883917267</v>
      </c>
      <c r="AZ20" s="10">
        <v>0.61490000000000966</v>
      </c>
      <c r="BA20" s="10">
        <v>0.75798860585187444</v>
      </c>
      <c r="BB20" s="10">
        <v>0.70267230062898389</v>
      </c>
      <c r="BC20" s="10">
        <v>0.95018454388995988</v>
      </c>
      <c r="BD20" s="10">
        <v>1.0160137693630096</v>
      </c>
      <c r="BE20" s="10"/>
      <c r="BF20" s="10">
        <v>0.63653326451022774</v>
      </c>
      <c r="BG20" s="10">
        <v>0.63246857142850998</v>
      </c>
      <c r="BH20" s="10">
        <v>0.77612162937483986</v>
      </c>
      <c r="BI20" s="10"/>
      <c r="BJ20" s="10">
        <v>0.80928318990255321</v>
      </c>
      <c r="BK20" s="10">
        <v>0.71790525349736201</v>
      </c>
    </row>
    <row r="21" spans="1:63" x14ac:dyDescent="0.25">
      <c r="A21" s="8">
        <v>46099</v>
      </c>
      <c r="B21" s="10">
        <v>1.1380000000000072</v>
      </c>
      <c r="C21" s="8"/>
      <c r="D21" s="10">
        <v>1.0629999999999746</v>
      </c>
      <c r="E21" s="10"/>
      <c r="F21">
        <v>127.60000000000218</v>
      </c>
      <c r="H21" s="10">
        <v>1.1464999999993757</v>
      </c>
      <c r="I21">
        <v>107.5499999997611</v>
      </c>
      <c r="J21" s="10">
        <v>1.0979999999962837</v>
      </c>
      <c r="L21" s="10">
        <v>1.0499999999999998</v>
      </c>
      <c r="O21">
        <v>106.94999999994322</v>
      </c>
      <c r="R21" s="10">
        <v>1.0692999999999977</v>
      </c>
      <c r="S21" s="10">
        <v>2.5874999999998392</v>
      </c>
      <c r="U21" s="10">
        <v>1.9064999999999299</v>
      </c>
      <c r="V21" s="10">
        <v>1.0699999999999621</v>
      </c>
      <c r="W21" s="10">
        <v>1.0499999999999998</v>
      </c>
      <c r="X21" s="10">
        <v>3.4044999999992416</v>
      </c>
      <c r="AA21" s="10">
        <v>2.381500000000047</v>
      </c>
      <c r="AC21" s="10">
        <v>3.0290000000002202</v>
      </c>
      <c r="AI21" s="10">
        <v>0.74712989619366976</v>
      </c>
      <c r="AJ21" s="10">
        <v>0.60194169550171128</v>
      </c>
      <c r="AK21" s="10">
        <v>0.59070000000005407</v>
      </c>
      <c r="AL21" s="10">
        <v>0.72893878892733421</v>
      </c>
      <c r="AM21" s="10">
        <v>0.67164020760955567</v>
      </c>
      <c r="AN21" s="10">
        <v>0.91146304498248765</v>
      </c>
      <c r="AO21" s="10">
        <v>0.98913294117641859</v>
      </c>
      <c r="AP21" s="10"/>
      <c r="AQ21" s="10"/>
      <c r="AR21" s="10">
        <v>0.61520266973532645</v>
      </c>
      <c r="AS21" s="10">
        <v>0.60534826989611135</v>
      </c>
      <c r="AT21" s="10">
        <v>0.74024861591704028</v>
      </c>
      <c r="AU21" s="10">
        <v>0.77274733564007803</v>
      </c>
      <c r="AV21" s="10">
        <v>0.68594782006772204</v>
      </c>
      <c r="AX21" s="10">
        <v>0.77204687427901819</v>
      </c>
      <c r="AY21" s="10">
        <v>0.62201660899652023</v>
      </c>
      <c r="AZ21" s="10">
        <v>0.61040000000005579</v>
      </c>
      <c r="BA21" s="10">
        <v>0.75324908881199393</v>
      </c>
      <c r="BB21" s="10">
        <v>0.69403958477208849</v>
      </c>
      <c r="BC21" s="10">
        <v>0.94186057670105017</v>
      </c>
      <c r="BD21" s="10">
        <v>1.0221207843136715</v>
      </c>
      <c r="BE21" s="10"/>
      <c r="BF21" s="10">
        <v>0.63613997698503855</v>
      </c>
      <c r="BG21" s="10">
        <v>0.62553679354086034</v>
      </c>
      <c r="BH21" s="10">
        <v>0.76493610149951119</v>
      </c>
      <c r="BI21" s="10"/>
      <c r="BJ21" s="10">
        <v>0.79851866205299404</v>
      </c>
      <c r="BK21" s="10">
        <v>0.70882435986005998</v>
      </c>
    </row>
    <row r="22" spans="1:63" x14ac:dyDescent="0.25">
      <c r="A22" s="8">
        <v>46100</v>
      </c>
      <c r="B22" s="10">
        <v>1.1400000000000057</v>
      </c>
      <c r="C22" s="8"/>
      <c r="D22" s="10">
        <v>1.0674999999999857</v>
      </c>
      <c r="E22" s="10"/>
      <c r="F22">
        <v>128.10000000000068</v>
      </c>
      <c r="H22" s="10">
        <v>1.1554999999995572</v>
      </c>
      <c r="I22">
        <v>108.79999999986161</v>
      </c>
      <c r="J22" s="10">
        <v>1.0999999999966026</v>
      </c>
      <c r="L22" s="10">
        <v>1.0489999999999784</v>
      </c>
      <c r="O22">
        <v>106.64999999994774</v>
      </c>
      <c r="R22" s="10">
        <v>1.0664999999999885</v>
      </c>
      <c r="S22" s="10">
        <v>2.5850000000000448</v>
      </c>
      <c r="U22" s="10">
        <v>1.9069999999998197</v>
      </c>
      <c r="V22" s="10">
        <v>1.0689999999999893</v>
      </c>
      <c r="W22" s="10">
        <v>1.0489999999999784</v>
      </c>
      <c r="X22" s="10">
        <v>3.3599999999937546</v>
      </c>
      <c r="AA22" s="10">
        <v>2.3840000000002957</v>
      </c>
      <c r="AC22" s="10">
        <v>3.0329999999998689</v>
      </c>
      <c r="AI22" s="10">
        <v>0.74869692041513314</v>
      </c>
      <c r="AJ22" s="10">
        <v>0.59710435986163768</v>
      </c>
      <c r="AK22" s="10">
        <v>0.59069999999996492</v>
      </c>
      <c r="AL22" s="10">
        <v>0.71953664333236</v>
      </c>
      <c r="AM22" s="10">
        <v>0.67225339100049664</v>
      </c>
      <c r="AN22" s="10">
        <v>0.90730702422135534</v>
      </c>
      <c r="AO22" s="10">
        <v>0.98449999999996352</v>
      </c>
      <c r="AP22" s="10"/>
      <c r="AQ22" s="10"/>
      <c r="AR22" s="10">
        <v>0.61055690072637714</v>
      </c>
      <c r="AS22" s="10">
        <v>0.60500761245673385</v>
      </c>
      <c r="AT22" s="10">
        <v>0.73650138408308297</v>
      </c>
      <c r="AU22" s="10">
        <v>0.76852318339107217</v>
      </c>
      <c r="AV22" s="10">
        <v>0.6833588235277821</v>
      </c>
      <c r="AX22" s="10">
        <v>0.77328591695492255</v>
      </c>
      <c r="AY22" s="10">
        <v>0.61671469434837489</v>
      </c>
      <c r="AZ22" s="10">
        <v>0.61009999999996378</v>
      </c>
      <c r="BA22" s="10">
        <v>0.74316794666848296</v>
      </c>
      <c r="BB22" s="10">
        <v>0.69433179930489752</v>
      </c>
      <c r="BC22" s="10">
        <v>0.93710515570924147</v>
      </c>
      <c r="BD22" s="10">
        <v>1.0168333333332957</v>
      </c>
      <c r="BE22" s="10"/>
      <c r="BF22" s="10">
        <v>0.6316319612590644</v>
      </c>
      <c r="BG22" s="10">
        <v>0.62487750865050495</v>
      </c>
      <c r="BH22" s="10">
        <v>0.76068985005770939</v>
      </c>
      <c r="BI22" s="10"/>
      <c r="BJ22" s="10">
        <v>0.79376332179937892</v>
      </c>
      <c r="BK22" s="10">
        <v>0.70580196078263058</v>
      </c>
    </row>
    <row r="23" spans="1:63" x14ac:dyDescent="0.25">
      <c r="A23" s="8">
        <v>46101</v>
      </c>
      <c r="B23" s="10">
        <v>1.1486499999999762</v>
      </c>
      <c r="C23" s="8"/>
      <c r="D23" s="10">
        <v>1.0739999999999919</v>
      </c>
      <c r="E23" s="10"/>
      <c r="F23">
        <v>128.15000000000097</v>
      </c>
      <c r="H23" s="10">
        <v>1.1624999999996561</v>
      </c>
      <c r="I23">
        <v>109.19999999988559</v>
      </c>
      <c r="J23" s="10">
        <v>1.1049999999972795</v>
      </c>
      <c r="L23" s="10">
        <v>1.0399999999998564</v>
      </c>
      <c r="O23">
        <v>107.49999999997884</v>
      </c>
      <c r="R23" s="10">
        <v>1.0725000000000322</v>
      </c>
      <c r="S23" s="10">
        <v>2.595999999999985</v>
      </c>
      <c r="U23" s="10">
        <v>1.9064999999999899</v>
      </c>
      <c r="V23" s="10">
        <v>1.059999999999909</v>
      </c>
      <c r="W23" s="10">
        <v>1.0399999999998564</v>
      </c>
      <c r="X23" s="10">
        <v>3.3689999999934948</v>
      </c>
      <c r="AA23" s="10">
        <v>2.3899999999999619</v>
      </c>
      <c r="AC23" s="10">
        <v>3.0429999999999935</v>
      </c>
      <c r="AI23" s="10">
        <v>0.73335199440157584</v>
      </c>
      <c r="AJ23" s="10">
        <v>0.59317377450982733</v>
      </c>
      <c r="AK23" s="10">
        <v>0.58220000000000249</v>
      </c>
      <c r="AL23" s="10">
        <v>0.70754886847447229</v>
      </c>
      <c r="AM23" s="10">
        <v>0.65662164683155</v>
      </c>
      <c r="AN23" s="10">
        <v>0.8969981338930666</v>
      </c>
      <c r="AO23" s="10">
        <v>0.98343860508512715</v>
      </c>
      <c r="AP23" s="10"/>
      <c r="AQ23" s="10"/>
      <c r="AR23" s="10">
        <v>0.60899264705882128</v>
      </c>
      <c r="AS23" s="10">
        <v>0.60094121763468511</v>
      </c>
      <c r="AT23" s="10">
        <v>0.72343816156581431</v>
      </c>
      <c r="AU23" s="10">
        <v>0.75575997200852041</v>
      </c>
      <c r="AV23" s="10">
        <v>0.66748612082581094</v>
      </c>
      <c r="AX23" s="10">
        <v>0.75942617214824826</v>
      </c>
      <c r="AY23" s="10">
        <v>0.61428207282915581</v>
      </c>
      <c r="AZ23" s="10">
        <v>0.60290000000000266</v>
      </c>
      <c r="BA23" s="10">
        <v>0.73270562144153084</v>
      </c>
      <c r="BB23" s="10">
        <v>0.67996769301741933</v>
      </c>
      <c r="BC23" s="10">
        <v>0.92889071611839558</v>
      </c>
      <c r="BD23" s="10">
        <v>1.0184045602985627</v>
      </c>
      <c r="BE23" s="10"/>
      <c r="BF23" s="10">
        <v>0.63066386554621612</v>
      </c>
      <c r="BG23" s="10">
        <v>0.622307557732655</v>
      </c>
      <c r="BH23" s="10">
        <v>0.74915985504642635</v>
      </c>
      <c r="BI23" s="10"/>
      <c r="BJ23" s="10">
        <v>0.7826308607419048</v>
      </c>
      <c r="BK23" s="10">
        <v>0.69121845112655689</v>
      </c>
    </row>
    <row r="24" spans="1:63" x14ac:dyDescent="0.25">
      <c r="A24" s="8">
        <v>46104</v>
      </c>
      <c r="B24" s="10">
        <v>1.1598000000000139</v>
      </c>
      <c r="C24" s="8"/>
      <c r="D24" s="10">
        <v>1.0859999999999976</v>
      </c>
      <c r="E24" s="10"/>
      <c r="F24">
        <v>128.49999999999977</v>
      </c>
      <c r="H24" s="10">
        <v>1.1669999999997267</v>
      </c>
      <c r="I24">
        <v>109.79999999990882</v>
      </c>
      <c r="J24" s="10">
        <v>1.1194999999985551</v>
      </c>
      <c r="L24" s="10">
        <v>1.0500000000000116</v>
      </c>
      <c r="O24">
        <v>108.14999999998879</v>
      </c>
      <c r="R24" s="10">
        <v>1.0794999999999879</v>
      </c>
      <c r="S24" s="10">
        <v>2.6299999999998374</v>
      </c>
      <c r="U24" s="10">
        <v>1.9350000000000611</v>
      </c>
      <c r="V24" s="10">
        <v>1.0695000000000225</v>
      </c>
      <c r="W24" s="10">
        <v>1.0500000000000116</v>
      </c>
      <c r="X24" s="10">
        <v>3.4214999999995257</v>
      </c>
      <c r="AA24" s="10">
        <v>2.4000000000000545</v>
      </c>
      <c r="AC24" s="10">
        <v>3.0550000000004873</v>
      </c>
      <c r="AI24" s="10">
        <v>0.75115012746229215</v>
      </c>
      <c r="AJ24" s="10">
        <v>0.60223406720736283</v>
      </c>
      <c r="AK24" s="10">
        <v>0.59059999999997759</v>
      </c>
      <c r="AL24" s="10">
        <v>0.72062780967007922</v>
      </c>
      <c r="AM24" s="10">
        <v>0.66889042873256177</v>
      </c>
      <c r="AN24" s="10">
        <v>0.90608852838945908</v>
      </c>
      <c r="AO24" s="10">
        <v>0.99703955967557223</v>
      </c>
      <c r="AP24" s="10"/>
      <c r="AQ24" s="10"/>
      <c r="AR24" s="10">
        <v>0.6134966666666869</v>
      </c>
      <c r="AS24" s="10">
        <v>0.6073667439165128</v>
      </c>
      <c r="AT24" s="10">
        <v>0.73725768250295953</v>
      </c>
      <c r="AU24" s="10">
        <v>0.773939212051167</v>
      </c>
      <c r="AV24" s="10">
        <v>0.6827828736944902</v>
      </c>
      <c r="AX24" s="10">
        <v>0.7753151332560333</v>
      </c>
      <c r="AY24" s="10">
        <v>0.62160834298951628</v>
      </c>
      <c r="AZ24" s="10">
        <v>0.60959999999997683</v>
      </c>
      <c r="BA24" s="10">
        <v>0.74381089193173078</v>
      </c>
      <c r="BB24" s="10">
        <v>0.69040908458410011</v>
      </c>
      <c r="BC24" s="10">
        <v>0.93523800695261461</v>
      </c>
      <c r="BD24" s="10">
        <v>1.0291149942062796</v>
      </c>
      <c r="BE24" s="10"/>
      <c r="BF24" s="10">
        <v>0.63355168981483556</v>
      </c>
      <c r="BG24" s="10">
        <v>0.62690614136726408</v>
      </c>
      <c r="BH24" s="10">
        <v>0.76097575898036596</v>
      </c>
      <c r="BI24" s="10"/>
      <c r="BJ24" s="10">
        <v>0.79883735805349021</v>
      </c>
      <c r="BK24" s="10">
        <v>0.70474845886244697</v>
      </c>
    </row>
    <row r="25" spans="1:63" x14ac:dyDescent="0.25">
      <c r="A25" s="8">
        <v>46106</v>
      </c>
      <c r="B25" s="10">
        <v>1.1454899999999986</v>
      </c>
      <c r="C25" s="8"/>
      <c r="D25" s="10">
        <v>1.0759900000000158</v>
      </c>
      <c r="E25" s="10"/>
      <c r="F25">
        <v>128.65000000000057</v>
      </c>
      <c r="H25" s="10">
        <v>1.1669999999997076</v>
      </c>
      <c r="I25">
        <v>110.09999999992448</v>
      </c>
      <c r="J25" s="10">
        <v>1.1089999999977271</v>
      </c>
      <c r="L25" s="10">
        <v>1.065000000000027</v>
      </c>
      <c r="O25">
        <v>106.19999999997103</v>
      </c>
      <c r="R25" s="10">
        <v>1.0744999999999723</v>
      </c>
      <c r="S25" s="10">
        <v>2.6055000000000166</v>
      </c>
      <c r="U25" s="10">
        <v>1.9160000000000459</v>
      </c>
      <c r="V25" s="10">
        <v>1.0674999999999715</v>
      </c>
      <c r="W25" s="10">
        <v>1.065000000000027</v>
      </c>
      <c r="X25" s="10">
        <v>3.4099999999984676</v>
      </c>
      <c r="AA25" s="10">
        <v>2.3999999999998276</v>
      </c>
      <c r="AC25" s="10">
        <v>3.045999999999903</v>
      </c>
      <c r="AI25" s="10">
        <v>0.75375541579315242</v>
      </c>
      <c r="AJ25" s="10">
        <v>0.59986023759613527</v>
      </c>
      <c r="AK25" s="10">
        <v>0.59200000000002795</v>
      </c>
      <c r="AL25" s="10">
        <v>0.72845096669014575</v>
      </c>
      <c r="AM25" s="10">
        <v>0.67363615187155701</v>
      </c>
      <c r="AN25" s="10">
        <v>0.90337572792937637</v>
      </c>
      <c r="AO25" s="10">
        <v>0.98873515024463066</v>
      </c>
      <c r="AP25" s="10"/>
      <c r="AQ25" s="10"/>
      <c r="AR25" s="10">
        <v>0.61744234800839726</v>
      </c>
      <c r="AS25" s="10">
        <v>0.60723782902408496</v>
      </c>
      <c r="AT25" s="10">
        <v>0.74465408805023925</v>
      </c>
      <c r="AU25" s="10">
        <v>0.77864616818065502</v>
      </c>
      <c r="AV25" s="10">
        <v>0.68611600279327856</v>
      </c>
      <c r="AX25" s="10">
        <v>0.77832886093640896</v>
      </c>
      <c r="AY25" s="10">
        <v>0.61941649196371207</v>
      </c>
      <c r="AZ25" s="10">
        <v>0.61130000000002893</v>
      </c>
      <c r="BA25" s="10">
        <v>0.75219945259744292</v>
      </c>
      <c r="BB25" s="10">
        <v>0.69559760074169408</v>
      </c>
      <c r="BC25" s="10">
        <v>0.93282699743788489</v>
      </c>
      <c r="BD25" s="10">
        <v>1.0209692522711871</v>
      </c>
      <c r="BE25" s="10"/>
      <c r="BF25" s="10">
        <v>0.63757180293502247</v>
      </c>
      <c r="BG25" s="10">
        <v>0.62703460284193102</v>
      </c>
      <c r="BH25" s="10">
        <v>0.76893081760998538</v>
      </c>
      <c r="BI25" s="10"/>
      <c r="BJ25" s="10">
        <v>0.80403108548789604</v>
      </c>
      <c r="BK25" s="10">
        <v>0.7084843116681272</v>
      </c>
    </row>
    <row r="26" spans="1:63" x14ac:dyDescent="0.25">
      <c r="A26" s="8">
        <v>46107</v>
      </c>
      <c r="B26" s="10">
        <v>1.1570000000000069</v>
      </c>
      <c r="C26" s="8"/>
      <c r="D26" s="10">
        <v>1.0848999999999733</v>
      </c>
      <c r="E26" s="10"/>
      <c r="F26">
        <v>130.10000000000147</v>
      </c>
      <c r="H26" s="10">
        <v>1.1799999999998176</v>
      </c>
      <c r="I26">
        <v>110.99999999994621</v>
      </c>
      <c r="J26" s="10">
        <v>1.1399999999995172</v>
      </c>
      <c r="L26" s="10">
        <v>1.1574999999987605</v>
      </c>
      <c r="O26">
        <v>106.64999999998584</v>
      </c>
      <c r="R26" s="10">
        <v>1.0950000000000129</v>
      </c>
      <c r="S26" s="10">
        <v>2.6469999999999492</v>
      </c>
      <c r="U26" s="10">
        <v>1.9369999999999872</v>
      </c>
      <c r="V26" s="10">
        <v>1.0800000000000392</v>
      </c>
      <c r="W26" s="10">
        <v>1.1574999999987605</v>
      </c>
      <c r="X26" s="10">
        <v>3.4399999999993507</v>
      </c>
      <c r="AA26" s="10">
        <v>2.4350000000000067</v>
      </c>
      <c r="AC26" s="10">
        <v>3.0735000000000383</v>
      </c>
      <c r="AI26" s="10">
        <v>0.74968177881799281</v>
      </c>
      <c r="AJ26" s="10">
        <v>0.59897184318314212</v>
      </c>
      <c r="AK26" s="10">
        <v>0.59020000000000528</v>
      </c>
      <c r="AL26" s="10">
        <v>0.72543833820927628</v>
      </c>
      <c r="AM26" s="10">
        <v>0.66990635458918801</v>
      </c>
      <c r="AN26" s="10">
        <v>0.89928660035092722</v>
      </c>
      <c r="AO26" s="10">
        <v>0.98769572849614984</v>
      </c>
      <c r="AP26" s="10"/>
      <c r="AQ26" s="10"/>
      <c r="AR26" s="10">
        <v>0.61796621748306546</v>
      </c>
      <c r="AS26" s="10">
        <v>0.60477369221766775</v>
      </c>
      <c r="AT26" s="10">
        <v>0.73904505558821509</v>
      </c>
      <c r="AU26" s="10">
        <v>0.77302731421882076</v>
      </c>
      <c r="AV26" s="10">
        <v>0.6826842363932849</v>
      </c>
      <c r="AX26" s="10">
        <v>0.77457802223519479</v>
      </c>
      <c r="AY26" s="10">
        <v>0.61886314803978304</v>
      </c>
      <c r="AZ26" s="10">
        <v>0.60980000000000545</v>
      </c>
      <c r="BA26" s="10">
        <v>0.74952947922740876</v>
      </c>
      <c r="BB26" s="10">
        <v>0.69215332942813756</v>
      </c>
      <c r="BC26" s="10">
        <v>0.92915108250422807</v>
      </c>
      <c r="BD26" s="10">
        <v>1.0204961966061541</v>
      </c>
      <c r="BE26" s="10"/>
      <c r="BF26" s="10">
        <v>0.63891067494732789</v>
      </c>
      <c r="BG26" s="10">
        <v>0.62485767115271729</v>
      </c>
      <c r="BH26" s="10">
        <v>0.76358806319500772</v>
      </c>
      <c r="BI26" s="10"/>
      <c r="BJ26" s="10">
        <v>0.79869884142771408</v>
      </c>
      <c r="BK26" s="10">
        <v>0.70535555295260099</v>
      </c>
    </row>
    <row r="27" spans="1:63" x14ac:dyDescent="0.25">
      <c r="A27" s="8">
        <v>46108</v>
      </c>
      <c r="B27" s="10">
        <v>1.1599999999999973</v>
      </c>
      <c r="C27" s="8"/>
      <c r="D27" s="10">
        <v>1.0909699999999889</v>
      </c>
      <c r="E27" s="10"/>
      <c r="F27">
        <v>130.60000000000019</v>
      </c>
      <c r="H27" s="10">
        <v>1.1819999999998494</v>
      </c>
      <c r="I27">
        <v>111.44999999995258</v>
      </c>
      <c r="J27" s="10">
        <v>1.1299999999990507</v>
      </c>
      <c r="L27" s="10">
        <v>1.1310000000000431</v>
      </c>
      <c r="O27">
        <v>107.59999999999323</v>
      </c>
      <c r="R27" s="10">
        <v>1.1019999999999992</v>
      </c>
      <c r="S27" s="10">
        <v>2.6724999999999532</v>
      </c>
      <c r="U27" s="10">
        <v>1.9625000000000963</v>
      </c>
      <c r="V27" s="10">
        <v>1.1049999999944762</v>
      </c>
      <c r="W27" s="10">
        <v>1.1310000000000431</v>
      </c>
      <c r="X27" s="10">
        <v>3.4849999999995838</v>
      </c>
      <c r="AA27" s="10">
        <v>2.4619999999723334</v>
      </c>
      <c r="AC27" s="10">
        <v>3.0840000000000458</v>
      </c>
      <c r="AI27" s="10">
        <v>0.74210390435471807</v>
      </c>
      <c r="AJ27" s="10">
        <v>0.5949013515074566</v>
      </c>
      <c r="AK27" s="10">
        <v>0.58590000000004561</v>
      </c>
      <c r="AL27" s="10">
        <v>0.71401698021585713</v>
      </c>
      <c r="AM27" s="10">
        <v>0.66447570751387541</v>
      </c>
      <c r="AN27" s="10">
        <v>0.8828769204110517</v>
      </c>
      <c r="AO27" s="10">
        <v>0.98811828578020855</v>
      </c>
      <c r="AP27" s="10"/>
      <c r="AQ27" s="10"/>
      <c r="AR27" s="10">
        <v>0.63198962689153537</v>
      </c>
      <c r="AS27" s="10">
        <v>0.6016692849717159</v>
      </c>
      <c r="AT27" s="10">
        <v>0.72687605406024558</v>
      </c>
      <c r="AU27" s="10">
        <v>0.76330648523439082</v>
      </c>
      <c r="AV27" s="10">
        <v>0.67395081436605753</v>
      </c>
      <c r="AX27" s="10">
        <v>0.76692936352070606</v>
      </c>
      <c r="AY27" s="10">
        <v>0.61480247198799243</v>
      </c>
      <c r="AZ27" s="10">
        <v>0.60550000000004689</v>
      </c>
      <c r="BA27" s="10">
        <v>0.73790285291124991</v>
      </c>
      <c r="BB27" s="10">
        <v>0.68670428554301322</v>
      </c>
      <c r="BC27" s="10">
        <v>0.91241163220496946</v>
      </c>
      <c r="BD27" s="10">
        <v>1.0211736167262604</v>
      </c>
      <c r="BE27" s="10"/>
      <c r="BF27" s="10">
        <v>0.65313145431442987</v>
      </c>
      <c r="BG27" s="10">
        <v>0.62179681182859503</v>
      </c>
      <c r="BH27" s="10">
        <v>0.75119209887946492</v>
      </c>
      <c r="BI27" s="10"/>
      <c r="BJ27" s="10">
        <v>0.7899198031266853</v>
      </c>
      <c r="BK27" s="10">
        <v>0.69649636132214998</v>
      </c>
    </row>
    <row r="28" spans="1:63" x14ac:dyDescent="0.25">
      <c r="A28" s="8">
        <v>46111</v>
      </c>
      <c r="B28" s="10">
        <v>1.1571900000000255</v>
      </c>
      <c r="C28" s="8"/>
      <c r="D28" s="10">
        <v>1.0865100000000272</v>
      </c>
      <c r="E28" s="10"/>
      <c r="F28">
        <v>129.79999999999887</v>
      </c>
      <c r="H28" s="10">
        <v>1.172999999999808</v>
      </c>
      <c r="I28">
        <v>110.34999999992765</v>
      </c>
      <c r="J28" s="10">
        <v>1.1289999999990359</v>
      </c>
      <c r="L28" s="10">
        <v>1.0800000000000565</v>
      </c>
      <c r="O28">
        <v>107.44999999998809</v>
      </c>
      <c r="R28" s="10">
        <v>1.0964999999986789</v>
      </c>
      <c r="S28" s="10">
        <v>2.6579999999999631</v>
      </c>
      <c r="U28" s="10">
        <v>1.9639999999999496</v>
      </c>
      <c r="V28" s="10">
        <v>1.1099999999976307</v>
      </c>
      <c r="W28" s="10">
        <v>1.0800000000000565</v>
      </c>
      <c r="X28" s="10">
        <v>3.4835000000001934</v>
      </c>
      <c r="AA28" s="10">
        <v>2.456499999961451</v>
      </c>
      <c r="AC28" s="10">
        <v>3.0740000000003112</v>
      </c>
      <c r="AI28" s="10">
        <v>0.73773678147654143</v>
      </c>
      <c r="AJ28" s="10">
        <v>0.5957115078907631</v>
      </c>
      <c r="AK28" s="10">
        <v>0.58460000000002155</v>
      </c>
      <c r="AL28" s="10">
        <v>0.71308943644180911</v>
      </c>
      <c r="AM28" s="10">
        <v>0.66332334983806573</v>
      </c>
      <c r="AN28" s="10">
        <v>0.88791049418271484</v>
      </c>
      <c r="AO28" s="10">
        <v>0.98387351687582425</v>
      </c>
      <c r="AP28" s="10"/>
      <c r="AQ28" s="10"/>
      <c r="AR28" s="10">
        <v>0.6187431668780663</v>
      </c>
      <c r="AS28" s="10">
        <v>0.60069485082358431</v>
      </c>
      <c r="AT28" s="10">
        <v>0.7249417117843443</v>
      </c>
      <c r="AU28" s="10">
        <v>0.75955574242612112</v>
      </c>
      <c r="AV28" s="10">
        <v>0.67214521368082469</v>
      </c>
      <c r="AX28" s="10">
        <v>0.76474254118163543</v>
      </c>
      <c r="AY28" s="10">
        <v>0.61751825826514273</v>
      </c>
      <c r="AZ28" s="10">
        <v>0.6060000000000223</v>
      </c>
      <c r="BA28" s="10">
        <v>0.73919294985243977</v>
      </c>
      <c r="BB28" s="10">
        <v>0.68760511461147433</v>
      </c>
      <c r="BC28" s="10">
        <v>0.92041354682642007</v>
      </c>
      <c r="BD28" s="10">
        <v>1.0198894136619048</v>
      </c>
      <c r="BE28" s="10"/>
      <c r="BF28" s="10">
        <v>0.64121208626452575</v>
      </c>
      <c r="BG28" s="10">
        <v>0.62268402257798838</v>
      </c>
      <c r="BH28" s="10">
        <v>0.75147909227046295</v>
      </c>
      <c r="BI28" s="10"/>
      <c r="BJ28" s="10">
        <v>0.787360211957286</v>
      </c>
      <c r="BK28" s="10">
        <v>0.6967499136000338</v>
      </c>
    </row>
    <row r="29" spans="1:63" x14ac:dyDescent="0.25">
      <c r="A29" s="8">
        <v>46112</v>
      </c>
      <c r="B29" s="10">
        <v>1.1600000000000099</v>
      </c>
      <c r="C29" s="8"/>
      <c r="D29" s="10">
        <v>1.0915000000000348</v>
      </c>
      <c r="E29" s="10"/>
      <c r="F29">
        <v>130.300000000002</v>
      </c>
      <c r="H29" s="10">
        <v>1.1744999999998007</v>
      </c>
      <c r="I29">
        <v>110.29999999993643</v>
      </c>
      <c r="J29" s="10">
        <v>1.1339999999992059</v>
      </c>
      <c r="L29" s="10">
        <v>1.0690000000000301</v>
      </c>
      <c r="O29">
        <v>108.29999999999424</v>
      </c>
      <c r="R29" s="10">
        <v>1.1023500000000188</v>
      </c>
      <c r="S29" s="10">
        <v>2.6724999999999648</v>
      </c>
      <c r="U29" s="10">
        <v>1.98550000000008</v>
      </c>
      <c r="V29" s="10">
        <v>1.0950000000000111</v>
      </c>
      <c r="W29" s="10">
        <v>1.0690000000000301</v>
      </c>
      <c r="X29" s="10">
        <v>3.5300000000003466</v>
      </c>
      <c r="Y29" s="10">
        <v>0.93999999999804729</v>
      </c>
      <c r="AA29" s="10">
        <v>2.4799999999805795</v>
      </c>
      <c r="AC29" s="10">
        <v>3.1170000000002904</v>
      </c>
      <c r="AD29" s="10">
        <v>0.83750000000008029</v>
      </c>
      <c r="AI29" s="10">
        <v>0.74640598044823381</v>
      </c>
      <c r="AJ29" s="10">
        <v>0.6010603795284718</v>
      </c>
      <c r="AK29" s="10">
        <v>0.59000000000001829</v>
      </c>
      <c r="AL29" s="10">
        <v>0.72292811960874648</v>
      </c>
      <c r="AM29" s="10">
        <v>0.66769407705032391</v>
      </c>
      <c r="AN29" s="10">
        <v>0.8922944220817548</v>
      </c>
      <c r="AO29" s="10">
        <v>0.98315238642886427</v>
      </c>
      <c r="AP29" s="10">
        <v>0.91265094882111175</v>
      </c>
      <c r="AQ29" s="10"/>
      <c r="AR29" s="10">
        <v>0.62232550597974912</v>
      </c>
      <c r="AS29" s="10">
        <v>0.60764232317434785</v>
      </c>
      <c r="AT29" s="10">
        <v>0.7322921219092835</v>
      </c>
      <c r="AU29" s="10">
        <v>0.76411615871192706</v>
      </c>
      <c r="AV29" s="10">
        <v>0.67990799309634431</v>
      </c>
      <c r="AX29" s="10">
        <v>0.77309948246087401</v>
      </c>
      <c r="AY29" s="10">
        <v>0.62255592869465948</v>
      </c>
      <c r="AZ29" s="10">
        <v>0.61110000000001874</v>
      </c>
      <c r="BA29" s="10">
        <v>0.74878198964899156</v>
      </c>
      <c r="BB29" s="10">
        <v>0.69157262794144569</v>
      </c>
      <c r="BC29" s="10">
        <v>0.92420529039688193</v>
      </c>
      <c r="BD29" s="10">
        <v>1.0183125819435235</v>
      </c>
      <c r="BE29" s="10">
        <v>0.94528982173657861</v>
      </c>
      <c r="BF29" s="10">
        <v>0.6446908233670533</v>
      </c>
      <c r="BG29" s="10">
        <v>0.62937326049465081</v>
      </c>
      <c r="BH29" s="10">
        <v>0.75848087406570031</v>
      </c>
      <c r="BI29" s="10"/>
      <c r="BJ29" s="10">
        <v>0.791443024726879</v>
      </c>
      <c r="BK29" s="10">
        <v>0.704223346747756</v>
      </c>
    </row>
    <row r="30" spans="1:63" x14ac:dyDescent="0.25">
      <c r="A30" s="8">
        <v>46113</v>
      </c>
      <c r="B30" s="10">
        <v>1.1688499999999729</v>
      </c>
      <c r="C30" s="8"/>
      <c r="D30" s="10">
        <v>1.0966900000000166</v>
      </c>
      <c r="E30" s="10"/>
      <c r="F30">
        <v>131.04999999999836</v>
      </c>
      <c r="H30" s="10">
        <v>1.178499999999858</v>
      </c>
      <c r="I30">
        <v>110.7999999999457</v>
      </c>
      <c r="J30" s="10">
        <v>1.1294999999990731</v>
      </c>
      <c r="L30" s="10">
        <v>1.0999999999998211</v>
      </c>
      <c r="O30">
        <v>109.10000000000069</v>
      </c>
      <c r="R30" s="10">
        <v>1.1049999999999873</v>
      </c>
      <c r="S30" s="10">
        <v>2.6894999999999567</v>
      </c>
      <c r="U30" s="10">
        <v>1.9959999999910565</v>
      </c>
      <c r="V30" s="10">
        <v>1.0980000000000232</v>
      </c>
      <c r="W30" s="10">
        <v>1.0999999999998211</v>
      </c>
      <c r="X30" s="10">
        <v>3.5690000000000417</v>
      </c>
      <c r="Y30" s="10">
        <v>0.9459999999990627</v>
      </c>
      <c r="AA30" s="10">
        <v>2.4899999999860101</v>
      </c>
      <c r="AC30" s="10">
        <v>3.1334999999998199</v>
      </c>
      <c r="AD30" s="10">
        <v>0.84849999999998216</v>
      </c>
      <c r="AI30" s="10">
        <v>0.75137478705255711</v>
      </c>
      <c r="AJ30" s="10">
        <v>0.5996328790459915</v>
      </c>
      <c r="AK30" s="10">
        <v>0.59250000000000425</v>
      </c>
      <c r="AL30" s="10">
        <v>0.72513117546850669</v>
      </c>
      <c r="AM30" s="10">
        <v>0.67096166950060121</v>
      </c>
      <c r="AN30" s="10">
        <v>0.89430153321975137</v>
      </c>
      <c r="AO30" s="10">
        <v>0.9837989778534606</v>
      </c>
      <c r="AP30" s="10">
        <v>0.91247018739349917</v>
      </c>
      <c r="AQ30" s="10"/>
      <c r="AR30" s="10">
        <v>0.61798966496302488</v>
      </c>
      <c r="AS30" s="10">
        <v>0.60730408858592788</v>
      </c>
      <c r="AT30" s="10">
        <v>0.73737819420785433</v>
      </c>
      <c r="AU30" s="10">
        <v>0.77115843270859896</v>
      </c>
      <c r="AV30" s="10">
        <v>0.68300681430718468</v>
      </c>
      <c r="AX30" s="10">
        <v>0.778639863713536</v>
      </c>
      <c r="AY30" s="10">
        <v>0.62139170925609921</v>
      </c>
      <c r="AZ30" s="10">
        <v>0.61400000000000443</v>
      </c>
      <c r="BA30" s="10">
        <v>0.75144395229985339</v>
      </c>
      <c r="BB30" s="10">
        <v>0.6953088018115936</v>
      </c>
      <c r="BC30" s="10">
        <v>0.92675298126063699</v>
      </c>
      <c r="BD30" s="10">
        <v>1.019498012492869</v>
      </c>
      <c r="BE30" s="10">
        <v>0.94558091993182869</v>
      </c>
      <c r="BF30" s="10">
        <v>0.64074287336733837</v>
      </c>
      <c r="BG30" s="10">
        <v>0.62934128336161987</v>
      </c>
      <c r="BH30" s="10">
        <v>0.76413537762636707</v>
      </c>
      <c r="BI30" s="10"/>
      <c r="BJ30" s="10">
        <v>0.79914139693346797</v>
      </c>
      <c r="BK30" s="10">
        <v>0.70779102782212899</v>
      </c>
    </row>
    <row r="31" spans="1:63" x14ac:dyDescent="0.25">
      <c r="A31" s="8">
        <v>46118</v>
      </c>
      <c r="B31" s="10">
        <v>1.1689800000000024</v>
      </c>
      <c r="C31" s="8"/>
      <c r="D31" s="10">
        <v>1.0989999999999649</v>
      </c>
      <c r="E31" s="10"/>
      <c r="F31">
        <v>130.90000000000182</v>
      </c>
      <c r="H31" s="10">
        <v>1.177499999999831</v>
      </c>
      <c r="I31">
        <v>110.89999999994644</v>
      </c>
      <c r="J31" s="10">
        <v>1.1374999999993509</v>
      </c>
      <c r="L31" s="10">
        <v>1.1150000000000633</v>
      </c>
      <c r="O31">
        <v>109.74999999999665</v>
      </c>
      <c r="R31" s="10">
        <v>1.1079999999999852</v>
      </c>
      <c r="S31" s="10">
        <v>2.6995000000000262</v>
      </c>
      <c r="U31" s="10">
        <v>1.9989999999992549</v>
      </c>
      <c r="V31" s="10">
        <v>1.1055000000000108</v>
      </c>
      <c r="W31" s="10">
        <v>1.1150000000000633</v>
      </c>
      <c r="X31" s="10">
        <v>3.6124999999959635</v>
      </c>
      <c r="Y31" s="10">
        <v>0.94799999999911411</v>
      </c>
      <c r="AA31" s="10">
        <v>2.4999999999905</v>
      </c>
      <c r="AC31" s="10">
        <v>3.1615000000001516</v>
      </c>
      <c r="AD31" s="10">
        <v>0.85400000000000176</v>
      </c>
      <c r="AI31" s="10">
        <v>0.75251392893620728</v>
      </c>
      <c r="AJ31" s="10">
        <v>0.60081046656833326</v>
      </c>
      <c r="AK31" s="10">
        <v>0.59419999999999928</v>
      </c>
      <c r="AL31" s="10">
        <v>0.72222719945491232</v>
      </c>
      <c r="AM31" s="10">
        <v>0.67210907026363897</v>
      </c>
      <c r="AN31" s="10">
        <v>0.89511113633773032</v>
      </c>
      <c r="AO31" s="10">
        <v>0.97841650584593898</v>
      </c>
      <c r="AP31" s="10">
        <v>0.91737087070034984</v>
      </c>
      <c r="AQ31" s="10"/>
      <c r="AR31" s="10">
        <v>0.61541884222477061</v>
      </c>
      <c r="AS31" s="10">
        <v>0.60836528550346758</v>
      </c>
      <c r="AT31" s="10">
        <v>0.73632503121833115</v>
      </c>
      <c r="AU31" s="10">
        <v>0.76998444772395724</v>
      </c>
      <c r="AV31" s="10">
        <v>0.68310402996615993</v>
      </c>
      <c r="AX31" s="10">
        <v>0.78037543421489541</v>
      </c>
      <c r="AY31" s="10">
        <v>0.62305521625615434</v>
      </c>
      <c r="AZ31" s="10">
        <v>0.61619999999999919</v>
      </c>
      <c r="BA31" s="10">
        <v>0.74896735157205807</v>
      </c>
      <c r="BB31" s="10">
        <v>0.69699362015559463</v>
      </c>
      <c r="BC31" s="10">
        <v>0.92825224202509149</v>
      </c>
      <c r="BD31" s="10">
        <v>1.0146419570889724</v>
      </c>
      <c r="BE31" s="10">
        <v>0.95133613349975676</v>
      </c>
      <c r="BF31" s="10">
        <v>0.63860703745746183</v>
      </c>
      <c r="BG31" s="10">
        <v>0.63088974912022333</v>
      </c>
      <c r="BH31" s="10">
        <v>0.7635871495064549</v>
      </c>
      <c r="BI31" s="10"/>
      <c r="BJ31" s="10">
        <v>0.79849279146331609</v>
      </c>
      <c r="BK31" s="10">
        <v>0.7083956635226315</v>
      </c>
    </row>
    <row r="32" spans="1:63" x14ac:dyDescent="0.25">
      <c r="A32" s="8">
        <v>46119</v>
      </c>
      <c r="B32" s="10">
        <v>1.1637799999999938</v>
      </c>
      <c r="C32" s="8"/>
      <c r="D32" s="10">
        <v>1.094800000000018</v>
      </c>
      <c r="E32" s="10"/>
      <c r="F32">
        <v>130.79999999999762</v>
      </c>
      <c r="H32" s="10">
        <v>1.1774999999997859</v>
      </c>
      <c r="I32">
        <v>110.79999999994259</v>
      </c>
      <c r="J32" s="10">
        <v>1.1409999999994735</v>
      </c>
      <c r="L32" s="10">
        <v>1.09000000000007</v>
      </c>
      <c r="O32">
        <v>110.25000000000263</v>
      </c>
      <c r="R32" s="10">
        <v>1.1080000000000125</v>
      </c>
      <c r="S32" s="10">
        <v>2.6934999999999856</v>
      </c>
      <c r="U32" s="10">
        <v>2.0049999999884243</v>
      </c>
      <c r="V32" s="10">
        <v>1.126000000000011</v>
      </c>
      <c r="W32" s="10">
        <v>1.09000000000007</v>
      </c>
      <c r="X32" s="10">
        <v>3.5800000000000889</v>
      </c>
      <c r="Y32" s="10">
        <v>0.94649999999883083</v>
      </c>
      <c r="AA32" s="10">
        <v>2.5009999999896415</v>
      </c>
      <c r="AC32" s="10">
        <v>3.1595000000000515</v>
      </c>
      <c r="AD32" s="10">
        <v>0.85449999999997095</v>
      </c>
      <c r="AI32" s="10">
        <v>0.75249362086485549</v>
      </c>
      <c r="AJ32" s="10">
        <v>0.6028958450942018</v>
      </c>
      <c r="AK32" s="10">
        <v>0.59550000000002412</v>
      </c>
      <c r="AL32" s="10">
        <v>0.71961572767298154</v>
      </c>
      <c r="AM32" s="10">
        <v>0.67187890933185923</v>
      </c>
      <c r="AN32" s="10">
        <v>0.90686507846908637</v>
      </c>
      <c r="AO32" s="10">
        <v>0.98485762673583555</v>
      </c>
      <c r="AP32" s="10">
        <v>0.91708479169016843</v>
      </c>
      <c r="AQ32" s="10"/>
      <c r="AR32" s="10">
        <v>0.6155707515233757</v>
      </c>
      <c r="AS32" s="10">
        <v>0.6086780512589377</v>
      </c>
      <c r="AT32" s="10">
        <v>0.74193773286665876</v>
      </c>
      <c r="AU32" s="10">
        <v>0.77320198712892552</v>
      </c>
      <c r="AV32" s="10">
        <v>0.68774635880969215</v>
      </c>
      <c r="AX32" s="10">
        <v>0.78256809303376162</v>
      </c>
      <c r="AY32" s="10">
        <v>0.6269914305068669</v>
      </c>
      <c r="AZ32" s="10">
        <v>0.61930000000002516</v>
      </c>
      <c r="BA32" s="10">
        <v>0.74837618832557085</v>
      </c>
      <c r="BB32" s="10">
        <v>0.69873150050246924</v>
      </c>
      <c r="BC32" s="10">
        <v>0.94310922434241018</v>
      </c>
      <c r="BD32" s="10">
        <v>1.024218855142742</v>
      </c>
      <c r="BE32" s="10">
        <v>0.95373738286099297</v>
      </c>
      <c r="BF32" s="10">
        <v>0.63922271496278049</v>
      </c>
      <c r="BG32" s="10">
        <v>0.63300473072151153</v>
      </c>
      <c r="BH32" s="10">
        <v>0.77159032403748395</v>
      </c>
      <c r="BI32" s="10"/>
      <c r="BJ32" s="10">
        <v>0.80410409845330577</v>
      </c>
      <c r="BK32" s="10">
        <v>0.71523311504759424</v>
      </c>
    </row>
    <row r="33" spans="1:63" x14ac:dyDescent="0.25">
      <c r="A33" s="8">
        <v>46120</v>
      </c>
      <c r="B33" s="10">
        <v>1.1680000000000204</v>
      </c>
      <c r="C33" s="8"/>
      <c r="D33" s="10">
        <v>1.0964900000000091</v>
      </c>
      <c r="E33" s="10"/>
      <c r="F33">
        <v>131.30000000000334</v>
      </c>
      <c r="H33" s="10">
        <v>1.1819999999999284</v>
      </c>
      <c r="I33">
        <v>110.89999999995108</v>
      </c>
      <c r="J33" s="10">
        <v>1.1319999999991799</v>
      </c>
      <c r="L33" s="10">
        <v>1.0999999999960908</v>
      </c>
      <c r="O33">
        <v>109.79999999999788</v>
      </c>
      <c r="R33" s="10">
        <v>1.1107600000000233</v>
      </c>
      <c r="S33" s="10">
        <v>2.6964999999999621</v>
      </c>
      <c r="U33" s="10">
        <v>2.0109999999886856</v>
      </c>
      <c r="V33" s="10">
        <v>1.1300000000000012</v>
      </c>
      <c r="W33" s="10">
        <v>1.0999999999960908</v>
      </c>
      <c r="X33" s="10">
        <v>3.5600000000001017</v>
      </c>
      <c r="Y33" s="10">
        <v>0.94799999999886064</v>
      </c>
      <c r="AA33" s="10">
        <v>2.4999999999878546</v>
      </c>
      <c r="AC33" s="10">
        <v>3.1690000000001244</v>
      </c>
      <c r="AD33" s="10">
        <v>0.85450000000000415</v>
      </c>
      <c r="AI33" s="10">
        <v>0.76473738738739128</v>
      </c>
      <c r="AJ33" s="10">
        <v>0.60334537162164181</v>
      </c>
      <c r="AK33" s="10">
        <v>0.59990000000001276</v>
      </c>
      <c r="AL33" s="10">
        <v>0.73399926801817073</v>
      </c>
      <c r="AM33" s="10">
        <v>0.68258891891590068</v>
      </c>
      <c r="AN33" s="10">
        <v>0.90113356981989023</v>
      </c>
      <c r="AO33" s="10">
        <v>0.98294425675668018</v>
      </c>
      <c r="AP33" s="10">
        <v>0.94511272522529444</v>
      </c>
      <c r="AQ33" s="10"/>
      <c r="AR33" s="10">
        <v>0.62388248873872176</v>
      </c>
      <c r="AS33" s="10">
        <v>0.61442460585586078</v>
      </c>
      <c r="AT33" s="10">
        <v>0.75196924549551369</v>
      </c>
      <c r="AU33" s="10">
        <v>0.78696045935616898</v>
      </c>
      <c r="AV33" s="10">
        <v>0.69981577702576847</v>
      </c>
      <c r="AX33" s="10">
        <v>0.79469459459459857</v>
      </c>
      <c r="AY33" s="10">
        <v>0.62698033783785878</v>
      </c>
      <c r="AZ33" s="10">
        <v>0.62340000000001328</v>
      </c>
      <c r="BA33" s="10">
        <v>0.76275236486502351</v>
      </c>
      <c r="BB33" s="10">
        <v>0.7093281081049716</v>
      </c>
      <c r="BC33" s="10">
        <v>0.93643385135142454</v>
      </c>
      <c r="BD33" s="10">
        <v>1.0214493243242446</v>
      </c>
      <c r="BE33" s="10">
        <v>0.98213581081088253</v>
      </c>
      <c r="BF33" s="10">
        <v>0.6483219594594416</v>
      </c>
      <c r="BG33" s="10">
        <v>0.63849358108108611</v>
      </c>
      <c r="BH33" s="10">
        <v>0.78142628378380263</v>
      </c>
      <c r="BI33" s="10"/>
      <c r="BJ33" s="10">
        <v>0.81735919837891813</v>
      </c>
      <c r="BK33" s="10">
        <v>0.72722979729598936</v>
      </c>
    </row>
    <row r="34" spans="1:63" x14ac:dyDescent="0.25">
      <c r="A34" s="8">
        <v>46121</v>
      </c>
      <c r="B34" s="10">
        <v>1.1799000000000182</v>
      </c>
      <c r="C34" s="8"/>
      <c r="D34" s="10">
        <v>1.0979999999999808</v>
      </c>
      <c r="E34" s="10"/>
      <c r="F34">
        <v>131.5000000000027</v>
      </c>
      <c r="H34" s="10">
        <v>1.1869999999998699</v>
      </c>
      <c r="I34">
        <v>111.59999999995959</v>
      </c>
      <c r="J34" s="10">
        <v>1.1384999999992957</v>
      </c>
      <c r="L34" s="10">
        <v>1.1099999999904933</v>
      </c>
      <c r="O34">
        <v>109.44999999999936</v>
      </c>
      <c r="R34" s="10">
        <v>1.1159999999999803</v>
      </c>
      <c r="S34" s="10">
        <v>2.7149999999999976</v>
      </c>
      <c r="U34" s="10">
        <v>2.0219999999956291</v>
      </c>
      <c r="V34" s="10">
        <v>1.1199999999956616</v>
      </c>
      <c r="W34" s="10">
        <v>1.1099999999904933</v>
      </c>
      <c r="X34" s="10">
        <v>3.5404999999998603</v>
      </c>
      <c r="Y34" s="10">
        <v>0.95249999999902457</v>
      </c>
      <c r="AA34" s="10">
        <v>2.5034999999827994</v>
      </c>
      <c r="AC34" s="10">
        <v>3.1745000000000436</v>
      </c>
      <c r="AD34" s="10">
        <v>0.85899999999997889</v>
      </c>
      <c r="AI34" s="10">
        <v>0.7719620082931492</v>
      </c>
      <c r="AJ34" s="10">
        <v>0.60823299338783743</v>
      </c>
      <c r="AK34" s="10">
        <v>0.60369999999999779</v>
      </c>
      <c r="AL34" s="10">
        <v>0.7442227950241701</v>
      </c>
      <c r="AM34" s="10">
        <v>0.68779717583518907</v>
      </c>
      <c r="AN34" s="10">
        <v>0.90930494228387204</v>
      </c>
      <c r="AO34" s="10">
        <v>0.98568926370054011</v>
      </c>
      <c r="AP34" s="10">
        <v>0.93738243864170467</v>
      </c>
      <c r="AQ34" s="10"/>
      <c r="AR34" s="10">
        <v>0.62643262355703666</v>
      </c>
      <c r="AS34" s="10">
        <v>0.61577586284171792</v>
      </c>
      <c r="AT34" s="10">
        <v>0.76113694945659105</v>
      </c>
      <c r="AU34" s="10">
        <v>0.79198836714090237</v>
      </c>
      <c r="AV34" s="10">
        <v>0.70653805894780308</v>
      </c>
      <c r="AX34" s="10">
        <v>0.8030348537487122</v>
      </c>
      <c r="AY34" s="10">
        <v>0.63271545444353439</v>
      </c>
      <c r="AZ34" s="10">
        <v>0.62799999999999756</v>
      </c>
      <c r="BA34" s="10">
        <v>0.77417908775083444</v>
      </c>
      <c r="BB34" s="10">
        <v>0.71548223691319957</v>
      </c>
      <c r="BC34" s="10">
        <v>0.94590608539717014</v>
      </c>
      <c r="BD34" s="10">
        <v>1.0253650117673332</v>
      </c>
      <c r="BE34" s="10">
        <v>0.9751137509806036</v>
      </c>
      <c r="BF34" s="10">
        <v>0.65164765213486664</v>
      </c>
      <c r="BG34" s="10">
        <v>0.64035386597932198</v>
      </c>
      <c r="BH34" s="10">
        <v>0.7917740670179545</v>
      </c>
      <c r="BI34" s="10"/>
      <c r="BJ34" s="10">
        <v>0.82386730920073969</v>
      </c>
      <c r="BK34" s="10">
        <v>0.73497747394272028</v>
      </c>
    </row>
    <row r="35" spans="1:63" x14ac:dyDescent="0.25">
      <c r="A35" s="8">
        <v>46122</v>
      </c>
      <c r="B35" s="10">
        <v>1.1754899999999884</v>
      </c>
      <c r="C35" s="8"/>
      <c r="D35" s="10">
        <v>1.1035999999999915</v>
      </c>
      <c r="E35" s="10"/>
      <c r="F35">
        <v>131.79999999999504</v>
      </c>
      <c r="H35" s="10">
        <v>1.1914999999999114</v>
      </c>
      <c r="I35">
        <v>112.39999999997204</v>
      </c>
      <c r="J35" s="10">
        <v>1.137999999999294</v>
      </c>
      <c r="L35" s="10">
        <v>1.1749999999987069</v>
      </c>
      <c r="O35">
        <v>109.49999999999973</v>
      </c>
      <c r="R35" s="10">
        <v>1.1175000000000006</v>
      </c>
      <c r="S35" s="10">
        <v>2.7175000000000962</v>
      </c>
      <c r="U35" s="10">
        <v>2.0309999999998776</v>
      </c>
      <c r="V35" s="10">
        <v>1.1280000000000576</v>
      </c>
      <c r="W35" s="10">
        <v>1.1749999999987069</v>
      </c>
      <c r="X35" s="10">
        <v>3.5589999999997133</v>
      </c>
      <c r="Y35" s="10">
        <v>0.95299999999886775</v>
      </c>
      <c r="AA35" s="10">
        <v>2.5074999999838865</v>
      </c>
      <c r="AC35" s="10">
        <v>3.1799999999999353</v>
      </c>
      <c r="AD35" s="10">
        <v>0.861500000000055</v>
      </c>
      <c r="AI35" s="10">
        <v>0.77737188305130556</v>
      </c>
      <c r="AJ35" s="10">
        <v>0.61110180351739185</v>
      </c>
      <c r="AK35" s="10">
        <v>0.60460000000004999</v>
      </c>
      <c r="AL35" s="10">
        <v>0.74289877898500389</v>
      </c>
      <c r="AM35" s="10">
        <v>0.6935257085222869</v>
      </c>
      <c r="AN35" s="10">
        <v>0.91025249243852813</v>
      </c>
      <c r="AO35" s="10">
        <v>0.9820432396100105</v>
      </c>
      <c r="AP35" s="10">
        <v>0.93930742690708346</v>
      </c>
      <c r="AQ35" s="10"/>
      <c r="AR35" s="10">
        <v>0.62715313095112513</v>
      </c>
      <c r="AS35" s="10">
        <v>0.61800996975476774</v>
      </c>
      <c r="AT35" s="10">
        <v>0.76396191329685192</v>
      </c>
      <c r="AU35" s="10">
        <v>0.79410048168479785</v>
      </c>
      <c r="AV35" s="10">
        <v>0.71011885291725763</v>
      </c>
      <c r="AX35" s="10">
        <v>0.81260176991138788</v>
      </c>
      <c r="AY35" s="10">
        <v>0.63879646017696279</v>
      </c>
      <c r="AZ35" s="10">
        <v>0.6320000000000523</v>
      </c>
      <c r="BA35" s="10">
        <v>0.77656637168131415</v>
      </c>
      <c r="BB35" s="10">
        <v>0.72495575220986652</v>
      </c>
      <c r="BC35" s="10">
        <v>0.95150442477861352</v>
      </c>
      <c r="BD35" s="10">
        <v>1.0265486725662034</v>
      </c>
      <c r="BE35" s="10">
        <v>0.98187610619463572</v>
      </c>
      <c r="BF35" s="10">
        <v>0.65557522123901935</v>
      </c>
      <c r="BG35" s="10">
        <v>0.64601769911513929</v>
      </c>
      <c r="BH35" s="10">
        <v>0.79858407079657701</v>
      </c>
      <c r="BI35" s="10"/>
      <c r="BJ35" s="10">
        <v>0.83008849557524356</v>
      </c>
      <c r="BK35" s="10">
        <v>0.74230088495485747</v>
      </c>
    </row>
    <row r="36" spans="1:63" x14ac:dyDescent="0.25">
      <c r="A36" s="8">
        <v>46125</v>
      </c>
      <c r="B36" s="10">
        <v>1.1755000000000104</v>
      </c>
      <c r="C36" s="8"/>
      <c r="D36" s="10">
        <v>1.104999999999996</v>
      </c>
      <c r="E36" s="10"/>
      <c r="F36">
        <v>132.19999999999791</v>
      </c>
      <c r="H36" s="10">
        <v>1.1964999999999282</v>
      </c>
      <c r="I36">
        <v>112.94999999998629</v>
      </c>
      <c r="J36" s="10">
        <v>1.1384999999994561</v>
      </c>
      <c r="L36" s="10">
        <v>1.0959999999999455</v>
      </c>
      <c r="O36">
        <v>109.54999999999784</v>
      </c>
      <c r="R36" s="10">
        <v>1.1199999999999819</v>
      </c>
      <c r="S36" s="10">
        <v>2.7204999999999591</v>
      </c>
      <c r="U36" s="10">
        <v>2.021000000000023</v>
      </c>
      <c r="V36" s="10">
        <v>1.128000000000029</v>
      </c>
      <c r="W36" s="10">
        <v>1.0959999999999455</v>
      </c>
      <c r="X36" s="10">
        <v>3.5579999999997454</v>
      </c>
      <c r="Y36" s="10">
        <v>0.9524999999986552</v>
      </c>
      <c r="AA36" s="10">
        <v>2.509999999984065</v>
      </c>
      <c r="AC36" s="10">
        <v>3.1780000000001207</v>
      </c>
      <c r="AD36" s="10">
        <v>0.86449999999994842</v>
      </c>
      <c r="AI36" s="10">
        <v>0.78671100968494867</v>
      </c>
      <c r="AJ36" s="10">
        <v>0.61345458087499105</v>
      </c>
      <c r="AK36" s="10">
        <v>0.61250000000003069</v>
      </c>
      <c r="AL36" s="10">
        <v>0.75473255037287101</v>
      </c>
      <c r="AM36" s="10">
        <v>0.70741261271210254</v>
      </c>
      <c r="AN36" s="10">
        <v>0.91994322609361845</v>
      </c>
      <c r="AO36" s="10">
        <v>0.98117277078916942</v>
      </c>
      <c r="AP36" s="10">
        <v>0.93412557052224388</v>
      </c>
      <c r="AQ36" s="10"/>
      <c r="AR36" s="10">
        <v>0.63213709228538684</v>
      </c>
      <c r="AS36" s="10">
        <v>0.62388678615167992</v>
      </c>
      <c r="AT36" s="10">
        <v>0.77286958699789876</v>
      </c>
      <c r="AU36" s="10">
        <v>0.80293888455983231</v>
      </c>
      <c r="AV36" s="10">
        <v>0.71798118668503175</v>
      </c>
      <c r="AX36" s="10">
        <v>0.82151895803182551</v>
      </c>
      <c r="AY36" s="10">
        <v>0.6405968162083987</v>
      </c>
      <c r="AZ36" s="10">
        <v>0.63960000000003214</v>
      </c>
      <c r="BA36" s="10">
        <v>0.7881256150505932</v>
      </c>
      <c r="BB36" s="10">
        <v>0.73871201157658906</v>
      </c>
      <c r="BC36" s="10">
        <v>0.96064602026037282</v>
      </c>
      <c r="BD36" s="10">
        <v>1.0245846599130661</v>
      </c>
      <c r="BE36" s="10">
        <v>0.97545586107106474</v>
      </c>
      <c r="BF36" s="10">
        <v>0.66010593342976887</v>
      </c>
      <c r="BG36" s="10">
        <v>0.65149059334304416</v>
      </c>
      <c r="BH36" s="10">
        <v>0.80706512301037736</v>
      </c>
      <c r="BI36" s="10"/>
      <c r="BJ36" s="10">
        <v>0.83846483357464296</v>
      </c>
      <c r="BK36" s="10">
        <v>0.74974819102652457</v>
      </c>
    </row>
    <row r="37" spans="1:63" x14ac:dyDescent="0.25">
      <c r="A37" s="8">
        <v>46126</v>
      </c>
      <c r="B37" s="10">
        <v>1.1775000000000213</v>
      </c>
      <c r="C37" s="8"/>
      <c r="D37" s="10">
        <v>1.1105000000000222</v>
      </c>
      <c r="E37" s="10"/>
      <c r="F37">
        <v>132.7500000000073</v>
      </c>
      <c r="H37" s="10">
        <v>1.2059999999999242</v>
      </c>
      <c r="I37">
        <v>113.29999999998589</v>
      </c>
      <c r="J37" s="10">
        <v>1.1429999999995082</v>
      </c>
      <c r="L37" s="10">
        <v>1.0949999999999471</v>
      </c>
      <c r="O37">
        <v>109.30000000000398</v>
      </c>
      <c r="R37" s="10">
        <v>1.1265000000000049</v>
      </c>
      <c r="S37" s="10">
        <v>2.7389999999999075</v>
      </c>
      <c r="U37" s="10">
        <v>2.0334999999999188</v>
      </c>
      <c r="V37" s="10">
        <v>1.1099999999999814</v>
      </c>
      <c r="W37" s="10">
        <v>1.0949999999999471</v>
      </c>
      <c r="X37" s="10">
        <v>3.5725000000001534</v>
      </c>
      <c r="Y37" s="10">
        <v>0.96249999999949398</v>
      </c>
      <c r="AA37" s="10">
        <v>2.5224999999876019</v>
      </c>
      <c r="AC37" s="10">
        <v>3.1844999999997894</v>
      </c>
      <c r="AD37" s="10">
        <v>0.86499999999995525</v>
      </c>
      <c r="AI37" s="10">
        <v>0.79140805739515041</v>
      </c>
      <c r="AJ37" s="10">
        <v>0.61686379690948268</v>
      </c>
      <c r="AK37" s="10">
        <v>0.61699999999998123</v>
      </c>
      <c r="AL37" s="10">
        <v>0.76137527593827148</v>
      </c>
      <c r="AM37" s="10">
        <v>0.71336368653329596</v>
      </c>
      <c r="AN37" s="10">
        <v>0.92951799116997846</v>
      </c>
      <c r="AO37" s="10">
        <v>0.98372682119197097</v>
      </c>
      <c r="AP37" s="10">
        <v>0.93980132450343024</v>
      </c>
      <c r="AQ37" s="10"/>
      <c r="AR37" s="10">
        <v>0.63062030905084154</v>
      </c>
      <c r="AS37" s="10">
        <v>0.62558079470206818</v>
      </c>
      <c r="AT37" s="10">
        <v>0.77874116997770348</v>
      </c>
      <c r="AU37" s="10">
        <v>0.8097273730685518</v>
      </c>
      <c r="AV37" s="10">
        <v>0.72017384105883375</v>
      </c>
      <c r="AX37" s="10">
        <v>0.82296176600442228</v>
      </c>
      <c r="AY37" s="10">
        <v>0.64145836644590604</v>
      </c>
      <c r="AZ37" s="10">
        <v>0.64159999999998052</v>
      </c>
      <c r="BA37" s="10">
        <v>0.79173156732900307</v>
      </c>
      <c r="BB37" s="10">
        <v>0.74180573951339168</v>
      </c>
      <c r="BC37" s="10">
        <v>0.96657818984547517</v>
      </c>
      <c r="BD37" s="10">
        <v>1.0229483443707756</v>
      </c>
      <c r="BE37" s="10">
        <v>0.97727152317893162</v>
      </c>
      <c r="BF37" s="10">
        <v>0.65576335540845998</v>
      </c>
      <c r="BG37" s="10">
        <v>0.65052291390736927</v>
      </c>
      <c r="BH37" s="10">
        <v>0.80978984547438326</v>
      </c>
      <c r="BI37" s="10"/>
      <c r="BJ37" s="10">
        <v>0.84201147902882145</v>
      </c>
      <c r="BK37" s="10">
        <v>0.74888741721774355</v>
      </c>
    </row>
    <row r="38" spans="1:63" x14ac:dyDescent="0.25">
      <c r="A38" s="8">
        <v>46127</v>
      </c>
      <c r="B38" s="10">
        <v>1.1855100000000005</v>
      </c>
      <c r="C38" s="8"/>
      <c r="D38" s="10">
        <v>1.1136000000000235</v>
      </c>
      <c r="E38" s="10"/>
      <c r="F38">
        <v>133.99999999999946</v>
      </c>
      <c r="H38" s="10">
        <v>1.2144999999999788</v>
      </c>
      <c r="I38">
        <v>114.59999999998804</v>
      </c>
      <c r="J38" s="10">
        <v>1.1609999999997871</v>
      </c>
      <c r="L38" s="10">
        <v>1.120000000000039</v>
      </c>
      <c r="O38">
        <v>109.00000000000314</v>
      </c>
      <c r="R38" s="10">
        <v>1.1313000000000115</v>
      </c>
      <c r="S38" s="10">
        <v>2.751500000000028</v>
      </c>
      <c r="U38" s="10">
        <v>2.0549999999999136</v>
      </c>
      <c r="V38" s="10">
        <v>1.1399999999999366</v>
      </c>
      <c r="W38" s="10">
        <v>1.120000000000039</v>
      </c>
      <c r="X38" s="10">
        <v>3.6049999999999924</v>
      </c>
      <c r="Y38" s="10">
        <v>0.97349999999995063</v>
      </c>
      <c r="AA38" s="10">
        <v>2.529999999990054</v>
      </c>
      <c r="AC38" s="10">
        <v>3.1899999999996358</v>
      </c>
      <c r="AD38" s="10">
        <v>0.86499999999990107</v>
      </c>
      <c r="AI38" s="10">
        <v>0.7920955093833677</v>
      </c>
      <c r="AJ38" s="10">
        <v>0.61843451742628419</v>
      </c>
      <c r="AK38" s="10">
        <v>0.61740000000003681</v>
      </c>
      <c r="AL38" s="10">
        <v>0.76188760053635396</v>
      </c>
      <c r="AM38" s="10">
        <v>0.71519638069652292</v>
      </c>
      <c r="AN38" s="10">
        <v>0.9289966487933965</v>
      </c>
      <c r="AO38" s="10">
        <v>0.98203290884715089</v>
      </c>
      <c r="AP38" s="10">
        <v>0.94485924932977061</v>
      </c>
      <c r="AQ38" s="10"/>
      <c r="AR38" s="10">
        <v>0.63181427613946206</v>
      </c>
      <c r="AS38" s="10">
        <v>0.62864175603224581</v>
      </c>
      <c r="AT38" s="10">
        <v>0.77692258713117723</v>
      </c>
      <c r="AU38" s="10">
        <v>0.81175134048250475</v>
      </c>
      <c r="AV38" s="10">
        <v>0.72112761394054725</v>
      </c>
      <c r="AX38" s="10">
        <v>0.82121855451294734</v>
      </c>
      <c r="AY38" s="10">
        <v>0.64117255361931402</v>
      </c>
      <c r="AZ38" s="10">
        <v>0.64010000000003808</v>
      </c>
      <c r="BA38" s="10">
        <v>0.78989998882947854</v>
      </c>
      <c r="BB38" s="10">
        <v>0.74149206881089125</v>
      </c>
      <c r="BC38" s="10">
        <v>0.96315315013387293</v>
      </c>
      <c r="BD38" s="10">
        <v>1.0181393990169441</v>
      </c>
      <c r="BE38" s="10">
        <v>0.97959897229670589</v>
      </c>
      <c r="BF38" s="10">
        <v>0.65504424709567488</v>
      </c>
      <c r="BG38" s="10">
        <v>0.65175508266316895</v>
      </c>
      <c r="BH38" s="10">
        <v>0.80548776809631772</v>
      </c>
      <c r="BI38" s="10"/>
      <c r="BJ38" s="10">
        <v>0.8415970732796425</v>
      </c>
      <c r="BK38" s="10">
        <v>0.74764137622828686</v>
      </c>
    </row>
    <row r="39" spans="1:63" x14ac:dyDescent="0.25">
      <c r="A39" s="8">
        <v>46128</v>
      </c>
      <c r="B39" s="10">
        <v>1.1906999999999943</v>
      </c>
      <c r="C39" s="8"/>
      <c r="D39" s="10">
        <v>1.1198999999999806</v>
      </c>
      <c r="E39" s="10"/>
      <c r="F39">
        <v>134.04999999999671</v>
      </c>
      <c r="H39" s="10">
        <v>1.2180000000000542</v>
      </c>
      <c r="I39">
        <v>114.74999999999494</v>
      </c>
      <c r="J39" s="10">
        <v>1.1649999999997898</v>
      </c>
      <c r="L39" s="10">
        <v>1.1020000000000651</v>
      </c>
      <c r="O39">
        <v>109.24999999999714</v>
      </c>
      <c r="R39" s="10">
        <v>1.1339999999999877</v>
      </c>
      <c r="S39" s="10">
        <v>2.75449999999995</v>
      </c>
      <c r="U39" s="10">
        <v>2.0574999999999131</v>
      </c>
      <c r="V39" s="10">
        <v>1.1199999999999937</v>
      </c>
      <c r="W39" s="10">
        <v>1.1020000000000651</v>
      </c>
      <c r="X39" s="10">
        <v>3.6260000000001487</v>
      </c>
      <c r="Y39" s="10">
        <v>0.98249999999996296</v>
      </c>
      <c r="AA39" s="10">
        <v>2.544999999994594</v>
      </c>
      <c r="AC39" s="10">
        <v>3.2039999999999527</v>
      </c>
      <c r="AD39" s="10">
        <v>0.86200000000004284</v>
      </c>
      <c r="AF39" s="10">
        <v>0.824999999999948</v>
      </c>
      <c r="AI39" s="10">
        <v>0.78821252502768191</v>
      </c>
      <c r="AJ39" s="10">
        <v>0.61585561735268635</v>
      </c>
      <c r="AK39" s="10">
        <v>0.61929999999999941</v>
      </c>
      <c r="AL39" s="10">
        <v>0.75817750834266751</v>
      </c>
      <c r="AM39" s="10">
        <v>0.71780934371457339</v>
      </c>
      <c r="AN39" s="10">
        <v>0.9261944938820349</v>
      </c>
      <c r="AO39" s="10">
        <v>0.98530010011120428</v>
      </c>
      <c r="AP39" s="10">
        <v>0.92743447163513382</v>
      </c>
      <c r="AQ39" s="10"/>
      <c r="AR39" s="10">
        <v>0.62921982202451643</v>
      </c>
      <c r="AS39" s="10">
        <v>0.62894427141274523</v>
      </c>
      <c r="AT39" s="10">
        <v>0.77774160177980467</v>
      </c>
      <c r="AU39" s="10">
        <v>0.81080767519475738</v>
      </c>
      <c r="AV39" s="10">
        <v>0.720564849832807</v>
      </c>
      <c r="AX39" s="10">
        <v>0.81366747497206049</v>
      </c>
      <c r="AY39" s="10">
        <v>0.63574438264746069</v>
      </c>
      <c r="AZ39" s="10">
        <v>0.63929999999999942</v>
      </c>
      <c r="BA39" s="10">
        <v>0.78266249165746382</v>
      </c>
      <c r="BB39" s="10">
        <v>0.74099065628407357</v>
      </c>
      <c r="BC39" s="10">
        <v>0.95610550611785083</v>
      </c>
      <c r="BD39" s="10">
        <v>1.0171198998887343</v>
      </c>
      <c r="BE39" s="10">
        <v>0.95738552836483304</v>
      </c>
      <c r="BF39" s="10">
        <v>0.64954017797557451</v>
      </c>
      <c r="BG39" s="10">
        <v>0.64925572858738589</v>
      </c>
      <c r="BH39" s="10">
        <v>0.8028583982202957</v>
      </c>
      <c r="BI39" s="10"/>
      <c r="BJ39" s="10">
        <v>0.83699232480543928</v>
      </c>
      <c r="BK39" s="10">
        <v>0.74383515016650026</v>
      </c>
    </row>
    <row r="40" spans="1:63" x14ac:dyDescent="0.25">
      <c r="A40" s="8">
        <v>46129</v>
      </c>
      <c r="B40" s="10">
        <v>1.1985000000000086</v>
      </c>
      <c r="C40" s="8"/>
      <c r="D40" s="10">
        <v>1.1299999999999839</v>
      </c>
      <c r="E40" s="10"/>
      <c r="F40">
        <v>135.29999999999822</v>
      </c>
      <c r="H40" s="10">
        <v>1.226499999999993</v>
      </c>
      <c r="I40">
        <v>115.74999999999098</v>
      </c>
      <c r="J40" s="10">
        <v>1.1819999999999331</v>
      </c>
      <c r="L40" s="10">
        <v>1.1169999999962306</v>
      </c>
      <c r="O40">
        <v>110.19999999999675</v>
      </c>
      <c r="R40" s="10">
        <v>1.1479999999999899</v>
      </c>
      <c r="S40" s="10">
        <v>2.7749999999999786</v>
      </c>
      <c r="U40" s="10">
        <v>2.0800000000000436</v>
      </c>
      <c r="V40" s="10">
        <v>1.1299999999948867</v>
      </c>
      <c r="W40" s="10">
        <v>1.1169999999962306</v>
      </c>
      <c r="X40" s="10">
        <v>3.6799999999879858</v>
      </c>
      <c r="Y40" s="10">
        <v>0.99599999999993893</v>
      </c>
      <c r="AA40" s="10">
        <v>2.5799999999981544</v>
      </c>
      <c r="AC40" s="10">
        <v>3.2264999999998936</v>
      </c>
      <c r="AD40" s="10">
        <v>0.87009999999992771</v>
      </c>
      <c r="AF40" s="10">
        <v>0.83499999999982777</v>
      </c>
      <c r="AI40" s="10">
        <v>0.79033701075512552</v>
      </c>
      <c r="AJ40" s="10">
        <v>0.61934369664046118</v>
      </c>
      <c r="AK40" s="10">
        <v>0.62010000000006527</v>
      </c>
      <c r="AL40" s="10">
        <v>0.76317884466110031</v>
      </c>
      <c r="AM40" s="10">
        <v>0.71642554606873921</v>
      </c>
      <c r="AN40" s="10">
        <v>0.93293457146011738</v>
      </c>
      <c r="AO40" s="10">
        <v>0.99006985253351687</v>
      </c>
      <c r="AP40" s="10">
        <v>0.93527223638990931</v>
      </c>
      <c r="AQ40" s="10"/>
      <c r="AR40" s="10">
        <v>0.62746406388642262</v>
      </c>
      <c r="AS40" s="10">
        <v>0.62841933695519747</v>
      </c>
      <c r="AT40" s="10">
        <v>0.78174265439589008</v>
      </c>
      <c r="AU40" s="10">
        <v>0.81577630557701386</v>
      </c>
      <c r="AV40" s="10">
        <v>0.718488191594992</v>
      </c>
      <c r="AX40" s="10">
        <v>0.8137883911742424</v>
      </c>
      <c r="AY40" s="10">
        <v>0.63772125512809963</v>
      </c>
      <c r="AZ40" s="10">
        <v>0.63850000000006735</v>
      </c>
      <c r="BA40" s="10">
        <v>0.78582437077263767</v>
      </c>
      <c r="BB40" s="10">
        <v>0.7376837786887438</v>
      </c>
      <c r="BC40" s="10">
        <v>0.96061719702835835</v>
      </c>
      <c r="BD40" s="10">
        <v>1.0194478323538956</v>
      </c>
      <c r="BE40" s="10">
        <v>0.96302422663273202</v>
      </c>
      <c r="BF40" s="10">
        <v>0.64910425909494085</v>
      </c>
      <c r="BG40" s="10">
        <v>0.64706619359118478</v>
      </c>
      <c r="BH40" s="10">
        <v>0.80493901762905329</v>
      </c>
      <c r="BI40" s="10"/>
      <c r="BJ40" s="10">
        <v>0.83998253686651081</v>
      </c>
      <c r="BK40" s="10">
        <v>0.73980762833962654</v>
      </c>
    </row>
    <row r="41" spans="1:63" x14ac:dyDescent="0.25">
      <c r="A41" s="8">
        <v>46132</v>
      </c>
      <c r="B41" s="10">
        <v>1.1986100000000024</v>
      </c>
      <c r="C41" s="8"/>
      <c r="D41" s="10">
        <v>1.1294000000000219</v>
      </c>
      <c r="E41" s="10"/>
      <c r="F41">
        <v>136.04999999999694</v>
      </c>
      <c r="H41" s="10">
        <v>1.2284999999999924</v>
      </c>
      <c r="I41">
        <v>115.84999999999677</v>
      </c>
      <c r="J41" s="10">
        <v>1.1780000000000383</v>
      </c>
      <c r="L41" s="10">
        <v>1.116999999999146</v>
      </c>
      <c r="O41">
        <v>110.40000000000272</v>
      </c>
      <c r="R41" s="10">
        <v>1.1478999999999802</v>
      </c>
      <c r="S41" s="10">
        <v>2.7839999999999723</v>
      </c>
      <c r="U41" s="10">
        <v>2.0835000000000292</v>
      </c>
      <c r="V41" s="10">
        <v>1.1349999999997946</v>
      </c>
      <c r="W41" s="10">
        <v>1.116999999999146</v>
      </c>
      <c r="X41" s="10">
        <v>3.6700000000001189</v>
      </c>
      <c r="Y41" s="10">
        <v>0.99300000000002842</v>
      </c>
      <c r="AA41" s="10">
        <v>2.578999999997964</v>
      </c>
      <c r="AC41" s="10">
        <v>3.2299999999999986</v>
      </c>
      <c r="AD41" s="10">
        <v>0.87000000000002131</v>
      </c>
      <c r="AF41" s="10">
        <v>0.82999999999997043</v>
      </c>
      <c r="AI41" s="10">
        <v>0.79033060773460562</v>
      </c>
      <c r="AJ41" s="10">
        <v>0.61890967955801368</v>
      </c>
      <c r="AK41" s="10">
        <v>0.61979999999996027</v>
      </c>
      <c r="AL41" s="10">
        <v>0.76656590055233498</v>
      </c>
      <c r="AM41" s="10">
        <v>0.71362607734725103</v>
      </c>
      <c r="AN41" s="10">
        <v>0.93819228729297643</v>
      </c>
      <c r="AO41" s="10">
        <v>0.99078967955805419</v>
      </c>
      <c r="AP41" s="10">
        <v>0.94031535911600572</v>
      </c>
      <c r="AQ41" s="10"/>
      <c r="AR41" s="10">
        <v>0.6260687962860233</v>
      </c>
      <c r="AS41" s="10">
        <v>0.6300729281768267</v>
      </c>
      <c r="AT41" s="10">
        <v>0.78142740331464688</v>
      </c>
      <c r="AU41" s="10">
        <v>0.81704022099454132</v>
      </c>
      <c r="AV41" s="10">
        <v>0.72430992265184413</v>
      </c>
      <c r="AX41" s="10">
        <v>0.81570585635338344</v>
      </c>
      <c r="AY41" s="10">
        <v>0.63878109392265459</v>
      </c>
      <c r="AZ41" s="10">
        <v>0.63969999999995897</v>
      </c>
      <c r="BA41" s="10">
        <v>0.7911781325965288</v>
      </c>
      <c r="BB41" s="10">
        <v>0.73653856353507008</v>
      </c>
      <c r="BC41" s="10">
        <v>0.96831495027640668</v>
      </c>
      <c r="BD41" s="10">
        <v>1.0226010939226962</v>
      </c>
      <c r="BE41" s="10">
        <v>0.97050618784528664</v>
      </c>
      <c r="BF41" s="10">
        <v>0.64828348623849241</v>
      </c>
      <c r="BG41" s="10">
        <v>0.65030276243097118</v>
      </c>
      <c r="BH41" s="10">
        <v>0.80651679557983147</v>
      </c>
      <c r="BI41" s="10"/>
      <c r="BJ41" s="10">
        <v>0.84327303867410119</v>
      </c>
      <c r="BK41" s="10">
        <v>0.74756543646399576</v>
      </c>
    </row>
    <row r="42" spans="1:63" x14ac:dyDescent="0.25">
      <c r="A42" s="8">
        <v>46133</v>
      </c>
      <c r="B42" s="10">
        <v>1.2002499999999972</v>
      </c>
      <c r="C42" s="8"/>
      <c r="D42" s="10">
        <v>1.125499999999974</v>
      </c>
      <c r="E42" s="10"/>
      <c r="F42">
        <v>135.69999999999905</v>
      </c>
      <c r="H42" s="10">
        <v>1.2284999999999893</v>
      </c>
      <c r="I42">
        <v>116.09999999999697</v>
      </c>
      <c r="J42" s="10">
        <v>1.1794999999999423</v>
      </c>
      <c r="L42" s="10">
        <v>1.1159999999922972</v>
      </c>
      <c r="O42">
        <v>110.50000000000686</v>
      </c>
      <c r="R42" s="10">
        <v>1.1485000000000216</v>
      </c>
      <c r="S42" s="10">
        <v>2.7870000000000026</v>
      </c>
      <c r="U42" s="10">
        <v>2.0839999999999907</v>
      </c>
      <c r="V42" s="10">
        <v>1.1374999999934998</v>
      </c>
      <c r="W42" s="10">
        <v>1.1159999999922972</v>
      </c>
      <c r="X42" s="10">
        <v>3.6600000000000579</v>
      </c>
      <c r="Y42" s="10">
        <v>0.99509999999999976</v>
      </c>
      <c r="AA42" s="10">
        <v>2.5839999999984173</v>
      </c>
      <c r="AC42" s="10">
        <v>3.2274999999997425</v>
      </c>
      <c r="AD42" s="10">
        <v>0.86649999999993954</v>
      </c>
      <c r="AF42" s="10">
        <v>0.82949999999992297</v>
      </c>
      <c r="AI42" s="10">
        <v>0.77859275265951755</v>
      </c>
      <c r="AJ42" s="10">
        <v>0.61483623670216236</v>
      </c>
      <c r="AK42" s="10">
        <v>0.61470000000004454</v>
      </c>
      <c r="AL42" s="10">
        <v>0.75611369680851981</v>
      </c>
      <c r="AM42" s="10">
        <v>0.70025664893436357</v>
      </c>
      <c r="AN42" s="10">
        <v>0.92572839095750625</v>
      </c>
      <c r="AO42" s="10">
        <v>0.98499135638289426</v>
      </c>
      <c r="AP42" s="10">
        <v>0.93315329122347879</v>
      </c>
      <c r="AQ42" s="10"/>
      <c r="AR42" s="10">
        <v>0.62136176600934123</v>
      </c>
      <c r="AS42" s="10">
        <v>0.62178430851064026</v>
      </c>
      <c r="AT42" s="10">
        <v>0.77041855053200581</v>
      </c>
      <c r="AU42" s="10">
        <v>0.80475019946802662</v>
      </c>
      <c r="AV42" s="10">
        <v>0.71367596409501444</v>
      </c>
      <c r="AX42" s="10">
        <v>0.80810505319143033</v>
      </c>
      <c r="AY42" s="10">
        <v>0.63814140070925596</v>
      </c>
      <c r="AZ42" s="10">
        <v>0.6380000000000462</v>
      </c>
      <c r="BA42" s="10">
        <v>0.78477393617022229</v>
      </c>
      <c r="BB42" s="10">
        <v>0.72679964538819586</v>
      </c>
      <c r="BC42" s="10">
        <v>0.96081781914899811</v>
      </c>
      <c r="BD42" s="10">
        <v>1.022327127659487</v>
      </c>
      <c r="BE42" s="10">
        <v>0.96852415780149603</v>
      </c>
      <c r="BF42" s="10">
        <v>0.64386682916023996</v>
      </c>
      <c r="BG42" s="10">
        <v>0.64535283687943457</v>
      </c>
      <c r="BH42" s="10">
        <v>0.7996210106383923</v>
      </c>
      <c r="BI42" s="10"/>
      <c r="BJ42" s="10">
        <v>0.83525398936164152</v>
      </c>
      <c r="BK42" s="10">
        <v>0.74072761524746911</v>
      </c>
    </row>
    <row r="43" spans="1:63" x14ac:dyDescent="0.25">
      <c r="A43" s="8">
        <v>46134</v>
      </c>
      <c r="B43" s="10">
        <v>1.2017500000000139</v>
      </c>
      <c r="C43" s="8"/>
      <c r="D43" s="10">
        <v>1.128399999999997</v>
      </c>
      <c r="E43" s="10"/>
      <c r="F43">
        <v>135.99999999999736</v>
      </c>
      <c r="H43" s="10">
        <v>1.2300000000000901</v>
      </c>
      <c r="I43">
        <v>115.94999999999833</v>
      </c>
      <c r="J43" s="10">
        <v>1.1824999999998469</v>
      </c>
      <c r="L43" s="10">
        <v>1.110000000000021</v>
      </c>
      <c r="O43">
        <v>110.79999999999932</v>
      </c>
      <c r="R43" s="10">
        <v>1.1477499999999956</v>
      </c>
      <c r="S43" s="10">
        <v>2.7880000000000633</v>
      </c>
      <c r="U43" s="10">
        <v>2.0845000000000731</v>
      </c>
      <c r="V43" s="10">
        <v>1.1299999999934778</v>
      </c>
      <c r="W43" s="10">
        <v>1.110000000000021</v>
      </c>
      <c r="X43" s="10">
        <v>3.6674999999999596</v>
      </c>
      <c r="Y43" s="10">
        <v>0.99299999999996669</v>
      </c>
      <c r="AA43" s="10">
        <v>2.5809999999975846</v>
      </c>
      <c r="AC43" s="10">
        <v>3.2340000000004294</v>
      </c>
      <c r="AD43" s="10">
        <v>0.86709999999994058</v>
      </c>
      <c r="AF43" s="10">
        <v>0.82999999999992868</v>
      </c>
      <c r="AI43" s="10">
        <v>0.77511103752766897</v>
      </c>
      <c r="AJ43" s="10">
        <v>0.61321131346580604</v>
      </c>
      <c r="AK43" s="10">
        <v>0.61449999999999649</v>
      </c>
      <c r="AL43" s="10">
        <v>0.75076164459161776</v>
      </c>
      <c r="AM43" s="10">
        <v>0.69758636865145807</v>
      </c>
      <c r="AN43" s="10">
        <v>0.9244630242826507</v>
      </c>
      <c r="AO43" s="10">
        <v>0.98347130242827074</v>
      </c>
      <c r="AP43" s="10">
        <v>0.92710822295813089</v>
      </c>
      <c r="AQ43" s="10"/>
      <c r="AR43" s="10">
        <v>0.61886675496693155</v>
      </c>
      <c r="AS43" s="10">
        <v>0.62263907284774844</v>
      </c>
      <c r="AT43" s="10">
        <v>0.76927803532011485</v>
      </c>
      <c r="AU43" s="10">
        <v>0.80190215231773665</v>
      </c>
      <c r="AV43" s="10">
        <v>0.71216887417099339</v>
      </c>
      <c r="AX43" s="10">
        <v>0.80487933774842235</v>
      </c>
      <c r="AY43" s="10">
        <v>0.63676182119207625</v>
      </c>
      <c r="AZ43" s="10">
        <v>0.63809999999999623</v>
      </c>
      <c r="BA43" s="10">
        <v>0.77959480132450976</v>
      </c>
      <c r="BB43" s="10">
        <v>0.72437731787875559</v>
      </c>
      <c r="BC43" s="10">
        <v>0.95996721854313971</v>
      </c>
      <c r="BD43" s="10">
        <v>1.0212417218543197</v>
      </c>
      <c r="BE43" s="10">
        <v>0.96271400662259277</v>
      </c>
      <c r="BF43" s="10">
        <v>0.6421044370861384</v>
      </c>
      <c r="BG43" s="10">
        <v>0.64655165562920802</v>
      </c>
      <c r="BH43" s="10">
        <v>0.79882231788082203</v>
      </c>
      <c r="BI43" s="10"/>
      <c r="BJ43" s="10">
        <v>0.83269937086077728</v>
      </c>
      <c r="BK43" s="10">
        <v>0.73951986754843102</v>
      </c>
    </row>
    <row r="44" spans="1:63" x14ac:dyDescent="0.25">
      <c r="A44" s="8">
        <v>46135</v>
      </c>
      <c r="B44" s="10">
        <v>1.1964999999999995</v>
      </c>
      <c r="C44" s="8"/>
      <c r="D44" s="10">
        <v>1.1240000000000174</v>
      </c>
      <c r="E44" s="10"/>
      <c r="F44">
        <v>135.29999999999785</v>
      </c>
      <c r="H44" s="10">
        <v>1.2254999999999314</v>
      </c>
      <c r="I44">
        <v>115.64999999999405</v>
      </c>
      <c r="J44" s="10">
        <v>1.1749999999999348</v>
      </c>
      <c r="L44" s="10">
        <v>1.1109999999999829</v>
      </c>
      <c r="O44">
        <v>110.69999999999899</v>
      </c>
      <c r="R44" s="10">
        <v>1.137999999999977</v>
      </c>
      <c r="S44" s="10">
        <v>2.7744999999999975</v>
      </c>
      <c r="U44" s="10">
        <v>2.0805000000000735</v>
      </c>
      <c r="V44" s="10">
        <v>1.1299999999999444</v>
      </c>
      <c r="W44" s="10">
        <v>1.1109999999999829</v>
      </c>
      <c r="X44" s="10">
        <v>3.643499999999833</v>
      </c>
      <c r="Y44" s="10">
        <v>0.987499999999913</v>
      </c>
      <c r="AA44" s="10">
        <v>2.5649999999942583</v>
      </c>
      <c r="AC44" s="10">
        <v>3.2225000000004043</v>
      </c>
      <c r="AD44" s="10">
        <v>0.86199999999994592</v>
      </c>
      <c r="AF44" s="10">
        <v>0.82499999999988116</v>
      </c>
      <c r="AI44" s="10">
        <v>0.77120221606631401</v>
      </c>
      <c r="AJ44" s="10">
        <v>0.60831024930752564</v>
      </c>
      <c r="AK44" s="10">
        <v>0.60999999999995724</v>
      </c>
      <c r="AL44" s="10">
        <v>0.74518005540140342</v>
      </c>
      <c r="AM44" s="10">
        <v>0.69820498614751159</v>
      </c>
      <c r="AN44" s="10">
        <v>0.91685872576170835</v>
      </c>
      <c r="AO44" s="10">
        <v>0.98005540166192662</v>
      </c>
      <c r="AP44" s="10">
        <v>0.92192797783933633</v>
      </c>
      <c r="AQ44" s="10"/>
      <c r="AR44" s="10">
        <v>0.6238559556787433</v>
      </c>
      <c r="AS44" s="10">
        <v>0.61844875346265804</v>
      </c>
      <c r="AT44" s="10">
        <v>0.76437562326843067</v>
      </c>
      <c r="AU44" s="10">
        <v>0.79884653739616884</v>
      </c>
      <c r="AV44" s="10">
        <v>0.70496398891810808</v>
      </c>
      <c r="AX44" s="10">
        <v>0.8010388919665844</v>
      </c>
      <c r="AY44" s="10">
        <v>0.63184487534630829</v>
      </c>
      <c r="AZ44" s="10">
        <v>0.63359999999995553</v>
      </c>
      <c r="BA44" s="10">
        <v>0.77400997229890012</v>
      </c>
      <c r="BB44" s="10">
        <v>0.72521750692305464</v>
      </c>
      <c r="BC44" s="10">
        <v>0.95233063711904653</v>
      </c>
      <c r="BD44" s="10">
        <v>1.0179722991688469</v>
      </c>
      <c r="BE44" s="10">
        <v>0.95759601108033332</v>
      </c>
      <c r="BF44" s="10">
        <v>0.64799202216074048</v>
      </c>
      <c r="BG44" s="10">
        <v>0.64237562326875419</v>
      </c>
      <c r="BH44" s="10">
        <v>0.79394818836537306</v>
      </c>
      <c r="BI44" s="10"/>
      <c r="BJ44" s="10">
        <v>0.82975273130198757</v>
      </c>
      <c r="BK44" s="10">
        <v>0.73223800553854634</v>
      </c>
    </row>
    <row r="45" spans="1:63" x14ac:dyDescent="0.25">
      <c r="A45" s="8">
        <v>46136</v>
      </c>
      <c r="B45" s="10">
        <v>1.2009900000000258</v>
      </c>
      <c r="C45" s="8"/>
      <c r="D45" s="10">
        <v>1.1254999999999793</v>
      </c>
      <c r="E45" s="10"/>
      <c r="F45">
        <v>135.25000000000549</v>
      </c>
      <c r="H45" s="10">
        <v>1.2264999999999966</v>
      </c>
      <c r="I45">
        <v>115.49999999999206</v>
      </c>
      <c r="J45" s="10">
        <v>1.1654999999998201</v>
      </c>
      <c r="L45" s="10">
        <v>1.1125000000000396</v>
      </c>
      <c r="O45">
        <v>110.29999999999556</v>
      </c>
      <c r="R45" s="10">
        <v>1.1409999999999791</v>
      </c>
      <c r="S45" s="10">
        <v>2.7750000000000181</v>
      </c>
      <c r="U45" s="10">
        <v>2.077500000000073</v>
      </c>
      <c r="V45" s="10">
        <v>1.128999999999994</v>
      </c>
      <c r="W45" s="10">
        <v>1.1125000000000396</v>
      </c>
      <c r="X45" s="10">
        <v>3.6394999999999595</v>
      </c>
      <c r="Y45" s="10">
        <v>0.98509999999996778</v>
      </c>
      <c r="AA45" s="10">
        <v>2.5674999999927683</v>
      </c>
      <c r="AC45" s="10">
        <v>3.218999999999768</v>
      </c>
      <c r="AD45" s="10">
        <v>0.86099999999988341</v>
      </c>
      <c r="AF45" s="10">
        <v>0.82400000000005946</v>
      </c>
      <c r="AI45" s="10">
        <v>0.77209578438902982</v>
      </c>
      <c r="AJ45" s="10">
        <v>0.60943308815457176</v>
      </c>
      <c r="AK45" s="10">
        <v>0.60950000000001714</v>
      </c>
      <c r="AL45" s="10">
        <v>0.7445950159185073</v>
      </c>
      <c r="AM45" s="10">
        <v>0.69474569107166251</v>
      </c>
      <c r="AN45" s="10">
        <v>0.91997096278400303</v>
      </c>
      <c r="AO45" s="10">
        <v>0.9846078054670655</v>
      </c>
      <c r="AP45" s="10">
        <v>0.92411949720067299</v>
      </c>
      <c r="AQ45" s="10"/>
      <c r="AR45" s="10">
        <v>0.61726177406953109</v>
      </c>
      <c r="AS45" s="10">
        <v>0.62027280711384014</v>
      </c>
      <c r="AT45" s="10">
        <v>0.76172444834771769</v>
      </c>
      <c r="AU45" s="10">
        <v>0.79665243166115285</v>
      </c>
      <c r="AV45" s="10">
        <v>0.70518393896002063</v>
      </c>
      <c r="AX45" s="10">
        <v>0.80224488966952012</v>
      </c>
      <c r="AY45" s="10">
        <v>0.63323047535404475</v>
      </c>
      <c r="AZ45" s="10">
        <v>0.63330000000001785</v>
      </c>
      <c r="BA45" s="10">
        <v>0.77367026018242913</v>
      </c>
      <c r="BB45" s="10">
        <v>0.72187439894287753</v>
      </c>
      <c r="BC45" s="10">
        <v>0.95589435722905525</v>
      </c>
      <c r="BD45" s="10">
        <v>1.0230551652211526</v>
      </c>
      <c r="BE45" s="10">
        <v>0.96020488527840231</v>
      </c>
      <c r="BF45" s="10">
        <v>0.64136485893065454</v>
      </c>
      <c r="BG45" s="10">
        <v>0.64449346799867924</v>
      </c>
      <c r="BH45" s="10">
        <v>0.79146856954652922</v>
      </c>
      <c r="BI45" s="10"/>
      <c r="BJ45" s="10">
        <v>0.82776043473504202</v>
      </c>
      <c r="BK45" s="10">
        <v>0.73272024371350464</v>
      </c>
    </row>
    <row r="46" spans="1:63" x14ac:dyDescent="0.25">
      <c r="A46" s="8">
        <v>46139</v>
      </c>
      <c r="B46" s="10">
        <v>1.198000000000029</v>
      </c>
      <c r="C46" s="8"/>
      <c r="D46" s="10">
        <v>1.1253900000000177</v>
      </c>
      <c r="E46" s="10"/>
      <c r="F46">
        <v>134.50000000000492</v>
      </c>
      <c r="H46" s="10">
        <v>1.2215000000000216</v>
      </c>
      <c r="I46">
        <v>115.2499999999949</v>
      </c>
      <c r="J46" s="10">
        <v>1.1649999999999527</v>
      </c>
      <c r="L46" s="10">
        <v>1.109500000000043</v>
      </c>
      <c r="O46">
        <v>110.4999999999927</v>
      </c>
      <c r="R46" s="10">
        <v>1.1399599999999728</v>
      </c>
      <c r="S46" s="10">
        <v>2.7714999999999388</v>
      </c>
      <c r="U46" s="10">
        <v>2.0650000000000737</v>
      </c>
      <c r="V46" s="10">
        <v>1.1300000000000365</v>
      </c>
      <c r="W46" s="10">
        <v>1.109500000000043</v>
      </c>
      <c r="X46" s="10">
        <v>3.6289999999999232</v>
      </c>
      <c r="Y46" s="10">
        <v>0.97849999999968162</v>
      </c>
      <c r="AA46" s="10">
        <v>2.5399999999729506</v>
      </c>
      <c r="AC46" s="10">
        <v>3.1730000000001457</v>
      </c>
      <c r="AD46" s="10">
        <v>0.85500000000003373</v>
      </c>
      <c r="AF46" s="10">
        <v>0.82299999999987561</v>
      </c>
      <c r="AI46" s="10">
        <v>0.758703058669706</v>
      </c>
      <c r="AJ46" s="10">
        <v>0.60453902253182323</v>
      </c>
      <c r="AK46" s="10">
        <v>0.60500000000001886</v>
      </c>
      <c r="AL46" s="10">
        <v>0.73637857842602161</v>
      </c>
      <c r="AM46" s="10">
        <v>0.68817350603653937</v>
      </c>
      <c r="AN46" s="10">
        <v>0.90805975835404817</v>
      </c>
      <c r="AO46" s="10">
        <v>0.98372591705670187</v>
      </c>
      <c r="AP46" s="10">
        <v>0.92076956569056279</v>
      </c>
      <c r="AQ46" s="10"/>
      <c r="AR46" s="10">
        <v>0.61403083460451735</v>
      </c>
      <c r="AS46" s="10">
        <v>0.61639272885607399</v>
      </c>
      <c r="AT46" s="10">
        <v>0.75271035158375954</v>
      </c>
      <c r="AU46" s="10">
        <v>0.78846903232831655</v>
      </c>
      <c r="AV46" s="10">
        <v>0.69686622400930498</v>
      </c>
      <c r="AX46" s="10">
        <v>0.78817334276679385</v>
      </c>
      <c r="AY46" s="10">
        <v>0.62802111679545614</v>
      </c>
      <c r="AZ46" s="10">
        <v>0.62850000000001971</v>
      </c>
      <c r="BA46" s="10">
        <v>0.76498171329050346</v>
      </c>
      <c r="BB46" s="10">
        <v>0.71490421246936364</v>
      </c>
      <c r="BC46" s="10">
        <v>0.94333150103391628</v>
      </c>
      <c r="BD46" s="10">
        <v>1.0219367584630368</v>
      </c>
      <c r="BE46" s="10">
        <v>0.95653499510168405</v>
      </c>
      <c r="BF46" s="10">
        <v>0.63838908258882887</v>
      </c>
      <c r="BG46" s="10">
        <v>0.64033525634056632</v>
      </c>
      <c r="BH46" s="10">
        <v>0.78194786110808745</v>
      </c>
      <c r="BI46" s="10"/>
      <c r="BJ46" s="10">
        <v>0.81909551540222647</v>
      </c>
      <c r="BK46" s="10">
        <v>0.72393458147082357</v>
      </c>
    </row>
    <row r="47" spans="1:63" x14ac:dyDescent="0.25">
      <c r="A47" s="8">
        <v>46140</v>
      </c>
      <c r="B47" s="10">
        <v>1.199250000000011</v>
      </c>
      <c r="C47" s="8"/>
      <c r="D47" s="10">
        <v>1.1280000000000185</v>
      </c>
      <c r="E47" s="10"/>
      <c r="F47">
        <v>135.00000000000173</v>
      </c>
      <c r="H47" s="10">
        <v>1.2250000000000234</v>
      </c>
      <c r="I47">
        <v>115.44999999999435</v>
      </c>
      <c r="J47" s="10">
        <v>1.1899999999998958</v>
      </c>
      <c r="L47" s="10">
        <v>1.1129999999999858</v>
      </c>
      <c r="O47">
        <v>110.29999999999545</v>
      </c>
      <c r="R47" s="10">
        <v>1.1374999999999995</v>
      </c>
      <c r="S47" s="10">
        <v>2.7569999999999752</v>
      </c>
      <c r="U47" s="10">
        <v>2.0619999999967105</v>
      </c>
      <c r="V47" s="10">
        <v>1.132000000000049</v>
      </c>
      <c r="W47" s="10">
        <v>1.1129999999999858</v>
      </c>
      <c r="X47" s="10">
        <v>3.6325000000001535</v>
      </c>
      <c r="Y47" s="10">
        <v>0.9700999999987614</v>
      </c>
      <c r="AA47" s="10">
        <v>2.5284999999999469</v>
      </c>
      <c r="AC47" s="10">
        <v>3.1790000000000425</v>
      </c>
      <c r="AD47" s="10">
        <v>0.85300000000009324</v>
      </c>
      <c r="AF47" s="10">
        <v>0.81889999999997409</v>
      </c>
      <c r="AI47" s="10">
        <v>0.76365477497239187</v>
      </c>
      <c r="AJ47" s="10">
        <v>0.60533205268934509</v>
      </c>
      <c r="AK47" s="10">
        <v>0.60499999999996001</v>
      </c>
      <c r="AL47" s="10">
        <v>0.73377003293074883</v>
      </c>
      <c r="AM47" s="10">
        <v>0.68834522502296125</v>
      </c>
      <c r="AN47" s="10">
        <v>0.91095334796934491</v>
      </c>
      <c r="AO47" s="10">
        <v>0.97809440175614892</v>
      </c>
      <c r="AP47" s="10">
        <v>0.91945389681676293</v>
      </c>
      <c r="AQ47" s="10"/>
      <c r="AR47" s="10">
        <v>0.61860870996045902</v>
      </c>
      <c r="AS47" s="10">
        <v>0.6159577387486973</v>
      </c>
      <c r="AT47" s="10">
        <v>0.7497749725575531</v>
      </c>
      <c r="AU47" s="10">
        <v>0.78457409440181392</v>
      </c>
      <c r="AV47" s="10">
        <v>0.69266190998565802</v>
      </c>
      <c r="AX47" s="10">
        <v>0.79457963776052987</v>
      </c>
      <c r="AY47" s="10">
        <v>0.62984549945114499</v>
      </c>
      <c r="AZ47" s="10">
        <v>0.62949999999995832</v>
      </c>
      <c r="BA47" s="10">
        <v>0.76348468715687001</v>
      </c>
      <c r="BB47" s="10">
        <v>0.71622036223463481</v>
      </c>
      <c r="BC47" s="10">
        <v>0.94784319429207042</v>
      </c>
      <c r="BD47" s="10">
        <v>1.0177031833148691</v>
      </c>
      <c r="BE47" s="10">
        <v>0.95668798024157387</v>
      </c>
      <c r="BF47" s="10">
        <v>0.6429858709959988</v>
      </c>
      <c r="BG47" s="10">
        <v>0.64090148188810725</v>
      </c>
      <c r="BH47" s="10">
        <v>0.78013776070244578</v>
      </c>
      <c r="BI47" s="10"/>
      <c r="BJ47" s="10">
        <v>0.81634610318337497</v>
      </c>
      <c r="BK47" s="10">
        <v>0.72071185510077962</v>
      </c>
    </row>
    <row r="48" spans="1:63" x14ac:dyDescent="0.25">
      <c r="A48" s="8">
        <v>46141</v>
      </c>
      <c r="B48" s="10">
        <v>1.1950999999999907</v>
      </c>
      <c r="C48" s="8"/>
      <c r="D48" s="10">
        <v>1.1274999999999979</v>
      </c>
      <c r="E48" s="10"/>
      <c r="F48">
        <v>134.39000000000016</v>
      </c>
      <c r="H48" s="10">
        <v>1.2154999999999605</v>
      </c>
      <c r="I48">
        <v>115.34999999999246</v>
      </c>
      <c r="J48" s="10">
        <v>1.1704999999999357</v>
      </c>
      <c r="L48" s="10">
        <v>1.1289999999945186</v>
      </c>
      <c r="O48">
        <v>110.4000000000002</v>
      </c>
      <c r="R48" s="10">
        <v>1.1289999999999949</v>
      </c>
      <c r="S48" s="10">
        <v>2.7449999999999215</v>
      </c>
      <c r="U48" s="10">
        <v>2.0369999999999728</v>
      </c>
      <c r="V48" s="10">
        <v>1.1289999999999845</v>
      </c>
      <c r="W48" s="10">
        <v>1.1289999999945186</v>
      </c>
      <c r="X48" s="10">
        <v>3.5849999999999929</v>
      </c>
      <c r="Y48" s="10">
        <v>0.95499999999111196</v>
      </c>
      <c r="AA48" s="10">
        <v>2.4995000000002907</v>
      </c>
      <c r="AC48" s="10">
        <v>3.1634999999996221</v>
      </c>
      <c r="AD48" s="10">
        <v>0.8411999999998625</v>
      </c>
      <c r="AF48" s="10">
        <v>0.81449999999992129</v>
      </c>
      <c r="AI48" s="10">
        <v>0.76262007743351545</v>
      </c>
      <c r="AJ48" s="10">
        <v>0.60998871681417399</v>
      </c>
      <c r="AK48" s="10">
        <v>0.60650000000005166</v>
      </c>
      <c r="AL48" s="10">
        <v>0.73598506637168626</v>
      </c>
      <c r="AM48" s="10">
        <v>0.69492555309421566</v>
      </c>
      <c r="AN48" s="10">
        <v>0.91746543141592152</v>
      </c>
      <c r="AO48" s="10">
        <v>0.98073196902628612</v>
      </c>
      <c r="AP48" s="10">
        <v>0.91270199115038597</v>
      </c>
      <c r="AQ48" s="10"/>
      <c r="AR48" s="10">
        <v>0.62496479247374903</v>
      </c>
      <c r="AS48" s="10">
        <v>0.61998523230085667</v>
      </c>
      <c r="AT48" s="10">
        <v>0.75544137168159065</v>
      </c>
      <c r="AU48" s="10">
        <v>0.78891963495554507</v>
      </c>
      <c r="AV48" s="10">
        <v>0.69868263274085063</v>
      </c>
      <c r="AX48" s="10">
        <v>0.79179202433616613</v>
      </c>
      <c r="AY48" s="10">
        <v>0.63332216814160824</v>
      </c>
      <c r="AZ48" s="10">
        <v>0.62970000000005355</v>
      </c>
      <c r="BA48" s="10">
        <v>0.7641381637168192</v>
      </c>
      <c r="BB48" s="10">
        <v>0.72150803097020211</v>
      </c>
      <c r="BC48" s="10">
        <v>0.95256056415928425</v>
      </c>
      <c r="BD48" s="10">
        <v>1.0182471902652142</v>
      </c>
      <c r="BE48" s="10">
        <v>0.94761491150436616</v>
      </c>
      <c r="BF48" s="10">
        <v>0.6484511898174139</v>
      </c>
      <c r="BG48" s="10">
        <v>0.64370107300882029</v>
      </c>
      <c r="BH48" s="10">
        <v>0.78433871681434086</v>
      </c>
      <c r="BI48" s="10"/>
      <c r="BJ48" s="10">
        <v>0.8190975995573071</v>
      </c>
      <c r="BK48" s="10">
        <v>0.72540882743101998</v>
      </c>
    </row>
    <row r="49" spans="1:63" x14ac:dyDescent="0.25">
      <c r="A49" s="8">
        <v>46142</v>
      </c>
      <c r="B49" s="10">
        <v>1.2009900000000209</v>
      </c>
      <c r="C49" s="8"/>
      <c r="D49" s="10">
        <v>1.133000000000002</v>
      </c>
      <c r="E49" s="10"/>
      <c r="F49">
        <v>134.99999999999784</v>
      </c>
      <c r="H49" s="10">
        <v>1.2245000000000259</v>
      </c>
      <c r="I49">
        <v>116.39999999999311</v>
      </c>
      <c r="J49" s="10">
        <v>1.195000000000052</v>
      </c>
      <c r="L49" s="10">
        <v>1.1249999999999212</v>
      </c>
      <c r="O49">
        <v>110.99999999999972</v>
      </c>
      <c r="R49" s="10">
        <v>1.1309999999999985</v>
      </c>
      <c r="S49" s="10">
        <v>2.7504999999999562</v>
      </c>
      <c r="U49" s="10">
        <v>2.0519999999999019</v>
      </c>
      <c r="V49" s="10">
        <v>1.1345000000000405</v>
      </c>
      <c r="W49" s="10">
        <v>1.1249999999999212</v>
      </c>
      <c r="X49" s="10">
        <v>3.5909999999996751</v>
      </c>
      <c r="Y49" s="10">
        <v>0.97249999999890802</v>
      </c>
      <c r="AA49" s="10">
        <v>2.5125000000000859</v>
      </c>
      <c r="AC49" s="10">
        <v>3.1654999999998017</v>
      </c>
      <c r="AD49" s="10">
        <v>0.85220000000012108</v>
      </c>
      <c r="AF49" s="10">
        <v>0.81980000000007114</v>
      </c>
      <c r="AI49" s="10">
        <v>0.76729375821282741</v>
      </c>
      <c r="AJ49" s="10">
        <v>0.61253869908014691</v>
      </c>
      <c r="AK49" s="10">
        <v>0.61019999999996433</v>
      </c>
      <c r="AL49" s="10">
        <v>0.74236990801597458</v>
      </c>
      <c r="AM49" s="10">
        <v>0.69572956635673233</v>
      </c>
      <c r="AN49" s="10">
        <v>0.9170373193165946</v>
      </c>
      <c r="AO49" s="10">
        <v>0.97951399474351275</v>
      </c>
      <c r="AP49" s="10">
        <v>0.91209264126156053</v>
      </c>
      <c r="AQ49" s="10"/>
      <c r="AR49" s="10">
        <v>0.62562359120250599</v>
      </c>
      <c r="AS49" s="10">
        <v>0.62409855453353524</v>
      </c>
      <c r="AT49" s="10">
        <v>0.76041130091976339</v>
      </c>
      <c r="AU49" s="10">
        <v>0.7918835085414494</v>
      </c>
      <c r="AV49" s="10">
        <v>0.70368114323029507</v>
      </c>
      <c r="AX49" s="10">
        <v>0.79608927945680263</v>
      </c>
      <c r="AY49" s="10">
        <v>0.63552646736748764</v>
      </c>
      <c r="AZ49" s="10">
        <v>0.63309999999996291</v>
      </c>
      <c r="BA49" s="10">
        <v>0.77023007008343725</v>
      </c>
      <c r="BB49" s="10">
        <v>0.72183937800794373</v>
      </c>
      <c r="BC49" s="10">
        <v>0.95145251861575875</v>
      </c>
      <c r="BD49" s="10">
        <v>1.0162738611473581</v>
      </c>
      <c r="BE49" s="10">
        <v>0.9463222733246377</v>
      </c>
      <c r="BF49" s="10">
        <v>0.64971758398070789</v>
      </c>
      <c r="BG49" s="10">
        <v>0.64752014892687826</v>
      </c>
      <c r="BH49" s="10">
        <v>0.78894853263241915</v>
      </c>
      <c r="BI49" s="10"/>
      <c r="BJ49" s="10">
        <v>0.82160185063518787</v>
      </c>
      <c r="BK49" s="10">
        <v>0.73008936705850491</v>
      </c>
    </row>
    <row r="50" spans="1:63" x14ac:dyDescent="0.25">
      <c r="A50" s="8">
        <v>46146</v>
      </c>
      <c r="B50" s="10">
        <v>1.2008799999999946</v>
      </c>
      <c r="C50" s="8"/>
      <c r="D50" s="10">
        <v>1.1294999999999791</v>
      </c>
      <c r="E50" s="10"/>
      <c r="F50">
        <v>135.28999999999888</v>
      </c>
      <c r="H50" s="10">
        <v>1.2262000000000133</v>
      </c>
      <c r="I50">
        <v>115.94999999999341</v>
      </c>
      <c r="J50" s="10">
        <v>1.1890000000000018</v>
      </c>
      <c r="L50" s="10">
        <v>1.1250000000000029</v>
      </c>
      <c r="O50">
        <v>110.44999999999776</v>
      </c>
      <c r="R50" s="10">
        <v>1.1348999999999807</v>
      </c>
      <c r="S50" s="10">
        <v>2.7569999999999193</v>
      </c>
      <c r="U50" s="10">
        <v>2.0649999999902811</v>
      </c>
      <c r="V50" s="10">
        <v>1.1350000000000475</v>
      </c>
      <c r="W50" s="10">
        <v>1.1250000000000029</v>
      </c>
      <c r="X50" s="10">
        <v>3.6185000000001999</v>
      </c>
      <c r="Y50" s="10">
        <v>0.97899999999931619</v>
      </c>
      <c r="AA50" s="10">
        <v>2.524499999999966</v>
      </c>
      <c r="AC50" s="10">
        <v>3.1755000000000222</v>
      </c>
      <c r="AD50" s="10">
        <v>0.8544999999999735</v>
      </c>
      <c r="AF50" s="10">
        <v>0.82139999999994029</v>
      </c>
      <c r="AI50" s="10">
        <v>0.76450120271129185</v>
      </c>
      <c r="AJ50" s="10">
        <v>0.61093165774238112</v>
      </c>
      <c r="AK50" s="10">
        <v>0.6111999999999439</v>
      </c>
      <c r="AL50" s="10">
        <v>0.74091126175375566</v>
      </c>
      <c r="AM50" s="10">
        <v>0.69246166629791206</v>
      </c>
      <c r="AN50" s="10">
        <v>0.91646586485913972</v>
      </c>
      <c r="AO50" s="10">
        <v>0.98102077410869382</v>
      </c>
      <c r="AP50" s="10">
        <v>0.91252307019460144</v>
      </c>
      <c r="AQ50" s="10"/>
      <c r="AR50" s="10">
        <v>0.62817406516511121</v>
      </c>
      <c r="AS50" s="10">
        <v>0.62483271375460125</v>
      </c>
      <c r="AT50" s="10">
        <v>0.75654878635471245</v>
      </c>
      <c r="AU50" s="10">
        <v>0.79105789818667527</v>
      </c>
      <c r="AV50" s="10">
        <v>0.69934485020458259</v>
      </c>
      <c r="AX50" s="10">
        <v>0.7941456374368443</v>
      </c>
      <c r="AY50" s="10">
        <v>0.63410630532188283</v>
      </c>
      <c r="AZ50" s="10">
        <v>0.63489999999994173</v>
      </c>
      <c r="BA50" s="10">
        <v>0.76964096872948207</v>
      </c>
      <c r="BB50" s="10">
        <v>0.7193126831357074</v>
      </c>
      <c r="BC50" s="10">
        <v>0.95200290837543822</v>
      </c>
      <c r="BD50" s="10">
        <v>1.0190610102775031</v>
      </c>
      <c r="BE50" s="10">
        <v>0.94790722720312914</v>
      </c>
      <c r="BF50" s="10">
        <v>0.65253225453751484</v>
      </c>
      <c r="BG50" s="10">
        <v>0.64906133828991541</v>
      </c>
      <c r="BH50" s="10">
        <v>0.78588485676800868</v>
      </c>
      <c r="BI50" s="10"/>
      <c r="BJ50" s="10">
        <v>0.82106532663325937</v>
      </c>
      <c r="BK50" s="10">
        <v>0.72646277060682185</v>
      </c>
    </row>
    <row r="51" spans="1:63" x14ac:dyDescent="0.25">
      <c r="A51" s="8">
        <v>46147</v>
      </c>
      <c r="B51" s="10">
        <v>1.1989600000000151</v>
      </c>
      <c r="C51" s="8"/>
      <c r="D51" s="10">
        <v>1.1270100000000043</v>
      </c>
      <c r="E51" s="10"/>
      <c r="F51">
        <v>135.14000000000161</v>
      </c>
      <c r="H51" s="10">
        <v>1.2269999999999843</v>
      </c>
      <c r="I51">
        <v>115.40999999998883</v>
      </c>
      <c r="J51" s="10">
        <v>1.1834999999999101</v>
      </c>
      <c r="L51" s="10">
        <v>1.1104999999999505</v>
      </c>
      <c r="O51">
        <v>110.7999999999989</v>
      </c>
      <c r="R51" s="10">
        <v>1.1387999999999905</v>
      </c>
      <c r="S51" s="10">
        <v>2.76600000000002</v>
      </c>
      <c r="U51" s="10">
        <v>2.0749999999921549</v>
      </c>
      <c r="V51" s="10">
        <v>1.1409999999999991</v>
      </c>
      <c r="W51" s="10">
        <v>1.1104999999999505</v>
      </c>
      <c r="X51" s="10">
        <v>3.6385000000000196</v>
      </c>
      <c r="Y51" s="10">
        <v>0.98699999999974874</v>
      </c>
      <c r="AA51" s="10">
        <v>2.53550000000011</v>
      </c>
      <c r="AC51" s="10">
        <v>3.1915000000000604</v>
      </c>
      <c r="AD51" s="10">
        <v>0.85699999999999832</v>
      </c>
      <c r="AF51" s="10">
        <v>0.82000000000000017</v>
      </c>
      <c r="AI51" s="10">
        <v>0.76650481636245982</v>
      </c>
      <c r="AJ51" s="10">
        <v>0.61169615130855459</v>
      </c>
      <c r="AK51" s="10">
        <v>0.61209999999993081</v>
      </c>
      <c r="AL51" s="10">
        <v>0.74234120299094697</v>
      </c>
      <c r="AM51" s="10">
        <v>0.69428320870515836</v>
      </c>
      <c r="AN51" s="10">
        <v>0.91774615130859294</v>
      </c>
      <c r="AO51" s="10">
        <v>0.97926576863841175</v>
      </c>
      <c r="AP51" s="10">
        <v>0.91094803166924321</v>
      </c>
      <c r="AQ51" s="10"/>
      <c r="AR51" s="10">
        <v>0.63121550472832388</v>
      </c>
      <c r="AS51" s="10">
        <v>0.62596547173959105</v>
      </c>
      <c r="AT51" s="10">
        <v>0.75829322630282259</v>
      </c>
      <c r="AU51" s="10">
        <v>0.79233402945722897</v>
      </c>
      <c r="AV51" s="10">
        <v>0.70034093907783923</v>
      </c>
      <c r="AX51" s="10">
        <v>0.79655891796791478</v>
      </c>
      <c r="AY51" s="10">
        <v>0.63568031669232405</v>
      </c>
      <c r="AZ51" s="10">
        <v>0.63609999999992783</v>
      </c>
      <c r="BA51" s="10">
        <v>0.77144786672527577</v>
      </c>
      <c r="BB51" s="10">
        <v>0.72150555310790909</v>
      </c>
      <c r="BC51" s="10">
        <v>0.95373031669236386</v>
      </c>
      <c r="BD51" s="10">
        <v>1.0176620738946147</v>
      </c>
      <c r="BE51" s="10">
        <v>0.9466656476798001</v>
      </c>
      <c r="BF51" s="10">
        <v>0.65596500989656392</v>
      </c>
      <c r="BG51" s="10">
        <v>0.65050912689683682</v>
      </c>
      <c r="BH51" s="10">
        <v>0.78802535737824764</v>
      </c>
      <c r="BI51" s="10"/>
      <c r="BJ51" s="10">
        <v>0.82404292152142733</v>
      </c>
      <c r="BK51" s="10">
        <v>0.72780080272408665</v>
      </c>
    </row>
    <row r="52" spans="1:63" x14ac:dyDescent="0.25">
      <c r="A52" s="8">
        <v>46148</v>
      </c>
      <c r="B52" s="10">
        <v>1.2025000000000103</v>
      </c>
      <c r="C52" s="8"/>
      <c r="D52" s="10">
        <v>1.1375000000000077</v>
      </c>
      <c r="E52" s="10"/>
      <c r="F52">
        <v>135.70000000000155</v>
      </c>
      <c r="H52" s="10">
        <v>1.2323999999999626</v>
      </c>
      <c r="I52">
        <v>115.79999999999897</v>
      </c>
      <c r="J52" s="10">
        <v>1.1829999999998806</v>
      </c>
      <c r="L52" s="10">
        <v>1.1124999999999903</v>
      </c>
      <c r="O52">
        <v>110.90000000000208</v>
      </c>
      <c r="R52" s="10">
        <v>1.1409999999999989</v>
      </c>
      <c r="S52" s="10">
        <v>2.7745000000000575</v>
      </c>
      <c r="U52" s="10">
        <v>2.0804999999979144</v>
      </c>
      <c r="V52" s="10">
        <v>1.1385000000000418</v>
      </c>
      <c r="W52" s="10">
        <v>1.1124999999999903</v>
      </c>
      <c r="X52" s="10">
        <v>3.6814999999997431</v>
      </c>
      <c r="Y52" s="10">
        <v>0.99199999999982691</v>
      </c>
      <c r="AA52" s="10">
        <v>2.5424999999999787</v>
      </c>
      <c r="AC52" s="10">
        <v>3.1989999999997645</v>
      </c>
      <c r="AD52" s="10">
        <v>0.85839999999993766</v>
      </c>
      <c r="AF52" s="10">
        <v>0.82130000000012715</v>
      </c>
      <c r="AI52" s="10">
        <v>0.78227500818151785</v>
      </c>
      <c r="AJ52" s="10">
        <v>0.61818970219264902</v>
      </c>
      <c r="AK52" s="10">
        <v>0.61899999999998945</v>
      </c>
      <c r="AL52" s="10">
        <v>0.75897894622008988</v>
      </c>
      <c r="AM52" s="10">
        <v>0.71137395003673509</v>
      </c>
      <c r="AN52" s="10">
        <v>0.92691316679374902</v>
      </c>
      <c r="AO52" s="10">
        <v>0.97910985055061095</v>
      </c>
      <c r="AP52" s="10">
        <v>0.91820246536497663</v>
      </c>
      <c r="AQ52" s="10"/>
      <c r="AR52" s="10">
        <v>0.63457460681517308</v>
      </c>
      <c r="AS52" s="10">
        <v>0.63072542595014136</v>
      </c>
      <c r="AT52" s="10">
        <v>0.77970906512484917</v>
      </c>
      <c r="AU52" s="10">
        <v>0.81301221590920092</v>
      </c>
      <c r="AV52" s="10">
        <v>0.72217792080226728</v>
      </c>
      <c r="AX52" s="10">
        <v>0.81134176939020108</v>
      </c>
      <c r="AY52" s="10">
        <v>0.64115959419657609</v>
      </c>
      <c r="AZ52" s="10">
        <v>0.64199999999998891</v>
      </c>
      <c r="BA52" s="10">
        <v>0.78718010254167636</v>
      </c>
      <c r="BB52" s="10">
        <v>0.73780626158898854</v>
      </c>
      <c r="BC52" s="10">
        <v>0.96135420530143278</v>
      </c>
      <c r="BD52" s="10">
        <v>1.0154903458053186</v>
      </c>
      <c r="BE52" s="10">
        <v>0.95231984291488692</v>
      </c>
      <c r="BF52" s="10">
        <v>0.65838526649188667</v>
      </c>
      <c r="BG52" s="10">
        <v>0.65439165574480951</v>
      </c>
      <c r="BH52" s="10">
        <v>0.8086804843459664</v>
      </c>
      <c r="BI52" s="10"/>
      <c r="BJ52" s="10">
        <v>0.84392272727284157</v>
      </c>
      <c r="BK52" s="10">
        <v>0.74901167230219001</v>
      </c>
    </row>
    <row r="53" spans="1:63" x14ac:dyDescent="0.25">
      <c r="A53" s="8">
        <v>46149</v>
      </c>
      <c r="B53" s="10">
        <v>1.2080000000000171</v>
      </c>
      <c r="C53" s="8"/>
      <c r="D53" s="10">
        <v>1.1385000000000032</v>
      </c>
      <c r="E53" s="10"/>
      <c r="F53">
        <v>136.19999999999476</v>
      </c>
      <c r="H53" s="10">
        <v>1.2345000000000192</v>
      </c>
      <c r="I53">
        <v>116.4999999999971</v>
      </c>
      <c r="J53" s="10">
        <v>1.1814999999999736</v>
      </c>
      <c r="L53" s="10">
        <v>1.1150000000000697</v>
      </c>
      <c r="O53">
        <v>111.15000000000531</v>
      </c>
      <c r="R53" s="10">
        <v>1.1470099999999774</v>
      </c>
      <c r="S53" s="10">
        <v>2.787500000000001</v>
      </c>
      <c r="U53" s="10">
        <v>2.0850000000000066</v>
      </c>
      <c r="V53" s="10">
        <v>1.1445000000000323</v>
      </c>
      <c r="W53" s="10">
        <v>1.1150000000000697</v>
      </c>
      <c r="X53" s="10">
        <v>3.6824999999999304</v>
      </c>
      <c r="Y53" s="10">
        <v>0.98799999999967525</v>
      </c>
      <c r="AA53" s="10">
        <v>2.5425000000003042</v>
      </c>
      <c r="AC53" s="10">
        <v>3.193999999999753</v>
      </c>
      <c r="AD53" s="10">
        <v>0.85800000000009957</v>
      </c>
      <c r="AF53" s="10">
        <v>0.8215000000000644</v>
      </c>
      <c r="AI53" s="10">
        <v>0.78113411996064608</v>
      </c>
      <c r="AJ53" s="10">
        <v>0.6158864306784797</v>
      </c>
      <c r="AK53" s="10">
        <v>0.61710000000003817</v>
      </c>
      <c r="AL53" s="10">
        <v>0.75585142576223641</v>
      </c>
      <c r="AM53" s="10">
        <v>0.71128646345307811</v>
      </c>
      <c r="AN53" s="10">
        <v>0.9184022943297685</v>
      </c>
      <c r="AO53" s="10">
        <v>0.97759750901323461</v>
      </c>
      <c r="AP53" s="10">
        <v>0.91327833497212496</v>
      </c>
      <c r="AQ53" s="10"/>
      <c r="AR53" s="10">
        <v>0.62821535772802262</v>
      </c>
      <c r="AS53" s="10">
        <v>0.62768502130442505</v>
      </c>
      <c r="AT53" s="10">
        <v>0.77445948869214287</v>
      </c>
      <c r="AU53" s="10">
        <v>0.80837200917737451</v>
      </c>
      <c r="AV53" s="10">
        <v>0.71465748934637874</v>
      </c>
      <c r="AX53" s="10">
        <v>0.81164024909863286</v>
      </c>
      <c r="AY53" s="10">
        <v>0.63993903638152849</v>
      </c>
      <c r="AZ53" s="10">
        <v>0.64120000000003974</v>
      </c>
      <c r="BA53" s="10">
        <v>0.78537017371373519</v>
      </c>
      <c r="BB53" s="10">
        <v>0.73906478749977922</v>
      </c>
      <c r="BC53" s="10">
        <v>0.95426924505630795</v>
      </c>
      <c r="BD53" s="10">
        <v>1.0157762482244139</v>
      </c>
      <c r="BE53" s="10">
        <v>0.94894517644486553</v>
      </c>
      <c r="BF53" s="10">
        <v>0.65359676679410694</v>
      </c>
      <c r="BG53" s="10">
        <v>0.65219840489450231</v>
      </c>
      <c r="BH53" s="10">
        <v>0.80470494919689206</v>
      </c>
      <c r="BI53" s="10"/>
      <c r="BJ53" s="10">
        <v>0.83994187698028289</v>
      </c>
      <c r="BK53" s="10">
        <v>0.74256746421795183</v>
      </c>
    </row>
    <row r="54" spans="1:63" x14ac:dyDescent="0.25">
      <c r="A54" s="8">
        <v>46150</v>
      </c>
      <c r="B54" s="10">
        <v>1.2100000000000291</v>
      </c>
      <c r="C54" s="8"/>
      <c r="D54" s="10">
        <v>1.1410000000000238</v>
      </c>
      <c r="E54" s="10"/>
      <c r="F54">
        <v>136.59999999999917</v>
      </c>
      <c r="H54" s="10">
        <v>1.2383899999999399</v>
      </c>
      <c r="I54">
        <v>116.89999999999712</v>
      </c>
      <c r="J54" s="10">
        <v>1.2050000000000294</v>
      </c>
      <c r="L54" s="10">
        <v>1.1230000000000686</v>
      </c>
      <c r="O54">
        <v>111.50000000000003</v>
      </c>
      <c r="R54" s="10">
        <v>1.1539999999999726</v>
      </c>
      <c r="S54" s="10">
        <v>2.8009999999999722</v>
      </c>
      <c r="U54" s="10">
        <v>2.0940000000000434</v>
      </c>
      <c r="V54" s="10">
        <v>1.1524999999999681</v>
      </c>
      <c r="W54" s="10">
        <v>1.1230000000000686</v>
      </c>
      <c r="X54" s="10">
        <v>3.6849999999998757</v>
      </c>
      <c r="Y54" s="10">
        <v>0.9919999999998268</v>
      </c>
      <c r="AA54" s="10">
        <v>2.5540000000001157</v>
      </c>
      <c r="AC54" s="10">
        <v>3.1964999999997015</v>
      </c>
      <c r="AD54" s="10">
        <v>0.85920000000004093</v>
      </c>
      <c r="AF54" s="10">
        <v>0.82299999999986528</v>
      </c>
      <c r="AI54" s="10">
        <v>0.78393896457768575</v>
      </c>
      <c r="AJ54" s="10">
        <v>0.61649046321530432</v>
      </c>
      <c r="AK54" s="10">
        <v>0.61749999999998839</v>
      </c>
      <c r="AL54" s="10">
        <v>0.75782561307933316</v>
      </c>
      <c r="AM54" s="10">
        <v>0.71205994550245932</v>
      </c>
      <c r="AN54" s="10">
        <v>0.92601444141678613</v>
      </c>
      <c r="AO54" s="10">
        <v>0.98059673024509664</v>
      </c>
      <c r="AP54" s="10">
        <v>0.91793814713895339</v>
      </c>
      <c r="AQ54" s="10"/>
      <c r="AR54" s="10">
        <v>0.6304589235127378</v>
      </c>
      <c r="AS54" s="10">
        <v>0.62927792915527248</v>
      </c>
      <c r="AT54" s="10">
        <v>0.77875667574938434</v>
      </c>
      <c r="AU54" s="10">
        <v>0.81563841961851447</v>
      </c>
      <c r="AV54" s="10">
        <v>0.72215531335053518</v>
      </c>
      <c r="AX54" s="10">
        <v>0.81618519891011199</v>
      </c>
      <c r="AY54" s="10">
        <v>0.64184893732974757</v>
      </c>
      <c r="AZ54" s="10">
        <v>0.64289999999998781</v>
      </c>
      <c r="BA54" s="10">
        <v>0.78899771117198914</v>
      </c>
      <c r="BB54" s="10">
        <v>0.74134953678304627</v>
      </c>
      <c r="BC54" s="10">
        <v>0.96410475204348467</v>
      </c>
      <c r="BD54" s="10">
        <v>1.0209322070843281</v>
      </c>
      <c r="BE54" s="10">
        <v>0.95569625068118713</v>
      </c>
      <c r="BF54" s="10">
        <v>0.65493484419262404</v>
      </c>
      <c r="BG54" s="10">
        <v>0.65516239782012098</v>
      </c>
      <c r="BH54" s="10">
        <v>0.81078974386927793</v>
      </c>
      <c r="BI54" s="10"/>
      <c r="BJ54" s="10">
        <v>0.84918856675747845</v>
      </c>
      <c r="BK54" s="10">
        <v>0.75186016348673523</v>
      </c>
    </row>
    <row r="55" spans="1:63" x14ac:dyDescent="0.25">
      <c r="A55" s="8">
        <v>46153</v>
      </c>
      <c r="B55" s="10">
        <v>1.2105100000000018</v>
      </c>
      <c r="C55" s="8"/>
      <c r="D55" s="10">
        <v>1.1460000000000159</v>
      </c>
      <c r="E55" s="10"/>
      <c r="F55">
        <v>137.1300000000023</v>
      </c>
      <c r="H55" s="10">
        <v>1.2444999999999686</v>
      </c>
      <c r="I55">
        <v>117.2799999999897</v>
      </c>
      <c r="J55" s="10">
        <v>1.19399999999994</v>
      </c>
      <c r="L55" s="10">
        <v>1.1349999999999283</v>
      </c>
      <c r="O55">
        <v>111.80000000000103</v>
      </c>
      <c r="R55" s="10">
        <v>1.1534999999999949</v>
      </c>
      <c r="S55" s="10">
        <v>2.803499999999977</v>
      </c>
      <c r="U55" s="10">
        <v>2.1004999999999465</v>
      </c>
      <c r="V55" s="10">
        <v>1.1645000000000527</v>
      </c>
      <c r="W55" s="10">
        <v>1.1349999999999283</v>
      </c>
      <c r="X55" s="10">
        <v>3.7349999999999941</v>
      </c>
      <c r="Y55" s="10">
        <v>0.99249999999963645</v>
      </c>
      <c r="AA55" s="10">
        <v>2.5604999999998448</v>
      </c>
      <c r="AC55" s="10">
        <v>3.1980000000001705</v>
      </c>
      <c r="AD55" s="10">
        <v>0.86100000000001431</v>
      </c>
      <c r="AF55" s="10">
        <v>0.82250000000001322</v>
      </c>
      <c r="AI55" s="10">
        <v>0.78468897379916958</v>
      </c>
      <c r="AJ55" s="10">
        <v>0.61747790393010904</v>
      </c>
      <c r="AK55" s="10">
        <v>0.61910000000001442</v>
      </c>
      <c r="AL55" s="10">
        <v>0.7610334061133649</v>
      </c>
      <c r="AM55" s="10">
        <v>0.71493884279317799</v>
      </c>
      <c r="AN55" s="10">
        <v>0.92324301310052137</v>
      </c>
      <c r="AO55" s="10">
        <v>0.98339574235799954</v>
      </c>
      <c r="AP55" s="10">
        <v>0.9204043449780831</v>
      </c>
      <c r="AQ55" s="10"/>
      <c r="AR55" s="10">
        <v>0.63266528248275944</v>
      </c>
      <c r="AS55" s="10">
        <v>0.62991397379914316</v>
      </c>
      <c r="AT55" s="10">
        <v>0.7848917358076859</v>
      </c>
      <c r="AU55" s="10">
        <v>0.81855022925761711</v>
      </c>
      <c r="AV55" s="10">
        <v>0.72723973799049713</v>
      </c>
      <c r="AX55" s="10">
        <v>0.81472794759829792</v>
      </c>
      <c r="AY55" s="10">
        <v>0.64111580786023936</v>
      </c>
      <c r="AZ55" s="10">
        <v>0.64280000000001503</v>
      </c>
      <c r="BA55" s="10">
        <v>0.79016681222689555</v>
      </c>
      <c r="BB55" s="10">
        <v>0.7423076855878773</v>
      </c>
      <c r="BC55" s="10">
        <v>0.95858602620096145</v>
      </c>
      <c r="BD55" s="10">
        <v>1.0210414847160754</v>
      </c>
      <c r="BE55" s="10">
        <v>0.95563868995624601</v>
      </c>
      <c r="BF55" s="10">
        <v>0.65688066877933826</v>
      </c>
      <c r="BG55" s="10">
        <v>0.65402794759827043</v>
      </c>
      <c r="BH55" s="10">
        <v>0.81493847161553956</v>
      </c>
      <c r="BI55" s="10"/>
      <c r="BJ55" s="10">
        <v>0.84988545851525832</v>
      </c>
      <c r="BK55" s="10">
        <v>0.7550794759817343</v>
      </c>
    </row>
    <row r="56" spans="1:63" x14ac:dyDescent="0.25">
      <c r="A56" s="8">
        <v>46154</v>
      </c>
      <c r="B56" s="10">
        <v>1.2119899999999943</v>
      </c>
      <c r="C56" s="8"/>
      <c r="D56" s="10">
        <v>1.143049999999999</v>
      </c>
      <c r="E56" s="10"/>
      <c r="F56">
        <v>137.11000000000124</v>
      </c>
      <c r="H56" s="10">
        <v>1.244400000000033</v>
      </c>
      <c r="I56">
        <v>117.19999999999644</v>
      </c>
      <c r="J56" s="10">
        <v>1.1960000000000077</v>
      </c>
      <c r="L56" s="10">
        <v>1.1449999999956426</v>
      </c>
      <c r="O56">
        <v>112.20000000000037</v>
      </c>
      <c r="R56" s="10">
        <v>1.1540000000000215</v>
      </c>
      <c r="S56" s="10">
        <v>2.8024999999999651</v>
      </c>
      <c r="U56" s="10">
        <v>2.0959999999999912</v>
      </c>
      <c r="V56" s="10">
        <v>1.1645000000000121</v>
      </c>
      <c r="W56" s="10">
        <v>1.1449999999956426</v>
      </c>
      <c r="X56" s="10">
        <v>3.7299999999998059</v>
      </c>
      <c r="Y56" s="10">
        <v>0.98499999999896559</v>
      </c>
      <c r="AA56" s="10">
        <v>2.5529999999998187</v>
      </c>
      <c r="AC56" s="10">
        <v>3.2000000000002284</v>
      </c>
      <c r="AD56" s="10">
        <v>0.86499999999996846</v>
      </c>
      <c r="AF56" s="10">
        <v>0.82250000000003676</v>
      </c>
      <c r="AI56" s="10">
        <v>0.78271555996026432</v>
      </c>
      <c r="AJ56" s="10">
        <v>0.61964981830200916</v>
      </c>
      <c r="AK56" s="10">
        <v>0.61699999999994981</v>
      </c>
      <c r="AL56" s="10">
        <v>0.75832364277048669</v>
      </c>
      <c r="AM56" s="10">
        <v>0.7106948573925399</v>
      </c>
      <c r="AN56" s="10">
        <v>0.92519425173434133</v>
      </c>
      <c r="AO56" s="10">
        <v>0.98281081378694524</v>
      </c>
      <c r="AP56" s="10">
        <v>0.92098172007481582</v>
      </c>
      <c r="AQ56" s="10"/>
      <c r="AR56" s="10">
        <v>0.62997425110133076</v>
      </c>
      <c r="AS56" s="10">
        <v>0.63052086774587834</v>
      </c>
      <c r="AT56" s="10">
        <v>0.78006574165858278</v>
      </c>
      <c r="AU56" s="10">
        <v>0.81634786917748203</v>
      </c>
      <c r="AV56" s="10">
        <v>0.71884814447630385</v>
      </c>
      <c r="AX56" s="10">
        <v>0.81189296332993377</v>
      </c>
      <c r="AY56" s="10">
        <v>0.64274859596966916</v>
      </c>
      <c r="AZ56" s="10">
        <v>0.63999999999994794</v>
      </c>
      <c r="BA56" s="10">
        <v>0.78659178504556149</v>
      </c>
      <c r="BB56" s="10">
        <v>0.73718753441041418</v>
      </c>
      <c r="BC56" s="10">
        <v>0.95968285431114808</v>
      </c>
      <c r="BD56" s="10">
        <v>1.0194471974451296</v>
      </c>
      <c r="BE56" s="10">
        <v>0.95531329148765343</v>
      </c>
      <c r="BF56" s="10">
        <v>0.65503818281939286</v>
      </c>
      <c r="BG56" s="10">
        <v>0.65402488712700513</v>
      </c>
      <c r="BH56" s="10">
        <v>0.80914436736060469</v>
      </c>
      <c r="BI56" s="10"/>
      <c r="BJ56" s="10">
        <v>0.8467789890981986</v>
      </c>
      <c r="BK56" s="10">
        <v>0.74564475277931042</v>
      </c>
    </row>
    <row r="57" spans="1:63" x14ac:dyDescent="0.25">
      <c r="A57" s="8">
        <v>46155</v>
      </c>
      <c r="B57" s="10">
        <v>1.2150000000000061</v>
      </c>
      <c r="C57" s="8"/>
      <c r="D57" s="10">
        <v>1.1475000000000135</v>
      </c>
      <c r="E57" s="10"/>
      <c r="F57">
        <v>137.4979999999918</v>
      </c>
      <c r="H57" s="10">
        <v>1.2449999999999917</v>
      </c>
      <c r="I57">
        <v>117.49999999999643</v>
      </c>
      <c r="J57" s="10">
        <v>1.1940000000000046</v>
      </c>
      <c r="L57" s="10">
        <v>1.1395000000000084</v>
      </c>
      <c r="O57">
        <v>112.15000000000126</v>
      </c>
      <c r="R57" s="10">
        <v>1.1549999999999958</v>
      </c>
      <c r="S57" s="10">
        <v>2.8029999999999546</v>
      </c>
      <c r="U57" s="10">
        <v>2.0914999999998587</v>
      </c>
      <c r="V57" s="10">
        <v>1.1644999999999777</v>
      </c>
      <c r="W57" s="10">
        <v>1.1395000000000084</v>
      </c>
      <c r="X57" s="10">
        <v>3.7284999999997117</v>
      </c>
      <c r="Y57" s="10">
        <v>0.98299999999835064</v>
      </c>
      <c r="AA57" s="10">
        <v>2.5479999999997798</v>
      </c>
      <c r="AC57" s="10">
        <v>3.2164999999999164</v>
      </c>
      <c r="AD57" s="10">
        <v>0.86799999999991462</v>
      </c>
      <c r="AF57" s="10">
        <v>0.82799999999998863</v>
      </c>
      <c r="AI57" s="10">
        <v>0.7737047828476844</v>
      </c>
      <c r="AJ57" s="10">
        <v>0.61855909840564538</v>
      </c>
      <c r="AK57" s="10">
        <v>0.61350000000007654</v>
      </c>
      <c r="AL57" s="10">
        <v>0.75117493128086776</v>
      </c>
      <c r="AM57" s="10">
        <v>0.70254013193727827</v>
      </c>
      <c r="AN57" s="10">
        <v>0.91704590434315092</v>
      </c>
      <c r="AO57" s="10">
        <v>0.97971126992840241</v>
      </c>
      <c r="AP57" s="10">
        <v>0.91522462891708134</v>
      </c>
      <c r="AQ57" s="10"/>
      <c r="AR57" s="10">
        <v>0.62658620120943187</v>
      </c>
      <c r="AS57" s="10">
        <v>0.62530456294666237</v>
      </c>
      <c r="AT57" s="10">
        <v>0.77451423859281965</v>
      </c>
      <c r="AU57" s="10">
        <v>0.80986047278726248</v>
      </c>
      <c r="AV57" s="10">
        <v>0.71562633314876578</v>
      </c>
      <c r="AX57" s="10">
        <v>0.80447641561293859</v>
      </c>
      <c r="AY57" s="10">
        <v>0.64316030786138745</v>
      </c>
      <c r="AZ57" s="10">
        <v>0.63790000000007951</v>
      </c>
      <c r="BA57" s="10">
        <v>0.78105051126987046</v>
      </c>
      <c r="BB57" s="10">
        <v>0.73048141835825564</v>
      </c>
      <c r="BC57" s="10">
        <v>0.95351847168784998</v>
      </c>
      <c r="BD57" s="10">
        <v>1.0186761517315859</v>
      </c>
      <c r="BE57" s="10">
        <v>0.95162476085771164</v>
      </c>
      <c r="BF57" s="10">
        <v>0.65150666300162441</v>
      </c>
      <c r="BG57" s="10">
        <v>0.65017405167673337</v>
      </c>
      <c r="BH57" s="10">
        <v>0.80531806487100188</v>
      </c>
      <c r="BI57" s="10"/>
      <c r="BJ57" s="10">
        <v>0.84207008246290915</v>
      </c>
      <c r="BK57" s="10">
        <v>0.74408808136201743</v>
      </c>
    </row>
    <row r="58" spans="1:63" x14ac:dyDescent="0.25">
      <c r="A58" s="8">
        <v>46156</v>
      </c>
      <c r="B58" s="10">
        <v>1.2180000000000109</v>
      </c>
      <c r="C58" s="8"/>
      <c r="D58" s="10">
        <v>1.1519999999999697</v>
      </c>
      <c r="E58" s="10"/>
      <c r="F58">
        <v>138.00000000000119</v>
      </c>
      <c r="H58" s="10">
        <v>1.2516100000000099</v>
      </c>
      <c r="I58">
        <v>118.48000000000083</v>
      </c>
      <c r="J58" s="10">
        <v>1.209999999999964</v>
      </c>
      <c r="L58" s="10">
        <v>1.135999999999932</v>
      </c>
      <c r="O58">
        <v>112.60000000000352</v>
      </c>
      <c r="R58" s="10">
        <v>1.1555000000000009</v>
      </c>
      <c r="S58" s="10">
        <v>2.8039999999999732</v>
      </c>
      <c r="U58" s="10">
        <v>2.0959999999923111</v>
      </c>
      <c r="V58" s="10">
        <v>1.1599999999999886</v>
      </c>
      <c r="W58" s="10">
        <v>1.135999999999932</v>
      </c>
      <c r="X58" s="10">
        <v>3.7360000000002209</v>
      </c>
      <c r="Y58" s="10">
        <v>0.99299999999962563</v>
      </c>
      <c r="AA58" s="10">
        <v>2.5714999999999502</v>
      </c>
      <c r="AC58" s="10">
        <v>3.2560000000002662</v>
      </c>
      <c r="AD58" s="10">
        <v>0.88199999999996603</v>
      </c>
      <c r="AF58" s="10">
        <v>0.83999999999991859</v>
      </c>
      <c r="AI58" s="10">
        <v>0.77446531153340703</v>
      </c>
      <c r="AJ58" s="10">
        <v>0.6139606716747763</v>
      </c>
      <c r="AK58" s="10">
        <v>0.61200000000006571</v>
      </c>
      <c r="AL58" s="10">
        <v>0.74978789217865138</v>
      </c>
      <c r="AM58" s="10">
        <v>0.70131197525059941</v>
      </c>
      <c r="AN58" s="10">
        <v>0.91914935925752095</v>
      </c>
      <c r="AO58" s="10">
        <v>0.97621166592979802</v>
      </c>
      <c r="AP58" s="10">
        <v>0.91543084401235031</v>
      </c>
      <c r="AQ58" s="10"/>
      <c r="AR58" s="10">
        <v>0.62318392581141846</v>
      </c>
      <c r="AS58" s="10">
        <v>0.62403446752104874</v>
      </c>
      <c r="AT58" s="10">
        <v>0.77074679628825227</v>
      </c>
      <c r="AU58" s="10">
        <v>0.80894608926207245</v>
      </c>
      <c r="AV58" s="10">
        <v>0.71395492708625397</v>
      </c>
      <c r="AX58" s="10">
        <v>0.80736743261162369</v>
      </c>
      <c r="AY58" s="10">
        <v>0.64004396818383558</v>
      </c>
      <c r="AZ58" s="10">
        <v>0.63800000000006851</v>
      </c>
      <c r="BA58" s="10">
        <v>0.78164162616009747</v>
      </c>
      <c r="BB58" s="10">
        <v>0.73110627485274915</v>
      </c>
      <c r="BC58" s="10">
        <v>0.95819818824558556</v>
      </c>
      <c r="BD58" s="10">
        <v>1.0176847105608029</v>
      </c>
      <c r="BE58" s="10">
        <v>0.9543216968625482</v>
      </c>
      <c r="BF58" s="10">
        <v>0.64841651578712967</v>
      </c>
      <c r="BG58" s="10">
        <v>0.65054573574906727</v>
      </c>
      <c r="BH58" s="10">
        <v>0.80349094122860298</v>
      </c>
      <c r="BI58" s="10"/>
      <c r="BJ58" s="10">
        <v>0.84331307998235661</v>
      </c>
      <c r="BK58" s="10">
        <v>0.74428634555723872</v>
      </c>
    </row>
    <row r="59" spans="1:63" x14ac:dyDescent="0.25">
      <c r="A59" s="8">
        <v>46157</v>
      </c>
      <c r="B59" s="10">
        <v>1.2237899999999835</v>
      </c>
      <c r="C59" s="8"/>
      <c r="D59" s="10">
        <v>1.1564899999999947</v>
      </c>
      <c r="E59" s="10"/>
      <c r="F59">
        <v>138.10000000000443</v>
      </c>
      <c r="H59" s="10">
        <v>1.2545000000000366</v>
      </c>
      <c r="I59">
        <v>118.64999999999289</v>
      </c>
      <c r="J59" s="10">
        <v>1.2139999999999558</v>
      </c>
      <c r="L59" s="10">
        <v>1.1350000000000104</v>
      </c>
      <c r="O59">
        <v>112.6499999999979</v>
      </c>
      <c r="R59" s="10">
        <v>1.1584999999999721</v>
      </c>
      <c r="S59" s="10">
        <v>2.8119999999999736</v>
      </c>
      <c r="U59" s="10">
        <v>2.1000000000000245</v>
      </c>
      <c r="V59" s="10">
        <v>1.1609999999994896</v>
      </c>
      <c r="W59" s="10">
        <v>1.1350000000000104</v>
      </c>
      <c r="X59" s="10">
        <v>3.7454999999997067</v>
      </c>
      <c r="Y59" s="10">
        <v>0.99599999999946687</v>
      </c>
      <c r="AA59" s="10">
        <v>2.5724999999999358</v>
      </c>
      <c r="AC59" s="10">
        <v>3.2720000000004319</v>
      </c>
      <c r="AD59" s="10">
        <v>0.88379999999982251</v>
      </c>
      <c r="AF59" s="10">
        <v>0.85249999999989068</v>
      </c>
      <c r="AI59" s="10">
        <v>0.76852244582047635</v>
      </c>
      <c r="AJ59" s="10">
        <v>0.61061609907115499</v>
      </c>
      <c r="AK59" s="10">
        <v>0.6090000000000001</v>
      </c>
      <c r="AL59" s="10">
        <v>0.74246284829718834</v>
      </c>
      <c r="AM59" s="10">
        <v>0.6944512383846474</v>
      </c>
      <c r="AN59" s="10">
        <v>0.91848297213621122</v>
      </c>
      <c r="AO59" s="10">
        <v>0.97814396284809224</v>
      </c>
      <c r="AP59" s="10">
        <v>0.91646284829722358</v>
      </c>
      <c r="AQ59" s="10"/>
      <c r="AR59" s="10">
        <v>0.62252735108849599</v>
      </c>
      <c r="AS59" s="10">
        <v>0.62145743034056133</v>
      </c>
      <c r="AT59" s="10">
        <v>0.76434752322003152</v>
      </c>
      <c r="AU59" s="10">
        <v>0.80198916408666321</v>
      </c>
      <c r="AV59" s="10">
        <v>0.70583126934681728</v>
      </c>
      <c r="AX59" s="10">
        <v>0.80007098628929729</v>
      </c>
      <c r="AY59" s="10">
        <v>0.63568244139755714</v>
      </c>
      <c r="AZ59" s="10">
        <v>0.63400000000000012</v>
      </c>
      <c r="BA59" s="10">
        <v>0.77294161875273804</v>
      </c>
      <c r="BB59" s="10">
        <v>0.72295908889304838</v>
      </c>
      <c r="BC59" s="10">
        <v>0.95618752764262394</v>
      </c>
      <c r="BD59" s="10">
        <v>1.0182976559042536</v>
      </c>
      <c r="BE59" s="10">
        <v>0.95408447589563183</v>
      </c>
      <c r="BF59" s="10">
        <v>0.64767377610783416</v>
      </c>
      <c r="BG59" s="10">
        <v>0.64696881910659432</v>
      </c>
      <c r="BH59" s="10">
        <v>0.79572467934564872</v>
      </c>
      <c r="BI59" s="10"/>
      <c r="BJ59" s="10">
        <v>0.83491154356476938</v>
      </c>
      <c r="BK59" s="10">
        <v>0.73480628040374751</v>
      </c>
    </row>
    <row r="60" spans="1:63" x14ac:dyDescent="0.25">
      <c r="A60" s="8">
        <v>46160</v>
      </c>
      <c r="B60" s="10">
        <v>1.2235100000000017</v>
      </c>
      <c r="C60" s="8"/>
      <c r="D60" s="10">
        <v>1.1559800000000222</v>
      </c>
      <c r="E60" s="10"/>
      <c r="F60">
        <v>138.4000000000035</v>
      </c>
      <c r="H60" s="10">
        <v>1.2525000000000128</v>
      </c>
      <c r="I60">
        <v>118.4499999999957</v>
      </c>
      <c r="J60" s="10">
        <v>1.2149999999999803</v>
      </c>
      <c r="L60" s="10">
        <v>1.1325000000000338</v>
      </c>
      <c r="O60">
        <v>112.84999999999911</v>
      </c>
      <c r="R60" s="10">
        <v>1.1604000000000068</v>
      </c>
      <c r="S60" s="10">
        <v>2.8170000000000486</v>
      </c>
      <c r="U60" s="10">
        <v>2.0984999999935963</v>
      </c>
      <c r="V60" s="10">
        <v>1.1600000000000166</v>
      </c>
      <c r="W60" s="10">
        <v>1.1325000000000338</v>
      </c>
      <c r="X60" s="10">
        <v>3.7479999999999651</v>
      </c>
      <c r="Y60" s="10">
        <v>0.99599999999930688</v>
      </c>
      <c r="AA60" s="10">
        <v>2.5759999999999836</v>
      </c>
      <c r="AC60" s="10">
        <v>3.2779999999998988</v>
      </c>
      <c r="AD60" s="10">
        <v>0.88549999999997342</v>
      </c>
      <c r="AF60" s="10">
        <v>0.84900000000004183</v>
      </c>
      <c r="AI60" s="10">
        <v>0.76861752679852213</v>
      </c>
      <c r="AJ60" s="10">
        <v>0.61107857221791173</v>
      </c>
      <c r="AK60" s="10">
        <v>0.61000000000000754</v>
      </c>
      <c r="AL60" s="10">
        <v>0.74488893800441147</v>
      </c>
      <c r="AM60" s="10">
        <v>0.6916344347376383</v>
      </c>
      <c r="AN60" s="10">
        <v>0.93013371643260201</v>
      </c>
      <c r="AO60" s="10">
        <v>0.97947839540266701</v>
      </c>
      <c r="AP60" s="10">
        <v>0.91746049287217235</v>
      </c>
      <c r="AQ60" s="10"/>
      <c r="AR60" s="10">
        <v>0.62395005524864655</v>
      </c>
      <c r="AS60" s="10">
        <v>0.62199911592448243</v>
      </c>
      <c r="AT60" s="10">
        <v>0.7644380594542356</v>
      </c>
      <c r="AU60" s="10">
        <v>0.80117692562703424</v>
      </c>
      <c r="AV60" s="10">
        <v>0.70781301801045171</v>
      </c>
      <c r="AX60" s="10">
        <v>0.79822820201125211</v>
      </c>
      <c r="AY60" s="10">
        <v>0.63462012377056909</v>
      </c>
      <c r="AZ60" s="10">
        <v>0.63350000000000795</v>
      </c>
      <c r="BA60" s="10">
        <v>0.7735854790586798</v>
      </c>
      <c r="BB60" s="10">
        <v>0.71827936787917035</v>
      </c>
      <c r="BC60" s="10">
        <v>0.96596673665582533</v>
      </c>
      <c r="BD60" s="10">
        <v>1.0172123991599833</v>
      </c>
      <c r="BE60" s="10">
        <v>0.95280528235167405</v>
      </c>
      <c r="BF60" s="10">
        <v>0.64820000000002898</v>
      </c>
      <c r="BG60" s="10">
        <v>0.64596137694780265</v>
      </c>
      <c r="BH60" s="10">
        <v>0.79388772240042338</v>
      </c>
      <c r="BI60" s="10"/>
      <c r="BJ60" s="10">
        <v>0.83204193833561679</v>
      </c>
      <c r="BK60" s="10">
        <v>0.73508122444200197</v>
      </c>
    </row>
    <row r="61" spans="1:63" x14ac:dyDescent="0.25">
      <c r="A61" s="8">
        <v>46161</v>
      </c>
      <c r="B61" s="10">
        <v>1.2226000000000317</v>
      </c>
      <c r="C61" s="8"/>
      <c r="D61" s="10">
        <v>1.1531000000000042</v>
      </c>
      <c r="E61" s="10"/>
      <c r="F61">
        <v>138.41199999999841</v>
      </c>
      <c r="H61" s="10">
        <v>1.2519999999999556</v>
      </c>
      <c r="I61">
        <v>118.54999999999771</v>
      </c>
      <c r="J61" s="10">
        <v>1.2174899999999971</v>
      </c>
      <c r="L61" s="10">
        <v>1.1349999999999771</v>
      </c>
      <c r="O61">
        <v>112.95000000000435</v>
      </c>
      <c r="R61" s="10">
        <v>1.164499999999993</v>
      </c>
      <c r="S61" s="10">
        <v>2.8274999999999562</v>
      </c>
      <c r="U61" s="10">
        <v>2.1009999999926139</v>
      </c>
      <c r="V61" s="10">
        <v>1.1619999999999262</v>
      </c>
      <c r="W61" s="10">
        <v>1.1349999999999771</v>
      </c>
      <c r="X61" s="10">
        <v>3.7389999999999355</v>
      </c>
      <c r="Y61" s="10">
        <v>0.99539999999916662</v>
      </c>
      <c r="AA61" s="10">
        <v>2.5769999999999298</v>
      </c>
      <c r="AC61" s="10">
        <v>3.2770000000004291</v>
      </c>
      <c r="AD61" s="10">
        <v>0.88600000000002677</v>
      </c>
      <c r="AF61" s="10">
        <v>0.84989999999991728</v>
      </c>
      <c r="AI61" s="10">
        <v>0.76496070562270535</v>
      </c>
      <c r="AJ61" s="10">
        <v>0.60860123484012008</v>
      </c>
      <c r="AK61" s="10">
        <v>0.60839999999998173</v>
      </c>
      <c r="AL61" s="10">
        <v>0.73973927232640502</v>
      </c>
      <c r="AM61" s="10">
        <v>0.68668035280270634</v>
      </c>
      <c r="AN61" s="10">
        <v>0.91696008820283181</v>
      </c>
      <c r="AO61" s="10">
        <v>0.977263461962249</v>
      </c>
      <c r="AP61" s="10">
        <v>0.91561852260188747</v>
      </c>
      <c r="AQ61" s="10"/>
      <c r="AR61" s="10">
        <v>0.62246524666153469</v>
      </c>
      <c r="AS61" s="10">
        <v>0.62007162072771094</v>
      </c>
      <c r="AT61" s="10">
        <v>0.75831995589869239</v>
      </c>
      <c r="AU61" s="10">
        <v>0.79554840132310611</v>
      </c>
      <c r="AV61" s="10">
        <v>0.70069971333658754</v>
      </c>
      <c r="AX61" s="10">
        <v>0.79526240352787814</v>
      </c>
      <c r="AY61" s="10">
        <v>0.6327092061741878</v>
      </c>
      <c r="AZ61" s="10">
        <v>0.63249999999998086</v>
      </c>
      <c r="BA61" s="10">
        <v>0.76904189636168818</v>
      </c>
      <c r="BB61" s="10">
        <v>0.71388120175495007</v>
      </c>
      <c r="BC61" s="10">
        <v>0.95328280044097791</v>
      </c>
      <c r="BD61" s="10">
        <v>1.0159749173095372</v>
      </c>
      <c r="BE61" s="10">
        <v>0.95188809261290874</v>
      </c>
      <c r="BF61" s="10">
        <v>0.64763809734026845</v>
      </c>
      <c r="BG61" s="10">
        <v>0.64463395810367696</v>
      </c>
      <c r="BH61" s="10">
        <v>0.7883585997796233</v>
      </c>
      <c r="BI61" s="10"/>
      <c r="BJ61" s="10">
        <v>0.8270617420066807</v>
      </c>
      <c r="BK61" s="10">
        <v>0.72845589856244497</v>
      </c>
    </row>
    <row r="62" spans="1:63" x14ac:dyDescent="0.25">
      <c r="A62" s="8">
        <v>46162</v>
      </c>
      <c r="B62" s="10">
        <v>1.223499999999994</v>
      </c>
      <c r="C62" s="8"/>
      <c r="D62" s="10">
        <v>1.1544999999999981</v>
      </c>
      <c r="E62" s="10"/>
      <c r="F62">
        <v>138.47000000000398</v>
      </c>
      <c r="H62" s="10">
        <v>1.2520000000000089</v>
      </c>
      <c r="I62">
        <v>118.49999999999639</v>
      </c>
      <c r="J62" s="10">
        <v>1.2200000000000226</v>
      </c>
      <c r="L62" s="10">
        <v>1.1349999999999849</v>
      </c>
      <c r="O62">
        <v>113.44999999999901</v>
      </c>
      <c r="R62" s="10">
        <v>1.1655000000000131</v>
      </c>
      <c r="S62" s="10">
        <v>2.8315000000000108</v>
      </c>
      <c r="U62" s="10">
        <v>2.0999999999961427</v>
      </c>
      <c r="V62" s="10">
        <v>1.163000000000058</v>
      </c>
      <c r="W62" s="10">
        <v>1.1349999999999849</v>
      </c>
      <c r="X62" s="10">
        <v>3.72400000000022</v>
      </c>
      <c r="Y62" s="10">
        <v>0.9959999999990703</v>
      </c>
      <c r="AA62" s="10">
        <v>2.5815000000000299</v>
      </c>
      <c r="AC62" s="10">
        <v>3.2819999999999978</v>
      </c>
      <c r="AD62" s="10">
        <v>0.8864999999998866</v>
      </c>
      <c r="AF62" s="10">
        <v>0.85099999999995457</v>
      </c>
      <c r="AI62" s="10">
        <v>0.77417320175421356</v>
      </c>
      <c r="AJ62" s="10">
        <v>0.61242774122809807</v>
      </c>
      <c r="AK62" s="10">
        <v>0.61309999999995046</v>
      </c>
      <c r="AL62" s="10">
        <v>0.74842569078957355</v>
      </c>
      <c r="AM62" s="10">
        <v>0.69787183113539242</v>
      </c>
      <c r="AN62" s="10">
        <v>0.9236835526318381</v>
      </c>
      <c r="AO62" s="10">
        <v>0.97907767543846291</v>
      </c>
      <c r="AP62" s="10">
        <v>0.91689373903510718</v>
      </c>
      <c r="AQ62" s="10"/>
      <c r="AR62" s="10">
        <v>0.6294554276315939</v>
      </c>
      <c r="AS62" s="10">
        <v>0.62392336622803302</v>
      </c>
      <c r="AT62" s="10">
        <v>0.76845900219302832</v>
      </c>
      <c r="AU62" s="10">
        <v>0.80828947368405257</v>
      </c>
      <c r="AV62" s="10">
        <v>0.71393881578733154</v>
      </c>
      <c r="AX62" s="10">
        <v>0.80435219298227711</v>
      </c>
      <c r="AY62" s="10">
        <v>0.63630153508774834</v>
      </c>
      <c r="AZ62" s="10">
        <v>0.63699999999994861</v>
      </c>
      <c r="BA62" s="10">
        <v>0.77760098684220902</v>
      </c>
      <c r="BB62" s="10">
        <v>0.72507642543344486</v>
      </c>
      <c r="BC62" s="10">
        <v>0.95969078947395359</v>
      </c>
      <c r="BD62" s="10">
        <v>1.0172442982454755</v>
      </c>
      <c r="BE62" s="10">
        <v>0.95263629385966953</v>
      </c>
      <c r="BF62" s="10">
        <v>0.65322779605264714</v>
      </c>
      <c r="BG62" s="10">
        <v>0.64824528508768087</v>
      </c>
      <c r="BH62" s="10">
        <v>0.79841524122811791</v>
      </c>
      <c r="BI62" s="10"/>
      <c r="BJ62" s="10">
        <v>0.8388157894735202</v>
      </c>
      <c r="BK62" s="10">
        <v>0.74176973683987979</v>
      </c>
    </row>
    <row r="63" spans="1:63" x14ac:dyDescent="0.25">
      <c r="A63" s="8">
        <v>46163</v>
      </c>
      <c r="B63" s="10">
        <v>1.2250000000000041</v>
      </c>
      <c r="C63" s="8"/>
      <c r="D63" s="10">
        <v>1.1572000000000076</v>
      </c>
      <c r="E63" s="10"/>
      <c r="F63">
        <v>138.61800000000457</v>
      </c>
      <c r="H63" s="10">
        <v>1.252900000000003</v>
      </c>
      <c r="I63">
        <v>118.14999999999787</v>
      </c>
      <c r="J63" s="10">
        <v>1.2225000000000454</v>
      </c>
      <c r="L63" s="10">
        <v>1.1349999999999929</v>
      </c>
      <c r="O63">
        <v>113.99999999999595</v>
      </c>
      <c r="R63" s="10">
        <v>1.1669999999999983</v>
      </c>
      <c r="S63" s="10">
        <v>2.8349999999999573</v>
      </c>
      <c r="U63" s="10">
        <v>2.099999999999874</v>
      </c>
      <c r="V63" s="10">
        <v>1.154999999999996</v>
      </c>
      <c r="W63" s="10">
        <v>1.1349999999999929</v>
      </c>
      <c r="X63" s="10">
        <v>3.7234999999998486</v>
      </c>
      <c r="Y63" s="10">
        <v>0.99899999999934597</v>
      </c>
      <c r="AA63" s="10">
        <v>2.5909999999998119</v>
      </c>
      <c r="AC63" s="10">
        <v>3.2770000000003505</v>
      </c>
      <c r="AD63" s="10">
        <v>0.8874999999999027</v>
      </c>
      <c r="AF63" s="10">
        <v>0.84899999999995956</v>
      </c>
      <c r="AI63" s="10">
        <v>0.77584032967023631</v>
      </c>
      <c r="AJ63" s="10">
        <v>0.61796717205007157</v>
      </c>
      <c r="AK63" s="10">
        <v>0.61580000000001545</v>
      </c>
      <c r="AL63" s="10">
        <v>0.74978725274708713</v>
      </c>
      <c r="AM63" s="10">
        <v>0.70065859340205061</v>
      </c>
      <c r="AN63" s="10">
        <v>0.92708351648354548</v>
      </c>
      <c r="AO63" s="10">
        <v>0.98040773626363631</v>
      </c>
      <c r="AP63" s="10">
        <v>0.91930142857144848</v>
      </c>
      <c r="AQ63" s="10"/>
      <c r="AR63" s="10">
        <v>0.62865736263732652</v>
      </c>
      <c r="AS63" s="10">
        <v>0.62628890109894575</v>
      </c>
      <c r="AT63" s="10">
        <v>0.77279516483545363</v>
      </c>
      <c r="AU63" s="10">
        <v>0.80933714285710934</v>
      </c>
      <c r="AV63" s="10">
        <v>0.7142096242564604</v>
      </c>
      <c r="AX63" s="10">
        <v>0.80393587912078257</v>
      </c>
      <c r="AY63" s="10">
        <v>0.64175830586681415</v>
      </c>
      <c r="AZ63" s="10">
        <v>0.6381000000000161</v>
      </c>
      <c r="BA63" s="10">
        <v>0.77693934065916903</v>
      </c>
      <c r="BB63" s="10">
        <v>0.72603158241287535</v>
      </c>
      <c r="BC63" s="10">
        <v>0.96065604395607418</v>
      </c>
      <c r="BD63" s="10">
        <v>1.0159112967031934</v>
      </c>
      <c r="BE63" s="10">
        <v>0.95259214285716354</v>
      </c>
      <c r="BF63" s="10">
        <v>0.65142296703292968</v>
      </c>
      <c r="BG63" s="10">
        <v>0.64896873626378271</v>
      </c>
      <c r="BH63" s="10">
        <v>0.80078043956073897</v>
      </c>
      <c r="BI63" s="10"/>
      <c r="BJ63" s="10">
        <v>0.83864571428567969</v>
      </c>
      <c r="BK63" s="10">
        <v>0.74170599867958908</v>
      </c>
    </row>
    <row r="64" spans="1:63" x14ac:dyDescent="0.25">
      <c r="A64" s="8">
        <v>46164</v>
      </c>
      <c r="B64" s="10">
        <v>1.2279700000000124</v>
      </c>
      <c r="C64" s="8"/>
      <c r="D64" s="10">
        <v>1.1585000000000016</v>
      </c>
      <c r="E64" s="10"/>
      <c r="F64">
        <v>138.94999999999541</v>
      </c>
      <c r="H64" s="10">
        <v>1.2575000000000129</v>
      </c>
      <c r="I64">
        <v>118.7989999999967</v>
      </c>
      <c r="J64" s="10">
        <v>1.2184999999999764</v>
      </c>
      <c r="L64" s="10">
        <v>1.1360000000000046</v>
      </c>
      <c r="O64">
        <v>114.35000000000058</v>
      </c>
      <c r="R64" s="10">
        <v>1.1699999999999939</v>
      </c>
      <c r="S64" s="10">
        <v>2.8419999999999765</v>
      </c>
      <c r="U64" s="10">
        <v>2.1019999999999985</v>
      </c>
      <c r="V64" s="10">
        <v>1.1604999999999952</v>
      </c>
      <c r="W64" s="10">
        <v>1.1360000000000046</v>
      </c>
      <c r="X64" s="10">
        <v>3.7205000000000528</v>
      </c>
      <c r="Y64" s="10">
        <v>1.0004999999991064</v>
      </c>
      <c r="AA64" s="10">
        <v>2.5915000000000856</v>
      </c>
      <c r="AC64" s="10">
        <v>3.2800000000001925</v>
      </c>
      <c r="AD64" s="10">
        <v>0.88750000000007423</v>
      </c>
      <c r="AF64" s="10">
        <v>0.86000000000006338</v>
      </c>
      <c r="AI64" s="10">
        <v>0.77574872131143491</v>
      </c>
      <c r="AJ64" s="10">
        <v>0.61731737704919365</v>
      </c>
      <c r="AK64" s="10">
        <v>0.61529999999997687</v>
      </c>
      <c r="AL64" s="10">
        <v>0.74730370491790832</v>
      </c>
      <c r="AM64" s="10">
        <v>0.70171098360230744</v>
      </c>
      <c r="AN64" s="10">
        <v>0.92590881967195049</v>
      </c>
      <c r="AO64" s="10">
        <v>0.97876409836047384</v>
      </c>
      <c r="AP64" s="10">
        <v>0.91723409836074243</v>
      </c>
      <c r="AQ64" s="10"/>
      <c r="AR64" s="10">
        <v>0.63190973770490522</v>
      </c>
      <c r="AS64" s="10">
        <v>0.62471442622950846</v>
      </c>
      <c r="AT64" s="10">
        <v>0.77292439344283426</v>
      </c>
      <c r="AU64" s="10">
        <v>0.80890095081986058</v>
      </c>
      <c r="AV64" s="10">
        <v>0.71616885245698791</v>
      </c>
      <c r="AX64" s="10">
        <v>0.80562885245897453</v>
      </c>
      <c r="AY64" s="10">
        <v>0.64109508196722698</v>
      </c>
      <c r="AZ64" s="10">
        <v>0.63899999999997614</v>
      </c>
      <c r="BA64" s="10">
        <v>0.77608819672118234</v>
      </c>
      <c r="BB64" s="10">
        <v>0.72873934425788145</v>
      </c>
      <c r="BC64" s="10">
        <v>0.96157278688505832</v>
      </c>
      <c r="BD64" s="10">
        <v>1.0164639344260407</v>
      </c>
      <c r="BE64" s="10">
        <v>0.95256393442631959</v>
      </c>
      <c r="BF64" s="10">
        <v>0.65624950819670813</v>
      </c>
      <c r="BG64" s="10">
        <v>0.64877704918032819</v>
      </c>
      <c r="BH64" s="10">
        <v>0.80269573770513758</v>
      </c>
      <c r="BI64" s="10"/>
      <c r="BJ64" s="10">
        <v>0.84005803278708113</v>
      </c>
      <c r="BK64" s="10">
        <v>0.74375409835854922</v>
      </c>
    </row>
    <row r="65" spans="1:63" x14ac:dyDescent="0.25">
      <c r="A65" s="8">
        <v>46168</v>
      </c>
      <c r="B65" s="10">
        <v>1.2299999999999798</v>
      </c>
      <c r="C65" s="8"/>
      <c r="D65" s="10">
        <v>1.1595000000000015</v>
      </c>
      <c r="E65" s="10"/>
      <c r="F65">
        <v>139.18599999999876</v>
      </c>
      <c r="H65" s="10">
        <v>1.2599999999999236</v>
      </c>
      <c r="I65">
        <v>118.94999999999614</v>
      </c>
      <c r="J65" s="10">
        <v>1.2199999999999536</v>
      </c>
      <c r="L65" s="10">
        <v>1.1370000000000622</v>
      </c>
      <c r="O65">
        <v>114.50000000000176</v>
      </c>
      <c r="R65" s="10">
        <v>1.1714999999999955</v>
      </c>
      <c r="S65" s="10">
        <v>2.8445000000000458</v>
      </c>
      <c r="U65" s="10">
        <v>2.0965000000000291</v>
      </c>
      <c r="V65" s="10">
        <v>1.164000000000021</v>
      </c>
      <c r="W65" s="10">
        <v>1.1370000000000622</v>
      </c>
      <c r="X65" s="10">
        <v>3.7319999999998923</v>
      </c>
      <c r="Y65" s="10">
        <v>0.99749999999831407</v>
      </c>
      <c r="AA65" s="10">
        <v>2.5960000000000383</v>
      </c>
      <c r="AC65" s="10">
        <v>3.3024999999996627</v>
      </c>
      <c r="AD65" s="10">
        <v>0.89600000000000346</v>
      </c>
      <c r="AF65" s="10">
        <v>0.86199999999998977</v>
      </c>
      <c r="AI65" s="10">
        <v>0.7814123924641605</v>
      </c>
      <c r="AJ65" s="10">
        <v>0.6174703256016093</v>
      </c>
      <c r="AK65" s="10">
        <v>0.61699999999999933</v>
      </c>
      <c r="AL65" s="10">
        <v>0.75258815201996621</v>
      </c>
      <c r="AM65" s="10">
        <v>0.70474931939059349</v>
      </c>
      <c r="AN65" s="10">
        <v>0.92654143526096489</v>
      </c>
      <c r="AO65" s="10">
        <v>0.98432429489278661</v>
      </c>
      <c r="AP65" s="10">
        <v>0.92049439181080661</v>
      </c>
      <c r="AQ65" s="10"/>
      <c r="AR65" s="10">
        <v>0.62956441250135231</v>
      </c>
      <c r="AS65" s="10">
        <v>0.62801905695310789</v>
      </c>
      <c r="AT65" s="10">
        <v>0.77872481759762602</v>
      </c>
      <c r="AU65" s="10">
        <v>0.81635086573022964</v>
      </c>
      <c r="AV65" s="10">
        <v>0.72127790482252341</v>
      </c>
      <c r="AX65" s="10">
        <v>0.81180768811916804</v>
      </c>
      <c r="AY65" s="10">
        <v>0.64148862027655029</v>
      </c>
      <c r="AZ65" s="10">
        <v>0.64099999999999913</v>
      </c>
      <c r="BA65" s="10">
        <v>0.78186224545348171</v>
      </c>
      <c r="BB65" s="10">
        <v>0.73216258302977366</v>
      </c>
      <c r="BC65" s="10">
        <v>0.96258194489834426</v>
      </c>
      <c r="BD65" s="10">
        <v>1.0226124360231379</v>
      </c>
      <c r="BE65" s="10">
        <v>0.95629968419890898</v>
      </c>
      <c r="BF65" s="10">
        <v>0.65405314167482453</v>
      </c>
      <c r="BG65" s="10">
        <v>0.65244767505176993</v>
      </c>
      <c r="BH65" s="10">
        <v>0.80901557225296306</v>
      </c>
      <c r="BI65" s="10"/>
      <c r="BJ65" s="10">
        <v>0.84810519438100007</v>
      </c>
      <c r="BK65" s="10">
        <v>0.74933409560978503</v>
      </c>
    </row>
    <row r="66" spans="1:63" x14ac:dyDescent="0.25">
      <c r="A66" s="8">
        <v>46169</v>
      </c>
      <c r="B66" s="10">
        <v>1.2265099999999731</v>
      </c>
      <c r="C66" s="8"/>
      <c r="D66" s="10">
        <v>1.1571299999999836</v>
      </c>
      <c r="E66" s="10"/>
      <c r="F66">
        <v>138.88000000000235</v>
      </c>
      <c r="H66" s="10">
        <v>1.2605000000000148</v>
      </c>
      <c r="I66">
        <v>119.19999999999833</v>
      </c>
      <c r="J66" s="10">
        <v>1.2273000000000012</v>
      </c>
      <c r="L66" s="10">
        <v>1.1370000000000469</v>
      </c>
      <c r="O66">
        <v>114.6000000000034</v>
      </c>
      <c r="R66" s="10">
        <v>1.172499999999995</v>
      </c>
      <c r="S66" s="10">
        <v>2.8450000000000655</v>
      </c>
      <c r="U66" s="10">
        <v>2.1010000000000373</v>
      </c>
      <c r="V66" s="10">
        <v>1.1535000000000286</v>
      </c>
      <c r="W66" s="10">
        <v>1.1370000000000469</v>
      </c>
      <c r="X66" s="10">
        <v>3.7365000000002211</v>
      </c>
      <c r="Y66" s="10">
        <v>0.99649999999786243</v>
      </c>
      <c r="AA66" s="10">
        <v>2.6050000000000311</v>
      </c>
      <c r="AC66" s="10">
        <v>3.3145000000003169</v>
      </c>
      <c r="AD66" s="10">
        <v>0.89849999999994101</v>
      </c>
      <c r="AF66" s="10">
        <v>0.86300000000004251</v>
      </c>
      <c r="AI66" s="10">
        <v>0.78282238708276597</v>
      </c>
      <c r="AJ66" s="10">
        <v>0.61898210778969054</v>
      </c>
      <c r="AK66" s="10">
        <v>0.6175000000000388</v>
      </c>
      <c r="AL66" s="10">
        <v>0.75149601789224407</v>
      </c>
      <c r="AM66" s="10">
        <v>0.71397174339732805</v>
      </c>
      <c r="AN66" s="10">
        <v>0.92833842461259608</v>
      </c>
      <c r="AO66" s="10">
        <v>0.98344588697356516</v>
      </c>
      <c r="AP66" s="10">
        <v>0.92294894174126962</v>
      </c>
      <c r="AQ66" s="10"/>
      <c r="AR66" s="10">
        <v>0.6333482201353805</v>
      </c>
      <c r="AS66" s="10">
        <v>0.62861580842240927</v>
      </c>
      <c r="AT66" s="10">
        <v>0.78147501636475258</v>
      </c>
      <c r="AU66" s="10">
        <v>0.81994245036014246</v>
      </c>
      <c r="AV66" s="10">
        <v>0.72421176085406413</v>
      </c>
      <c r="AX66" s="10">
        <v>0.81274078114779125</v>
      </c>
      <c r="AY66" s="10">
        <v>0.64263875190926401</v>
      </c>
      <c r="AZ66" s="10">
        <v>0.64110000000004019</v>
      </c>
      <c r="BA66" s="10">
        <v>0.78021716124812557</v>
      </c>
      <c r="BB66" s="10">
        <v>0.74125876063486129</v>
      </c>
      <c r="BC66" s="10">
        <v>0.96381824132653482</v>
      </c>
      <c r="BD66" s="10">
        <v>1.021031835042514</v>
      </c>
      <c r="BE66" s="10">
        <v>0.9582227798385875</v>
      </c>
      <c r="BF66" s="10">
        <v>0.65693088010480527</v>
      </c>
      <c r="BG66" s="10">
        <v>0.6526406393192008</v>
      </c>
      <c r="BH66" s="10">
        <v>0.81134191577561576</v>
      </c>
      <c r="BI66" s="10"/>
      <c r="BJ66" s="10">
        <v>0.85127952214718572</v>
      </c>
      <c r="BK66" s="10">
        <v>0.75189013746322331</v>
      </c>
    </row>
    <row r="67" spans="1:63" x14ac:dyDescent="0.25">
      <c r="A67" s="8">
        <v>46170</v>
      </c>
      <c r="B67" s="10">
        <v>1.2295000000000114</v>
      </c>
      <c r="C67" s="8"/>
      <c r="D67" s="10">
        <v>1.1600000000000212</v>
      </c>
      <c r="E67" s="10"/>
      <c r="F67">
        <v>139.53999999999965</v>
      </c>
      <c r="H67" s="10">
        <v>1.2629999999999006</v>
      </c>
      <c r="I67">
        <v>119.1899999999993</v>
      </c>
      <c r="J67" s="10">
        <v>1.2263100000000533</v>
      </c>
      <c r="L67" s="10">
        <v>1.1399999999999935</v>
      </c>
      <c r="O67">
        <v>114.55000000000256</v>
      </c>
      <c r="R67" s="10">
        <v>1.172950000000003</v>
      </c>
      <c r="S67" s="10">
        <v>2.8454999999999497</v>
      </c>
      <c r="U67" s="10">
        <v>2.0989999999999283</v>
      </c>
      <c r="V67" s="10">
        <v>1.1595000000000197</v>
      </c>
      <c r="W67" s="10">
        <v>1.1399999999999935</v>
      </c>
      <c r="X67" s="10">
        <v>3.7380000000000906</v>
      </c>
      <c r="Y67" s="10">
        <v>0.99899999999815436</v>
      </c>
      <c r="AA67" s="10">
        <v>2.6109999999997324</v>
      </c>
      <c r="AC67" s="10">
        <v>3.3240000000001348</v>
      </c>
      <c r="AD67" s="10">
        <v>0.89910000000002754</v>
      </c>
      <c r="AF67" s="10">
        <v>0.8649999999999487</v>
      </c>
      <c r="AI67" s="10">
        <v>0.78556028739379191</v>
      </c>
      <c r="AJ67" s="10">
        <v>0.61946962769428837</v>
      </c>
      <c r="AK67" s="10">
        <v>0.61920000000003161</v>
      </c>
      <c r="AL67" s="10">
        <v>0.75933899412158634</v>
      </c>
      <c r="AM67" s="10">
        <v>0.71114304375931081</v>
      </c>
      <c r="AN67" s="10">
        <v>0.93021554539522699</v>
      </c>
      <c r="AO67" s="10">
        <v>0.98009666884378188</v>
      </c>
      <c r="AP67" s="10">
        <v>0.9207785760941275</v>
      </c>
      <c r="AQ67" s="10"/>
      <c r="AR67" s="10">
        <v>0.6333349923764231</v>
      </c>
      <c r="AS67" s="10">
        <v>0.63146806009150491</v>
      </c>
      <c r="AT67" s="10">
        <v>0.78562769431727153</v>
      </c>
      <c r="AU67" s="10">
        <v>0.82404964075753595</v>
      </c>
      <c r="AV67" s="10">
        <v>0.72882064684644765</v>
      </c>
      <c r="AX67" s="10">
        <v>0.8134710211190237</v>
      </c>
      <c r="AY67" s="10">
        <v>0.64147920748962817</v>
      </c>
      <c r="AZ67" s="10">
        <v>0.64120000000003285</v>
      </c>
      <c r="BA67" s="10">
        <v>0.78631809274993747</v>
      </c>
      <c r="BB67" s="10">
        <v>0.73640975397039754</v>
      </c>
      <c r="BC67" s="10">
        <v>0.96326583932076815</v>
      </c>
      <c r="BD67" s="10">
        <v>1.0149192249073531</v>
      </c>
      <c r="BE67" s="10">
        <v>0.9534935771827433</v>
      </c>
      <c r="BF67" s="10">
        <v>0.65550529296453131</v>
      </c>
      <c r="BG67" s="10">
        <v>0.65390394077951075</v>
      </c>
      <c r="BH67" s="10">
        <v>0.8135408229913349</v>
      </c>
      <c r="BI67" s="10"/>
      <c r="BJ67" s="10">
        <v>0.85332789026765521</v>
      </c>
      <c r="BK67" s="10">
        <v>0.75457693564092421</v>
      </c>
    </row>
    <row r="68" spans="1:63" x14ac:dyDescent="0.25">
      <c r="A68" s="8">
        <v>46171</v>
      </c>
      <c r="B68" s="10">
        <v>1.2329000000000234</v>
      </c>
      <c r="C68" s="8"/>
      <c r="D68" s="10">
        <v>1.1654899999999877</v>
      </c>
      <c r="E68" s="10"/>
      <c r="F68">
        <v>139.8499999999988</v>
      </c>
      <c r="H68" s="10">
        <v>1.2688999999999759</v>
      </c>
      <c r="I68">
        <v>119.89000000000529</v>
      </c>
      <c r="J68" s="10">
        <v>1.2289999999999006</v>
      </c>
      <c r="L68" s="10">
        <v>1.1434999999999684</v>
      </c>
      <c r="O68">
        <v>114.8499999999985</v>
      </c>
      <c r="R68" s="10">
        <v>1.176999999999998</v>
      </c>
      <c r="S68" s="10">
        <v>2.8574999999999728</v>
      </c>
      <c r="U68" s="10">
        <v>2.1020000000001193</v>
      </c>
      <c r="V68" s="10">
        <v>1.1699999999999424</v>
      </c>
      <c r="W68" s="10">
        <v>1.1434999999999684</v>
      </c>
      <c r="X68" s="10">
        <v>3.7754999999998859</v>
      </c>
      <c r="Y68" s="10">
        <v>1.0039999999989013</v>
      </c>
      <c r="AA68" s="10">
        <v>2.6214999999636364</v>
      </c>
      <c r="AC68" s="10">
        <v>3.3424999999997835</v>
      </c>
      <c r="AD68" s="10">
        <v>0.90380000000003047</v>
      </c>
      <c r="AF68" s="10">
        <v>0.86490000000010281</v>
      </c>
      <c r="AI68" s="10">
        <v>0.78563317349613404</v>
      </c>
      <c r="AJ68" s="10">
        <v>0.61813469921537545</v>
      </c>
      <c r="AK68" s="10">
        <v>0.61799999999997413</v>
      </c>
      <c r="AL68" s="10">
        <v>0.76037707061908977</v>
      </c>
      <c r="AM68" s="10">
        <v>0.7126261987765351</v>
      </c>
      <c r="AN68" s="10">
        <v>0.90423583260663465</v>
      </c>
      <c r="AO68" s="10">
        <v>0.98323692240616867</v>
      </c>
      <c r="AP68" s="10">
        <v>0.92066913687880092</v>
      </c>
      <c r="AQ68" s="10"/>
      <c r="AR68" s="10">
        <v>0.63117001961640107</v>
      </c>
      <c r="AS68" s="10">
        <v>0.62965148212725619</v>
      </c>
      <c r="AT68" s="10">
        <v>0.78698016564955542</v>
      </c>
      <c r="AU68" s="10">
        <v>0.82402244986932316</v>
      </c>
      <c r="AV68" s="10">
        <v>0.72905950305001865</v>
      </c>
      <c r="AX68" s="10">
        <v>0.81321932214478454</v>
      </c>
      <c r="AY68" s="10">
        <v>0.63983942894510615</v>
      </c>
      <c r="AZ68" s="10">
        <v>0.63969999999997318</v>
      </c>
      <c r="BA68" s="10">
        <v>0.78707639494341697</v>
      </c>
      <c r="BB68" s="10">
        <v>0.73764883391156855</v>
      </c>
      <c r="BC68" s="10">
        <v>0.93598650828230445</v>
      </c>
      <c r="BD68" s="10">
        <v>1.017761584568327</v>
      </c>
      <c r="BE68" s="10">
        <v>0.95299683958150316</v>
      </c>
      <c r="BF68" s="10">
        <v>0.65342379032259146</v>
      </c>
      <c r="BG68" s="10">
        <v>0.65176060374887657</v>
      </c>
      <c r="BH68" s="10">
        <v>0.81461361159550238</v>
      </c>
      <c r="BI68" s="10"/>
      <c r="BJ68" s="10">
        <v>0.85295657149094806</v>
      </c>
      <c r="BK68" s="10">
        <v>0.75465916521213083</v>
      </c>
    </row>
    <row r="69" spans="1:63" x14ac:dyDescent="0.25">
      <c r="A69" s="8">
        <v>46174</v>
      </c>
      <c r="B69" s="10">
        <v>1.2354000000000105</v>
      </c>
      <c r="C69" s="8"/>
      <c r="D69" s="10">
        <v>1.1649999999999878</v>
      </c>
      <c r="E69" s="10"/>
      <c r="F69">
        <v>139.99000000000018</v>
      </c>
      <c r="H69" s="10">
        <v>1.2689999999999975</v>
      </c>
      <c r="I69">
        <v>119.83999999999679</v>
      </c>
      <c r="J69" s="10">
        <v>1.2309999999999655</v>
      </c>
      <c r="L69" s="10">
        <v>1.1460000000000592</v>
      </c>
      <c r="O69">
        <v>115.09999999999874</v>
      </c>
      <c r="R69" s="10">
        <v>1.1780000000000241</v>
      </c>
      <c r="S69" s="10">
        <v>2.8605000000000107</v>
      </c>
      <c r="U69" s="10">
        <v>2.1109999999999176</v>
      </c>
      <c r="V69" s="10">
        <v>1.1680000000000126</v>
      </c>
      <c r="W69" s="10">
        <v>1.1460000000000592</v>
      </c>
      <c r="X69" s="10">
        <v>3.8094999999998844</v>
      </c>
      <c r="Y69" s="10">
        <v>1.0094999999993588</v>
      </c>
      <c r="AA69" s="10">
        <v>2.6434999999801421</v>
      </c>
      <c r="AC69" s="10">
        <v>3.3524999999996852</v>
      </c>
      <c r="AD69" s="10">
        <v>0.90599999999995728</v>
      </c>
      <c r="AF69" s="10">
        <v>0.87050000000010641</v>
      </c>
      <c r="AI69" s="10">
        <v>0.79081358866153439</v>
      </c>
      <c r="AJ69" s="10">
        <v>0.61946384174680569</v>
      </c>
      <c r="AK69" s="10">
        <v>0.62050000000005601</v>
      </c>
      <c r="AL69" s="10">
        <v>0.76490068159696689</v>
      </c>
      <c r="AM69" s="10">
        <v>0.71831115438497273</v>
      </c>
      <c r="AN69" s="10">
        <v>0.90191685599890703</v>
      </c>
      <c r="AO69" s="10">
        <v>0.98469046846261821</v>
      </c>
      <c r="AP69" s="10">
        <v>0.92306339932911452</v>
      </c>
      <c r="AQ69" s="10"/>
      <c r="AR69" s="10">
        <v>0.63306320907621239</v>
      </c>
      <c r="AS69" s="10">
        <v>0.63271800281289226</v>
      </c>
      <c r="AT69" s="10">
        <v>0.78980661040775135</v>
      </c>
      <c r="AU69" s="10">
        <v>0.82874310288862918</v>
      </c>
      <c r="AV69" s="10">
        <v>0.73516125716685499</v>
      </c>
      <c r="AX69" s="10">
        <v>0.81885210429498112</v>
      </c>
      <c r="AY69" s="10">
        <v>0.64144481677653109</v>
      </c>
      <c r="AZ69" s="10">
        <v>0.64250000000005802</v>
      </c>
      <c r="BA69" s="10">
        <v>0.79202044790660964</v>
      </c>
      <c r="BB69" s="10">
        <v>0.74377907605535054</v>
      </c>
      <c r="BC69" s="10">
        <v>0.93389456886268774</v>
      </c>
      <c r="BD69" s="10">
        <v>1.0196029427674975</v>
      </c>
      <c r="BE69" s="10">
        <v>0.95579086876544095</v>
      </c>
      <c r="BF69" s="10">
        <v>0.6559351701783207</v>
      </c>
      <c r="BG69" s="10">
        <v>0.65515119549924772</v>
      </c>
      <c r="BH69" s="10">
        <v>0.81780942334726869</v>
      </c>
      <c r="BI69" s="10"/>
      <c r="BJ69" s="10">
        <v>0.85812641999346373</v>
      </c>
      <c r="BK69" s="10">
        <v>0.76122660391572017</v>
      </c>
    </row>
    <row r="70" spans="1:63" x14ac:dyDescent="0.25">
      <c r="A70" s="8">
        <v>46175</v>
      </c>
      <c r="B70" s="10">
        <v>1.2359899999999895</v>
      </c>
      <c r="C70" s="8"/>
      <c r="D70" s="10">
        <v>1.168000000000009</v>
      </c>
      <c r="E70" s="10"/>
      <c r="F70">
        <v>139.74999999999656</v>
      </c>
      <c r="H70" s="10">
        <v>1.2655500000000262</v>
      </c>
      <c r="I70">
        <v>119.60500000000064</v>
      </c>
      <c r="J70" s="10">
        <v>1.232999999999971</v>
      </c>
      <c r="L70" s="10">
        <v>1.1509999999999945</v>
      </c>
      <c r="O70">
        <v>115.10000000000218</v>
      </c>
      <c r="R70" s="10">
        <v>1.1781500000000222</v>
      </c>
      <c r="S70" s="10">
        <v>2.8634999999999882</v>
      </c>
      <c r="U70" s="10">
        <v>2.1155000000000017</v>
      </c>
      <c r="V70" s="10">
        <v>1.1690000000000798</v>
      </c>
      <c r="W70" s="10">
        <v>1.1509999999999945</v>
      </c>
      <c r="X70" s="10">
        <v>3.7665000000001614</v>
      </c>
      <c r="Y70" s="10">
        <v>1.0129999999995725</v>
      </c>
      <c r="AA70" s="10">
        <v>2.6539999999859964</v>
      </c>
      <c r="AB70" s="10">
        <v>0.94999999999996332</v>
      </c>
      <c r="AC70" s="10">
        <v>3.3575000000001851</v>
      </c>
      <c r="AD70" s="10">
        <v>0.91500000000002624</v>
      </c>
      <c r="AF70" s="10">
        <v>0.87499999999992528</v>
      </c>
      <c r="AI70" s="10">
        <v>0.78951229534516765</v>
      </c>
      <c r="AJ70" s="10">
        <v>0.61913930444089416</v>
      </c>
      <c r="AK70" s="10">
        <v>0.62120000000001596</v>
      </c>
      <c r="AL70" s="10">
        <v>0.76644579989311723</v>
      </c>
      <c r="AM70" s="10">
        <v>0.71798621722643929</v>
      </c>
      <c r="AN70" s="10">
        <v>0.90271760299638659</v>
      </c>
      <c r="AO70" s="10">
        <v>0.98115698234331861</v>
      </c>
      <c r="AP70" s="10">
        <v>0.92066559657567426</v>
      </c>
      <c r="AQ70" s="10"/>
      <c r="AR70" s="10">
        <v>0.63748614232209777</v>
      </c>
      <c r="AS70" s="10">
        <v>0.63156995184591491</v>
      </c>
      <c r="AT70" s="10">
        <v>0.78904697699311821</v>
      </c>
      <c r="AU70" s="10">
        <v>0.82760192616392048</v>
      </c>
      <c r="AV70" s="10">
        <v>0.73586773675709016</v>
      </c>
      <c r="AX70" s="10">
        <v>0.81823569823441555</v>
      </c>
      <c r="AY70" s="10">
        <v>0.64166433386839616</v>
      </c>
      <c r="AZ70" s="10">
        <v>0.64380000000001658</v>
      </c>
      <c r="BA70" s="10">
        <v>0.79433001605149522</v>
      </c>
      <c r="BB70" s="10">
        <v>0.74410741572823824</v>
      </c>
      <c r="BC70" s="10">
        <v>0.93555955056193441</v>
      </c>
      <c r="BD70" s="10">
        <v>1.0168526484749332</v>
      </c>
      <c r="BE70" s="10">
        <v>0.95416051364362375</v>
      </c>
      <c r="BF70" s="10">
        <v>0.66067865168539375</v>
      </c>
      <c r="BG70" s="10">
        <v>0.65454722311397295</v>
      </c>
      <c r="BH70" s="10">
        <v>0.81775345104341524</v>
      </c>
      <c r="BI70" s="10"/>
      <c r="BJ70" s="10">
        <v>0.85771107544161618</v>
      </c>
      <c r="BK70" s="10">
        <v>0.7626394863557866</v>
      </c>
    </row>
    <row r="71" spans="1:63" x14ac:dyDescent="0.25">
      <c r="A71" s="8">
        <v>46176</v>
      </c>
      <c r="B71" s="10">
        <v>1.2329999999999992</v>
      </c>
      <c r="C71" s="8"/>
      <c r="D71" s="10">
        <v>1.1629999999999938</v>
      </c>
      <c r="E71" s="10"/>
      <c r="F71">
        <v>138.8509999999967</v>
      </c>
      <c r="H71" s="10">
        <v>1.2624900000000039</v>
      </c>
      <c r="I71">
        <v>119.18000000000302</v>
      </c>
      <c r="J71" s="10">
        <v>1.232889999999998</v>
      </c>
      <c r="L71" s="10">
        <v>1.1495000000000184</v>
      </c>
      <c r="O71">
        <v>114.84999999999847</v>
      </c>
      <c r="R71" s="10">
        <v>1.1769999999999967</v>
      </c>
      <c r="S71" s="10">
        <v>2.8620000000000463</v>
      </c>
      <c r="U71" s="10">
        <v>2.1135000000000148</v>
      </c>
      <c r="V71" s="10">
        <v>1.1674999999999773</v>
      </c>
      <c r="W71" s="10">
        <v>1.1495000000000184</v>
      </c>
      <c r="X71" s="10">
        <v>3.7630000000000345</v>
      </c>
      <c r="Y71" s="10">
        <v>1.0124999999994257</v>
      </c>
      <c r="AA71" s="10">
        <v>2.6544999999847265</v>
      </c>
      <c r="AB71" s="10">
        <v>0.95010000000004524</v>
      </c>
      <c r="AC71" s="10">
        <v>3.355000000000087</v>
      </c>
      <c r="AD71" s="10">
        <v>0.91099999999995573</v>
      </c>
      <c r="AF71" s="10">
        <v>0.87399999999990186</v>
      </c>
      <c r="AI71" s="10">
        <v>0.7867681823021927</v>
      </c>
      <c r="AJ71" s="10">
        <v>0.61960387605153944</v>
      </c>
      <c r="AK71" s="10">
        <v>0.6200000000000585</v>
      </c>
      <c r="AL71" s="10">
        <v>0.76240655947165903</v>
      </c>
      <c r="AM71" s="10">
        <v>0.71599403684124274</v>
      </c>
      <c r="AN71" s="10">
        <v>0.90309658183347707</v>
      </c>
      <c r="AO71" s="10">
        <v>0.98687679693319819</v>
      </c>
      <c r="AP71" s="10">
        <v>0.92105420083043965</v>
      </c>
      <c r="AQ71" s="10"/>
      <c r="AR71" s="10">
        <v>0.63135555318926229</v>
      </c>
      <c r="AS71" s="10">
        <v>0.63472260675107828</v>
      </c>
      <c r="AT71" s="10">
        <v>0.78762645085744609</v>
      </c>
      <c r="AU71" s="10">
        <v>0.82525822596088094</v>
      </c>
      <c r="AV71" s="10">
        <v>0.73282930465267493</v>
      </c>
      <c r="AX71" s="10">
        <v>0.81557404962196645</v>
      </c>
      <c r="AY71" s="10">
        <v>0.64228937280374898</v>
      </c>
      <c r="AZ71" s="10">
        <v>0.64270000000006067</v>
      </c>
      <c r="BA71" s="10">
        <v>0.7903204770523149</v>
      </c>
      <c r="BB71" s="10">
        <v>0.74220865722236551</v>
      </c>
      <c r="BC71" s="10">
        <v>0.93616156958770258</v>
      </c>
      <c r="BD71" s="10">
        <v>1.023009221595107</v>
      </c>
      <c r="BE71" s="10">
        <v>0.95477666915116699</v>
      </c>
      <c r="BF71" s="10">
        <v>0.65447131295925631</v>
      </c>
      <c r="BG71" s="10">
        <v>0.65796164412728719</v>
      </c>
      <c r="BH71" s="10">
        <v>0.81646374188077497</v>
      </c>
      <c r="BI71" s="10"/>
      <c r="BJ71" s="10">
        <v>0.85547332552428723</v>
      </c>
      <c r="BK71" s="10">
        <v>0.7596603130649584</v>
      </c>
    </row>
    <row r="72" spans="1:63" x14ac:dyDescent="0.25">
      <c r="A72" s="8">
        <v>46177</v>
      </c>
      <c r="B72" s="10">
        <v>1.2354999999999887</v>
      </c>
      <c r="C72" s="8"/>
      <c r="D72" s="10">
        <v>1.1669999999999974</v>
      </c>
      <c r="E72" s="10"/>
      <c r="F72">
        <v>139.34999999999917</v>
      </c>
      <c r="H72" s="10">
        <v>1.2662000000000624</v>
      </c>
      <c r="I72">
        <v>119.5000000000032</v>
      </c>
      <c r="J72" s="10">
        <v>1.2265000000000104</v>
      </c>
      <c r="L72" s="10">
        <v>1.1510000000000309</v>
      </c>
      <c r="O72">
        <v>114.79999999999721</v>
      </c>
      <c r="R72" s="10">
        <v>1.1776000000000135</v>
      </c>
      <c r="S72" s="10">
        <v>2.8650000000000073</v>
      </c>
      <c r="U72" s="10">
        <v>2.1174999999999367</v>
      </c>
      <c r="V72" s="10">
        <v>1.1709999999999228</v>
      </c>
      <c r="W72" s="10">
        <v>1.1510000000000309</v>
      </c>
      <c r="X72" s="10">
        <v>3.8200000000000416</v>
      </c>
      <c r="Y72" s="10">
        <v>1.014499999999475</v>
      </c>
      <c r="AA72" s="10">
        <v>2.6579999999856092</v>
      </c>
      <c r="AB72" s="10">
        <v>0.96290000000000076</v>
      </c>
      <c r="AC72" s="10">
        <v>3.3594999999998469</v>
      </c>
      <c r="AD72" s="10">
        <v>0.91010000000009039</v>
      </c>
      <c r="AF72" s="10">
        <v>0.88200000000000134</v>
      </c>
      <c r="AI72" s="10">
        <v>0.7904414641944727</v>
      </c>
      <c r="AJ72" s="10">
        <v>0.62156749786866827</v>
      </c>
      <c r="AK72" s="10">
        <v>0.62169999999999082</v>
      </c>
      <c r="AL72" s="10">
        <v>0.76685608482560785</v>
      </c>
      <c r="AM72" s="10">
        <v>0.72028158567555423</v>
      </c>
      <c r="AN72" s="10">
        <v>0.90432704603595127</v>
      </c>
      <c r="AO72" s="10">
        <v>0.98555085251496299</v>
      </c>
      <c r="AP72" s="10">
        <v>0.92420236572882219</v>
      </c>
      <c r="AQ72" s="10"/>
      <c r="AR72" s="10">
        <v>0.63424652748187993</v>
      </c>
      <c r="AS72" s="10">
        <v>0.63296268115948395</v>
      </c>
      <c r="AT72" s="10">
        <v>0.79097147271946455</v>
      </c>
      <c r="AU72" s="10">
        <v>0.82699020025548209</v>
      </c>
      <c r="AV72" s="10">
        <v>0.73730810954726833</v>
      </c>
      <c r="AX72" s="10">
        <v>0.81892125959089568</v>
      </c>
      <c r="AY72" s="10">
        <v>0.64396272378512009</v>
      </c>
      <c r="AZ72" s="10">
        <v>0.64409999999999035</v>
      </c>
      <c r="BA72" s="10">
        <v>0.79448609335077036</v>
      </c>
      <c r="BB72" s="10">
        <v>0.74623350383404286</v>
      </c>
      <c r="BC72" s="10">
        <v>0.93691016624055989</v>
      </c>
      <c r="BD72" s="10">
        <v>1.0210604859335493</v>
      </c>
      <c r="BE72" s="10">
        <v>0.95750159846539218</v>
      </c>
      <c r="BF72" s="10">
        <v>0.65761243076266351</v>
      </c>
      <c r="BG72" s="10">
        <v>0.65576847826093543</v>
      </c>
      <c r="BH72" s="10">
        <v>0.81947036445006771</v>
      </c>
      <c r="BI72" s="10"/>
      <c r="BJ72" s="10">
        <v>0.85745685982087883</v>
      </c>
      <c r="BK72" s="10">
        <v>0.763873497441524</v>
      </c>
    </row>
    <row r="73" spans="1:63" x14ac:dyDescent="0.25">
      <c r="A73" s="8">
        <v>46178</v>
      </c>
      <c r="B73" s="10">
        <v>1.2374899999999744</v>
      </c>
      <c r="C73" s="8"/>
      <c r="D73" s="10">
        <v>1.1695499999999952</v>
      </c>
      <c r="E73" s="10"/>
      <c r="F73">
        <v>139.60000000000204</v>
      </c>
      <c r="H73" s="10">
        <v>1.2672000000000052</v>
      </c>
      <c r="I73">
        <v>119.74999999999282</v>
      </c>
      <c r="J73" s="10">
        <v>1.2299999999999534</v>
      </c>
      <c r="L73" s="10">
        <v>1.1530000000000376</v>
      </c>
      <c r="O73">
        <v>114.99999999999977</v>
      </c>
      <c r="R73" s="10">
        <v>1.1820000000000008</v>
      </c>
      <c r="S73" s="10">
        <v>2.8719999999999648</v>
      </c>
      <c r="U73" s="10">
        <v>2.1209999999999356</v>
      </c>
      <c r="V73" s="10">
        <v>1.1675000000000129</v>
      </c>
      <c r="W73" s="10">
        <v>1.1530000000000376</v>
      </c>
      <c r="X73" s="10">
        <v>3.7960000000003333</v>
      </c>
      <c r="Y73" s="10">
        <v>1.0159999999995832</v>
      </c>
      <c r="AA73" s="10">
        <v>2.6659999999889914</v>
      </c>
      <c r="AB73" s="10">
        <v>0.97499999999999676</v>
      </c>
      <c r="AC73" s="10">
        <v>3.3610000000003581</v>
      </c>
      <c r="AD73" s="10">
        <v>0.91099999999998871</v>
      </c>
      <c r="AF73" s="10">
        <v>0.88680000000005221</v>
      </c>
      <c r="AI73" s="10">
        <v>0.78243859275042515</v>
      </c>
      <c r="AJ73" s="10">
        <v>0.62076460554374624</v>
      </c>
      <c r="AK73" s="10">
        <v>0.62050000000000305</v>
      </c>
      <c r="AL73" s="10">
        <v>0.76133630063973523</v>
      </c>
      <c r="AM73" s="10">
        <v>0.71383960554021686</v>
      </c>
      <c r="AN73" s="10">
        <v>0.90091572494673922</v>
      </c>
      <c r="AO73" s="10">
        <v>0.98697867803831596</v>
      </c>
      <c r="AP73" s="10">
        <v>0.92545788912584837</v>
      </c>
      <c r="AQ73" s="10"/>
      <c r="AR73" s="10">
        <v>0.6293399125146999</v>
      </c>
      <c r="AS73" s="10">
        <v>0.63121652452025834</v>
      </c>
      <c r="AT73" s="10">
        <v>0.78422468017088665</v>
      </c>
      <c r="AU73" s="10">
        <v>0.82153406183382605</v>
      </c>
      <c r="AV73" s="10">
        <v>0.72832675906044397</v>
      </c>
      <c r="AX73" s="10">
        <v>0.81081066098069843</v>
      </c>
      <c r="AY73" s="10">
        <v>0.64327420042647676</v>
      </c>
      <c r="AZ73" s="10">
        <v>0.64300000000000324</v>
      </c>
      <c r="BA73" s="10">
        <v>0.7889431769723606</v>
      </c>
      <c r="BB73" s="10">
        <v>0.73972420042281939</v>
      </c>
      <c r="BC73" s="10">
        <v>0.93358390191902241</v>
      </c>
      <c r="BD73" s="10">
        <v>1.0227675906182712</v>
      </c>
      <c r="BE73" s="10">
        <v>0.95901599147126604</v>
      </c>
      <c r="BF73" s="10">
        <v>0.65256241331487175</v>
      </c>
      <c r="BG73" s="10">
        <v>0.65410511727079157</v>
      </c>
      <c r="BH73" s="10">
        <v>0.81266151385959728</v>
      </c>
      <c r="BI73" s="10"/>
      <c r="BJ73" s="10">
        <v>0.85132377398734915</v>
      </c>
      <c r="BK73" s="10">
        <v>0.75473667377254716</v>
      </c>
    </row>
    <row r="74" spans="1:63" x14ac:dyDescent="0.25">
      <c r="A74" s="8">
        <v>46181</v>
      </c>
      <c r="B74" s="10">
        <v>1.2379999999999953</v>
      </c>
      <c r="C74" s="8"/>
      <c r="D74" s="10">
        <v>1.1724999999999737</v>
      </c>
      <c r="E74" s="10"/>
      <c r="F74">
        <v>139.64999999999506</v>
      </c>
      <c r="H74" s="10">
        <v>1.2705000000000379</v>
      </c>
      <c r="I74">
        <v>119.90000000000431</v>
      </c>
      <c r="J74" s="10">
        <v>1.2350000000000501</v>
      </c>
      <c r="L74" s="10">
        <v>1.1574999999999891</v>
      </c>
      <c r="O74">
        <v>115.10000000000066</v>
      </c>
      <c r="R74" s="10">
        <v>1.1833999999999674</v>
      </c>
      <c r="S74" s="10">
        <v>2.8734999999999702</v>
      </c>
      <c r="U74" s="10">
        <v>2.1240000000000951</v>
      </c>
      <c r="V74" s="10">
        <v>1.1714999999999707</v>
      </c>
      <c r="W74" s="10">
        <v>1.1574999999999891</v>
      </c>
      <c r="X74" s="10">
        <v>3.7875000000000409</v>
      </c>
      <c r="Y74" s="10">
        <v>1.0164999999992965</v>
      </c>
      <c r="AA74" s="10">
        <v>2.6619999999807002</v>
      </c>
      <c r="AB74" s="11">
        <v>0.97499999999999676</v>
      </c>
      <c r="AC74" s="10">
        <v>3.3559999999998587</v>
      </c>
      <c r="AD74" s="10">
        <v>0.90799999999996917</v>
      </c>
      <c r="AF74" s="10">
        <v>0.88499999999996382</v>
      </c>
      <c r="AI74" s="10">
        <v>0.78157749548194899</v>
      </c>
      <c r="AJ74" s="10">
        <v>0.61757434888917129</v>
      </c>
      <c r="AK74" s="10">
        <v>0.61810000000003162</v>
      </c>
      <c r="AL74" s="10">
        <v>0.75930302965871266</v>
      </c>
      <c r="AM74" s="10">
        <v>0.71291431912052605</v>
      </c>
      <c r="AN74" s="10">
        <v>0.89610373126402942</v>
      </c>
      <c r="AO74" s="10">
        <v>0.98461023705743278</v>
      </c>
      <c r="AP74" s="10">
        <v>0.92330617625173061</v>
      </c>
      <c r="AQ74" s="10"/>
      <c r="AR74" s="10">
        <v>0.63422401872140244</v>
      </c>
      <c r="AS74" s="10">
        <v>0.62841590305090278</v>
      </c>
      <c r="AT74" s="10">
        <v>0.78289162325912076</v>
      </c>
      <c r="AU74" s="10">
        <v>0.81909584352080389</v>
      </c>
      <c r="AV74" s="10">
        <v>0.7302786937546959</v>
      </c>
      <c r="AX74" s="10">
        <v>0.81078707345579315</v>
      </c>
      <c r="AY74" s="10">
        <v>0.64065470394391966</v>
      </c>
      <c r="AZ74" s="10">
        <v>0.64120000000003285</v>
      </c>
      <c r="BA74" s="10">
        <v>0.78768015307744155</v>
      </c>
      <c r="BB74" s="10">
        <v>0.73955777612050055</v>
      </c>
      <c r="BC74" s="10">
        <v>0.92959345168499563</v>
      </c>
      <c r="BD74" s="10">
        <v>1.021407675135457</v>
      </c>
      <c r="BE74" s="10">
        <v>0.95781252258956429</v>
      </c>
      <c r="BF74" s="10">
        <v>0.65780874375065423</v>
      </c>
      <c r="BG74" s="10">
        <v>0.65190143510150289</v>
      </c>
      <c r="BH74" s="10">
        <v>0.81215031359609824</v>
      </c>
      <c r="BI74" s="10"/>
      <c r="BJ74" s="10">
        <v>0.84970757946212516</v>
      </c>
      <c r="BK74" s="10">
        <v>0.75743537921364179</v>
      </c>
    </row>
    <row r="75" spans="1:63" x14ac:dyDescent="0.25">
      <c r="A75" s="8">
        <v>46182</v>
      </c>
      <c r="B75" s="10">
        <v>1.2449999999999921</v>
      </c>
      <c r="C75" s="8"/>
      <c r="D75" s="10">
        <v>1.1725000000000083</v>
      </c>
      <c r="E75" s="10"/>
      <c r="F75">
        <v>140.34899999999513</v>
      </c>
      <c r="H75" s="10">
        <v>1.2738799999999886</v>
      </c>
      <c r="I75">
        <v>120.35000000000215</v>
      </c>
      <c r="J75" s="10">
        <v>1.2389999999999979</v>
      </c>
      <c r="L75" s="10">
        <v>1.160000000000077</v>
      </c>
      <c r="O75">
        <v>115.09999999999559</v>
      </c>
      <c r="R75" s="10">
        <v>1.1875000000000007</v>
      </c>
      <c r="S75" s="10">
        <v>2.8800000000000079</v>
      </c>
      <c r="U75" s="10">
        <v>2.1290000000000662</v>
      </c>
      <c r="V75" s="10">
        <v>1.1729999999999661</v>
      </c>
      <c r="W75" s="10">
        <v>1.160000000000077</v>
      </c>
      <c r="X75" s="10">
        <v>3.791000000000059</v>
      </c>
      <c r="Y75" s="10">
        <v>1.0209999999995418</v>
      </c>
      <c r="AA75" s="10">
        <v>2.6639999999807515</v>
      </c>
      <c r="AB75" s="10">
        <v>0.97500000000014664</v>
      </c>
      <c r="AC75" s="10">
        <v>3.3650000000002378</v>
      </c>
      <c r="AD75" s="10">
        <v>0.91050000000009779</v>
      </c>
      <c r="AF75" s="10">
        <v>0.88150000000002149</v>
      </c>
      <c r="AI75" s="10">
        <v>0.78397080346637582</v>
      </c>
      <c r="AJ75" s="10">
        <v>0.61769999999999647</v>
      </c>
      <c r="AK75" s="10">
        <v>0.61769999999995229</v>
      </c>
      <c r="AL75" s="10">
        <v>0.76064266609606324</v>
      </c>
      <c r="AM75" s="10">
        <v>0.71458115972676839</v>
      </c>
      <c r="AN75" s="10">
        <v>0.89876109981808749</v>
      </c>
      <c r="AO75" s="10">
        <v>0.98691899005030603</v>
      </c>
      <c r="AP75" s="10">
        <v>0.92255183481321679</v>
      </c>
      <c r="AQ75" s="10"/>
      <c r="AR75" s="10">
        <v>0.63270474917105335</v>
      </c>
      <c r="AS75" s="10">
        <v>0.62979362362249436</v>
      </c>
      <c r="AT75" s="10">
        <v>0.78443340109116189</v>
      </c>
      <c r="AU75" s="10">
        <v>0.8221020648336429</v>
      </c>
      <c r="AV75" s="10">
        <v>0.73315115010043375</v>
      </c>
      <c r="AX75" s="10">
        <v>0.81366955172785083</v>
      </c>
      <c r="AY75" s="10">
        <v>0.64109999999999634</v>
      </c>
      <c r="AZ75" s="10">
        <v>0.64109999999995038</v>
      </c>
      <c r="BA75" s="10">
        <v>0.78945768695837149</v>
      </c>
      <c r="BB75" s="10">
        <v>0.74165125708407176</v>
      </c>
      <c r="BC75" s="10">
        <v>0.93280838771794705</v>
      </c>
      <c r="BD75" s="10">
        <v>1.0243059163368156</v>
      </c>
      <c r="BE75" s="10">
        <v>0.95750037445159986</v>
      </c>
      <c r="BF75" s="10">
        <v>0.65625582415233552</v>
      </c>
      <c r="BG75" s="10">
        <v>0.65365175992290925</v>
      </c>
      <c r="BH75" s="10">
        <v>0.81414967369199265</v>
      </c>
      <c r="BI75" s="10"/>
      <c r="BJ75" s="10">
        <v>0.85324531935380987</v>
      </c>
      <c r="BK75" s="10">
        <v>0.76092472450928927</v>
      </c>
    </row>
    <row r="76" spans="1:63" x14ac:dyDescent="0.25">
      <c r="A76" s="8">
        <v>46183</v>
      </c>
      <c r="B76" s="10">
        <v>1.2473999999999892</v>
      </c>
      <c r="C76" s="8"/>
      <c r="D76" s="10">
        <v>1.1712999999999791</v>
      </c>
      <c r="E76" s="10"/>
      <c r="F76">
        <v>140.9499999999947</v>
      </c>
      <c r="H76" s="10">
        <v>1.2775000000000216</v>
      </c>
      <c r="I76">
        <v>120.64899999999818</v>
      </c>
      <c r="J76" s="10">
        <v>1.2474999999999925</v>
      </c>
      <c r="L76" s="10">
        <v>1.1620000000000075</v>
      </c>
      <c r="O76">
        <v>114.95000000000061</v>
      </c>
      <c r="R76" s="10">
        <v>1.1877500000000092</v>
      </c>
      <c r="S76" s="10">
        <v>2.8820000000000476</v>
      </c>
      <c r="U76" s="10">
        <v>2.1340000000000394</v>
      </c>
      <c r="V76" s="10">
        <v>1.1840000000000153</v>
      </c>
      <c r="W76" s="10">
        <v>1.1620000000000075</v>
      </c>
      <c r="X76" s="10">
        <v>3.7980000000002354</v>
      </c>
      <c r="Y76" s="10">
        <v>1.022999999999664</v>
      </c>
      <c r="AA76" s="10">
        <v>2.6684999999821555</v>
      </c>
      <c r="AB76" s="10">
        <v>0.96999999999998221</v>
      </c>
      <c r="AC76" s="10">
        <v>3.3810000000002343</v>
      </c>
      <c r="AD76" s="10">
        <v>0.9154999999999347</v>
      </c>
      <c r="AF76" s="10">
        <v>0.87999999999990808</v>
      </c>
      <c r="AI76" s="10">
        <v>0.78192793958981965</v>
      </c>
      <c r="AJ76" s="10">
        <v>0.61998705501616291</v>
      </c>
      <c r="AK76" s="10">
        <v>0.61599999999993982</v>
      </c>
      <c r="AL76" s="10">
        <v>0.76086299892136888</v>
      </c>
      <c r="AM76" s="10">
        <v>0.71667313915540121</v>
      </c>
      <c r="AN76" s="10">
        <v>0.90107443365694162</v>
      </c>
      <c r="AO76" s="10">
        <v>0.98546709816610023</v>
      </c>
      <c r="AP76" s="10">
        <v>0.9232690399136978</v>
      </c>
      <c r="AQ76" s="10"/>
      <c r="AR76" s="10">
        <v>0.63349220331678568</v>
      </c>
      <c r="AS76" s="10">
        <v>0.62799043412685462</v>
      </c>
      <c r="AT76" s="10">
        <v>0.78677885652624913</v>
      </c>
      <c r="AU76" s="10">
        <v>0.81787788565269015</v>
      </c>
      <c r="AV76" s="10">
        <v>0.72630852211281705</v>
      </c>
      <c r="AX76" s="10">
        <v>0.81023474649380167</v>
      </c>
      <c r="AY76" s="10">
        <v>0.64243139158574147</v>
      </c>
      <c r="AZ76" s="10">
        <v>0.63829999999993758</v>
      </c>
      <c r="BA76" s="10">
        <v>0.78840722761608728</v>
      </c>
      <c r="BB76" s="10">
        <v>0.74261763753716326</v>
      </c>
      <c r="BC76" s="10">
        <v>0.93369449838186014</v>
      </c>
      <c r="BD76" s="10">
        <v>1.0211422869471132</v>
      </c>
      <c r="BE76" s="10">
        <v>0.95669257820927467</v>
      </c>
      <c r="BF76" s="10">
        <v>0.65768308205897696</v>
      </c>
      <c r="BG76" s="10">
        <v>0.65208109447372353</v>
      </c>
      <c r="BH76" s="10">
        <v>0.81526127292322204</v>
      </c>
      <c r="BI76" s="10"/>
      <c r="BJ76" s="10">
        <v>0.8474861272923897</v>
      </c>
      <c r="BK76" s="10">
        <v>0.75260183387112189</v>
      </c>
    </row>
    <row r="77" spans="1:63" x14ac:dyDescent="0.25">
      <c r="A77" s="8">
        <v>46184</v>
      </c>
      <c r="B77" s="10">
        <v>1.2477100000000128</v>
      </c>
      <c r="C77" s="8"/>
      <c r="D77" s="10">
        <v>1.1789999999999983</v>
      </c>
      <c r="E77" s="10"/>
      <c r="F77">
        <v>141.50900000000058</v>
      </c>
      <c r="H77" s="10">
        <v>1.2854999999999455</v>
      </c>
      <c r="I77">
        <v>120.95999999999762</v>
      </c>
      <c r="J77" s="10">
        <v>1.2495000000000385</v>
      </c>
      <c r="L77" s="10">
        <v>1.1630000000000167</v>
      </c>
      <c r="O77">
        <v>115.10000000000477</v>
      </c>
      <c r="R77" s="10">
        <v>1.1880000000000044</v>
      </c>
      <c r="S77" s="10">
        <v>2.8830000000000275</v>
      </c>
      <c r="U77" s="10">
        <v>2.1345000000000347</v>
      </c>
      <c r="V77" s="10">
        <v>1.1755000000000833</v>
      </c>
      <c r="W77" s="10">
        <v>1.1630000000000167</v>
      </c>
      <c r="X77" s="10">
        <v>3.7954999999997909</v>
      </c>
      <c r="Y77" s="10">
        <v>1.0259999999997402</v>
      </c>
      <c r="AA77" s="10">
        <v>2.6749999999853289</v>
      </c>
      <c r="AB77" s="10">
        <v>0.97049999999986614</v>
      </c>
      <c r="AC77" s="10">
        <v>3.4029999999997336</v>
      </c>
      <c r="AD77" s="10">
        <v>0.9214999999999427</v>
      </c>
      <c r="AF77" s="10">
        <v>0.88070000000012372</v>
      </c>
      <c r="AI77" s="10">
        <v>0.8083625293740111</v>
      </c>
      <c r="AJ77" s="10">
        <v>0.63624225592820105</v>
      </c>
      <c r="AK77" s="10">
        <v>0.62699999999995759</v>
      </c>
      <c r="AL77" s="10">
        <v>0.78532386242259977</v>
      </c>
      <c r="AM77" s="10">
        <v>0.73268318735186222</v>
      </c>
      <c r="AN77" s="10">
        <v>0.91538517410817688</v>
      </c>
      <c r="AO77" s="10">
        <v>0.99454710531929436</v>
      </c>
      <c r="AP77" s="10">
        <v>0.93695043794068922</v>
      </c>
      <c r="AQ77" s="10"/>
      <c r="AR77" s="10">
        <v>0.64331824973318907</v>
      </c>
      <c r="AS77" s="10">
        <v>0.6402606280709513</v>
      </c>
      <c r="AT77" s="10">
        <v>0.81171117282635807</v>
      </c>
      <c r="AU77" s="10">
        <v>0.84894808801546384</v>
      </c>
      <c r="AV77" s="10">
        <v>0.7542484511851566</v>
      </c>
      <c r="AX77" s="10">
        <v>0.83285836359746601</v>
      </c>
      <c r="AY77" s="10">
        <v>0.65552232428966162</v>
      </c>
      <c r="AZ77" s="10">
        <v>0.64599999999995616</v>
      </c>
      <c r="BA77" s="10">
        <v>0.80912155522328444</v>
      </c>
      <c r="BB77" s="10">
        <v>0.75488570818070655</v>
      </c>
      <c r="BC77" s="10">
        <v>0.94312411877812152</v>
      </c>
      <c r="BD77" s="10">
        <v>1.0246848963895758</v>
      </c>
      <c r="BE77" s="10">
        <v>0.96534287545404329</v>
      </c>
      <c r="BF77" s="10">
        <v>0.66313319103521673</v>
      </c>
      <c r="BG77" s="10">
        <v>0.65966246528522243</v>
      </c>
      <c r="BH77" s="10">
        <v>0.83630848109382339</v>
      </c>
      <c r="BI77" s="10"/>
      <c r="BJ77" s="10">
        <v>0.87467378765229609</v>
      </c>
      <c r="BK77" s="10">
        <v>0.77710446485743401</v>
      </c>
    </row>
    <row r="78" spans="1:63" x14ac:dyDescent="0.25">
      <c r="A78" s="8">
        <v>46185</v>
      </c>
      <c r="B78" s="10">
        <v>1.253999999999988</v>
      </c>
      <c r="C78" s="8"/>
      <c r="D78" s="10">
        <v>1.1820100000000295</v>
      </c>
      <c r="E78" s="10"/>
      <c r="F78">
        <v>141.94999999999959</v>
      </c>
      <c r="H78" s="10">
        <v>1.287450000000018</v>
      </c>
      <c r="I78">
        <v>121.34999999999832</v>
      </c>
      <c r="J78" s="10">
        <v>1.2500000000000171</v>
      </c>
      <c r="L78" s="10">
        <v>1.1690000000000722</v>
      </c>
      <c r="O78">
        <v>115.30000000000229</v>
      </c>
      <c r="R78" s="10">
        <v>1.1865000000000112</v>
      </c>
      <c r="S78" s="10">
        <v>2.8825000000000518</v>
      </c>
      <c r="U78" s="10">
        <v>2.1324999999999319</v>
      </c>
      <c r="V78" s="10">
        <v>1.1849999999999508</v>
      </c>
      <c r="W78" s="10">
        <v>1.1690000000000722</v>
      </c>
      <c r="X78" s="10">
        <v>3.8235000000002897</v>
      </c>
      <c r="Y78" s="10">
        <v>1.0249999999995552</v>
      </c>
      <c r="AA78" s="10">
        <v>2.6749999999806904</v>
      </c>
      <c r="AB78" s="10">
        <v>0.97699999999990372</v>
      </c>
      <c r="AC78" s="10">
        <v>3.4050000000003284</v>
      </c>
      <c r="AD78" s="10">
        <v>0.91949999999993526</v>
      </c>
      <c r="AF78" s="10">
        <v>0.88309999999992539</v>
      </c>
      <c r="AI78" s="10">
        <v>0.80861500266951869</v>
      </c>
      <c r="AJ78" s="10">
        <v>0.62997760811533798</v>
      </c>
      <c r="AK78" s="10">
        <v>0.62609999999999322</v>
      </c>
      <c r="AL78" s="10">
        <v>0.78695388147345047</v>
      </c>
      <c r="AM78" s="10">
        <v>0.73360334223067913</v>
      </c>
      <c r="AN78" s="10">
        <v>0.91585092365183018</v>
      </c>
      <c r="AO78" s="10">
        <v>0.99400478376937618</v>
      </c>
      <c r="AP78" s="10">
        <v>0.93497154297921403</v>
      </c>
      <c r="AQ78" s="10"/>
      <c r="AR78" s="10">
        <v>0.64357638518205373</v>
      </c>
      <c r="AS78" s="10">
        <v>0.63980533902827263</v>
      </c>
      <c r="AT78" s="10">
        <v>0.81329487453268601</v>
      </c>
      <c r="AU78" s="10">
        <v>0.85026586225305867</v>
      </c>
      <c r="AV78" s="10">
        <v>0.75813924185765458</v>
      </c>
      <c r="AX78" s="10">
        <v>0.83392861719167566</v>
      </c>
      <c r="AY78" s="10">
        <v>0.64969899626269556</v>
      </c>
      <c r="AZ78" s="10">
        <v>0.64569999999999295</v>
      </c>
      <c r="BA78" s="10">
        <v>0.81158939668967722</v>
      </c>
      <c r="BB78" s="10">
        <v>0.75656872397116981</v>
      </c>
      <c r="BC78" s="10">
        <v>0.94452154831813873</v>
      </c>
      <c r="BD78" s="10">
        <v>1.0251220074746623</v>
      </c>
      <c r="BE78" s="10">
        <v>0.96424073678594224</v>
      </c>
      <c r="BF78" s="10">
        <v>0.66362389238820396</v>
      </c>
      <c r="BG78" s="10">
        <v>0.65983438334220668</v>
      </c>
      <c r="BH78" s="10">
        <v>0.83875499199130377</v>
      </c>
      <c r="BI78" s="10"/>
      <c r="BJ78" s="10">
        <v>0.87688335290975861</v>
      </c>
      <c r="BK78" s="10">
        <v>0.78187271756506549</v>
      </c>
    </row>
    <row r="79" spans="1:63" x14ac:dyDescent="0.25">
      <c r="A79" s="8">
        <v>46189</v>
      </c>
      <c r="B79" s="10">
        <v>1.2549899999999974</v>
      </c>
      <c r="C79" s="8"/>
      <c r="D79" s="10">
        <v>1.1847999999999781</v>
      </c>
      <c r="E79" s="10"/>
      <c r="F79">
        <v>141.76200000000665</v>
      </c>
      <c r="H79" s="10">
        <v>1.2905000000000069</v>
      </c>
      <c r="I79">
        <v>121.79999999999784</v>
      </c>
      <c r="J79" s="10">
        <v>1.2365000000000157</v>
      </c>
      <c r="L79" s="10">
        <v>1.1679999999999808</v>
      </c>
      <c r="O79">
        <v>115.35000000000197</v>
      </c>
      <c r="R79" s="10">
        <v>1.1845000000000103</v>
      </c>
      <c r="S79" s="10">
        <v>2.8785000000000172</v>
      </c>
      <c r="U79" s="10">
        <v>2.1325000000000625</v>
      </c>
      <c r="V79" s="10">
        <v>1.1835000000000291</v>
      </c>
      <c r="W79" s="10">
        <v>1.1679999999999808</v>
      </c>
      <c r="X79" s="10">
        <v>3.8140000000000964</v>
      </c>
      <c r="Y79" s="10">
        <v>1.0229999999993029</v>
      </c>
      <c r="AA79" s="10">
        <v>2.6814999999835765</v>
      </c>
      <c r="AB79" s="10">
        <v>0.97300000000004228</v>
      </c>
      <c r="AC79" s="10">
        <v>3.406999999999599</v>
      </c>
      <c r="AD79" s="10">
        <v>0.92099999999992965</v>
      </c>
      <c r="AF79" s="10">
        <v>0.88149999999998574</v>
      </c>
      <c r="AI79" s="10">
        <v>0.81085392010234925</v>
      </c>
      <c r="AJ79" s="10">
        <v>0.62990743430886997</v>
      </c>
      <c r="AK79" s="10">
        <v>0.62510000000001009</v>
      </c>
      <c r="AL79" s="10">
        <v>0.78614904934836427</v>
      </c>
      <c r="AM79" s="10">
        <v>0.73527036957796743</v>
      </c>
      <c r="AN79" s="10">
        <v>0.91882088229009606</v>
      </c>
      <c r="AO79" s="10">
        <v>0.99754261909854403</v>
      </c>
      <c r="AP79" s="10">
        <v>0.94152265541553315</v>
      </c>
      <c r="AQ79" s="10"/>
      <c r="AR79" s="10">
        <v>0.64105801110872007</v>
      </c>
      <c r="AS79" s="10">
        <v>0.63898814355910327</v>
      </c>
      <c r="AT79" s="10">
        <v>0.81632905362111985</v>
      </c>
      <c r="AU79" s="10">
        <v>0.85612392651156599</v>
      </c>
      <c r="AV79" s="10">
        <v>0.7598417004911644</v>
      </c>
      <c r="AX79" s="10">
        <v>0.83537022003825467</v>
      </c>
      <c r="AY79" s="10">
        <v>0.64895278786580124</v>
      </c>
      <c r="AZ79" s="10">
        <v>0.64400000000001056</v>
      </c>
      <c r="BA79" s="10">
        <v>0.80991839350559369</v>
      </c>
      <c r="BB79" s="10">
        <v>0.75750138859096305</v>
      </c>
      <c r="BC79" s="10">
        <v>0.94660158085877766</v>
      </c>
      <c r="BD79" s="10">
        <v>1.0277034821619939</v>
      </c>
      <c r="BE79" s="10">
        <v>0.96998974578084041</v>
      </c>
      <c r="BF79" s="10">
        <v>0.66044050416575872</v>
      </c>
      <c r="BG79" s="10">
        <v>0.6583080538346866</v>
      </c>
      <c r="BH79" s="10">
        <v>0.84101089510798455</v>
      </c>
      <c r="BI79" s="10"/>
      <c r="BJ79" s="10">
        <v>0.88200897244192689</v>
      </c>
      <c r="BK79" s="10">
        <v>0.78281563768406637</v>
      </c>
    </row>
    <row r="80" spans="1:63" x14ac:dyDescent="0.25">
      <c r="A80" s="8">
        <v>46190</v>
      </c>
      <c r="B80" s="10">
        <v>1.251249999999992</v>
      </c>
      <c r="C80" s="8"/>
      <c r="D80" s="10">
        <v>1.1799999999999968</v>
      </c>
      <c r="E80" s="10"/>
      <c r="F80">
        <v>141.75000000000176</v>
      </c>
      <c r="H80" s="10">
        <v>1.2883999999999463</v>
      </c>
      <c r="I80">
        <v>121.65599999999712</v>
      </c>
      <c r="J80" s="10">
        <v>1.2409999999999612</v>
      </c>
      <c r="L80" s="10">
        <v>1.1680000000000101</v>
      </c>
      <c r="O80">
        <v>115.5000000000004</v>
      </c>
      <c r="R80" s="10">
        <v>1.1819999999999902</v>
      </c>
      <c r="S80" s="10">
        <v>2.8729999999999558</v>
      </c>
      <c r="U80" s="10">
        <v>2.1289999999999898</v>
      </c>
      <c r="V80" s="10">
        <v>1.1849999999999887</v>
      </c>
      <c r="W80" s="10">
        <v>1.1680000000000101</v>
      </c>
      <c r="X80" s="10">
        <v>3.8065000000000286</v>
      </c>
      <c r="Y80" s="10">
        <v>1.0214999999991479</v>
      </c>
      <c r="AA80" s="10">
        <v>2.6799999999808786</v>
      </c>
      <c r="AB80" s="10">
        <v>0.97800000000001686</v>
      </c>
      <c r="AC80" s="10">
        <v>3.4050000000002614</v>
      </c>
      <c r="AD80" s="10">
        <v>0.92100000000006288</v>
      </c>
      <c r="AF80" s="10">
        <v>0.88290000000012669</v>
      </c>
      <c r="AI80" s="10">
        <v>0.81082348565365225</v>
      </c>
      <c r="AJ80" s="10">
        <v>0.62503469713064663</v>
      </c>
      <c r="AK80" s="10">
        <v>0.62549999999999739</v>
      </c>
      <c r="AL80" s="10">
        <v>0.78323767268862621</v>
      </c>
      <c r="AM80" s="10">
        <v>0.73311790648106057</v>
      </c>
      <c r="AN80" s="10">
        <v>0.91638076514347799</v>
      </c>
      <c r="AO80" s="10">
        <v>0.99774229542930781</v>
      </c>
      <c r="AP80" s="10">
        <v>0.94323538788534189</v>
      </c>
      <c r="AQ80" s="10"/>
      <c r="AR80" s="10">
        <v>0.63706609989371876</v>
      </c>
      <c r="AS80" s="10">
        <v>0.63912672688627137</v>
      </c>
      <c r="AT80" s="10">
        <v>0.81095642933038281</v>
      </c>
      <c r="AU80" s="10">
        <v>0.85083953241238353</v>
      </c>
      <c r="AV80" s="10">
        <v>0.75576649309213684</v>
      </c>
      <c r="AX80" s="10">
        <v>0.83454541976630114</v>
      </c>
      <c r="AY80" s="10">
        <v>0.64332108395317389</v>
      </c>
      <c r="AZ80" s="10">
        <v>0.64379999999999726</v>
      </c>
      <c r="BA80" s="10">
        <v>0.80615253985121915</v>
      </c>
      <c r="BB80" s="10">
        <v>0.75456643995604589</v>
      </c>
      <c r="BC80" s="10">
        <v>0.94319094580235197</v>
      </c>
      <c r="BD80" s="10">
        <v>1.0269328374058966</v>
      </c>
      <c r="BE80" s="10">
        <v>0.97083124335824644</v>
      </c>
      <c r="BF80" s="10">
        <v>0.65570448459084929</v>
      </c>
      <c r="BG80" s="10">
        <v>0.65782539851220068</v>
      </c>
      <c r="BH80" s="10">
        <v>0.83468225292230291</v>
      </c>
      <c r="BI80" s="10"/>
      <c r="BJ80" s="10">
        <v>0.87573219978751793</v>
      </c>
      <c r="BK80" s="10">
        <v>0.77885902231635673</v>
      </c>
    </row>
    <row r="81" spans="1:63" x14ac:dyDescent="0.25">
      <c r="A81" s="8">
        <v>46191</v>
      </c>
      <c r="B81" s="10">
        <v>1.2519000000000005</v>
      </c>
      <c r="C81" s="8"/>
      <c r="D81" s="10">
        <v>1.1798899999999848</v>
      </c>
      <c r="E81" s="10"/>
      <c r="F81">
        <v>141.9799999999982</v>
      </c>
      <c r="H81" s="10">
        <v>1.2885000000000004</v>
      </c>
      <c r="I81">
        <v>121.74999999999589</v>
      </c>
      <c r="J81" s="10">
        <v>1.2400000000000091</v>
      </c>
      <c r="L81" s="10">
        <v>1.1600000000000243</v>
      </c>
      <c r="O81">
        <v>115.8499999999955</v>
      </c>
      <c r="R81" s="10">
        <v>1.183500000000018</v>
      </c>
      <c r="S81" s="10">
        <v>2.8700000000000498</v>
      </c>
      <c r="U81" s="10">
        <v>2.1310000000000882</v>
      </c>
      <c r="V81" s="10">
        <v>1.1890000000000815</v>
      </c>
      <c r="W81" s="10">
        <v>1.1600000000000243</v>
      </c>
      <c r="X81" s="10">
        <v>3.8024999999995703</v>
      </c>
      <c r="Y81" s="10">
        <v>1.0209999999989099</v>
      </c>
      <c r="AA81" s="10">
        <v>2.6724999999719539</v>
      </c>
      <c r="AB81" s="10">
        <v>0.97000000000006292</v>
      </c>
      <c r="AC81" s="10">
        <v>3.4059999999995596</v>
      </c>
      <c r="AD81" s="10">
        <v>0.9220000000000137</v>
      </c>
      <c r="AF81" s="10">
        <v>0.88499999999998058</v>
      </c>
      <c r="AI81" s="10">
        <v>0.81547254839753436</v>
      </c>
      <c r="AJ81" s="10">
        <v>0.6264263725801682</v>
      </c>
      <c r="AK81" s="10">
        <v>0.62550000000002337</v>
      </c>
      <c r="AL81" s="10">
        <v>0.78907092986355554</v>
      </c>
      <c r="AM81" s="10">
        <v>0.74076721675553503</v>
      </c>
      <c r="AN81" s="10">
        <v>0.92154220882265581</v>
      </c>
      <c r="AO81" s="10">
        <v>0.99737242145353278</v>
      </c>
      <c r="AP81" s="10">
        <v>0.94291494763579631</v>
      </c>
      <c r="AQ81" s="10"/>
      <c r="AR81" s="10">
        <v>0.63727816566169393</v>
      </c>
      <c r="AS81" s="10">
        <v>0.63985877499207522</v>
      </c>
      <c r="AT81" s="10">
        <v>0.81659742938767177</v>
      </c>
      <c r="AU81" s="10">
        <v>0.85590209457310351</v>
      </c>
      <c r="AV81" s="10">
        <v>0.76207378609935428</v>
      </c>
      <c r="AX81" s="10">
        <v>0.8393304982547285</v>
      </c>
      <c r="AY81" s="10">
        <v>0.64475347508730996</v>
      </c>
      <c r="AZ81" s="10">
        <v>0.64380000000002413</v>
      </c>
      <c r="BA81" s="10">
        <v>0.81215645826723759</v>
      </c>
      <c r="BB81" s="10">
        <v>0.7624395430011407</v>
      </c>
      <c r="BC81" s="10">
        <v>0.94850339574744336</v>
      </c>
      <c r="BD81" s="10">
        <v>1.0265521421771133</v>
      </c>
      <c r="BE81" s="10">
        <v>0.97050142811818663</v>
      </c>
      <c r="BF81" s="10">
        <v>0.65592275468105288</v>
      </c>
      <c r="BG81" s="10">
        <v>0.65857886385275477</v>
      </c>
      <c r="BH81" s="10">
        <v>0.8404882894321074</v>
      </c>
      <c r="BI81" s="10"/>
      <c r="BJ81" s="10">
        <v>0.88094287527764037</v>
      </c>
      <c r="BK81" s="10">
        <v>0.78436947000921564</v>
      </c>
    </row>
    <row r="82" spans="1:63" x14ac:dyDescent="0.25">
      <c r="A82" s="8">
        <v>46192</v>
      </c>
      <c r="B82" s="10">
        <v>1.2524700000000077</v>
      </c>
      <c r="C82" s="8"/>
      <c r="D82" s="10">
        <v>1.1814999999999976</v>
      </c>
      <c r="E82" s="10"/>
      <c r="F82">
        <v>142.20000000000212</v>
      </c>
      <c r="H82" s="10">
        <v>1.2919999999999319</v>
      </c>
      <c r="I82">
        <v>122.0999999999971</v>
      </c>
      <c r="J82" s="10">
        <v>1.2499999999999445</v>
      </c>
      <c r="L82" s="10">
        <v>1.1599999999999582</v>
      </c>
      <c r="O82">
        <v>115.99999999999871</v>
      </c>
      <c r="R82" s="10">
        <v>1.1830099999999724</v>
      </c>
      <c r="S82" s="10">
        <v>2.8744999999999532</v>
      </c>
      <c r="U82" s="10">
        <v>2.13250000000003</v>
      </c>
      <c r="V82" s="10">
        <v>1.1819999999999333</v>
      </c>
      <c r="W82" s="10">
        <v>1.1599999999999582</v>
      </c>
      <c r="X82" s="10">
        <v>3.8040000000000385</v>
      </c>
      <c r="Y82" s="10">
        <v>1.0199999999986502</v>
      </c>
      <c r="AA82" s="10">
        <v>2.6739999999712483</v>
      </c>
      <c r="AB82" s="10">
        <v>0.97900000000012644</v>
      </c>
      <c r="AC82" s="10">
        <v>3.4095000000004005</v>
      </c>
      <c r="AD82" s="10">
        <v>0.92300000000000293</v>
      </c>
      <c r="AF82" s="10">
        <v>0.88499999999991308</v>
      </c>
      <c r="AI82" s="10">
        <v>0.81652406726215987</v>
      </c>
      <c r="AJ82" s="10">
        <v>0.6297921702574808</v>
      </c>
      <c r="AK82" s="10">
        <v>0.62649999999992922</v>
      </c>
      <c r="AL82" s="10">
        <v>0.79012086179725105</v>
      </c>
      <c r="AM82" s="10">
        <v>0.74080415133910482</v>
      </c>
      <c r="AN82" s="10">
        <v>0.92496815554387468</v>
      </c>
      <c r="AO82" s="10">
        <v>1.0013465055176491</v>
      </c>
      <c r="AP82" s="10">
        <v>0.9447211770889099</v>
      </c>
      <c r="AQ82" s="10"/>
      <c r="AR82" s="10">
        <v>0.64329006831322144</v>
      </c>
      <c r="AS82" s="10">
        <v>0.63947115081453321</v>
      </c>
      <c r="AT82" s="10">
        <v>0.81645822385721278</v>
      </c>
      <c r="AU82" s="10">
        <v>0.85365974776672715</v>
      </c>
      <c r="AV82" s="10">
        <v>0.75970120861781554</v>
      </c>
      <c r="AX82" s="10">
        <v>0.83959266421433909</v>
      </c>
      <c r="AY82" s="10">
        <v>0.64758518129268827</v>
      </c>
      <c r="AZ82" s="10">
        <v>0.64419999999992728</v>
      </c>
      <c r="BA82" s="10">
        <v>0.81244351024706973</v>
      </c>
      <c r="BB82" s="10">
        <v>0.76173349448148653</v>
      </c>
      <c r="BC82" s="10">
        <v>0.9511005359957927</v>
      </c>
      <c r="BD82" s="10">
        <v>1.0296367419863841</v>
      </c>
      <c r="BE82" s="10">
        <v>0.97141162375207624</v>
      </c>
      <c r="BF82" s="10">
        <v>0.6614644245927811</v>
      </c>
      <c r="BG82" s="10">
        <v>0.65753761429325197</v>
      </c>
      <c r="BH82" s="10">
        <v>0.83952496058869353</v>
      </c>
      <c r="BI82" s="10"/>
      <c r="BJ82" s="10">
        <v>0.87777750919605058</v>
      </c>
      <c r="BK82" s="10">
        <v>0.78116443510230937</v>
      </c>
    </row>
    <row r="83" spans="1:63" x14ac:dyDescent="0.25">
      <c r="A83" s="8">
        <v>46195</v>
      </c>
      <c r="B83" s="10">
        <v>1.2529999999999974</v>
      </c>
      <c r="C83" s="8"/>
      <c r="D83" s="10">
        <v>1.1820000000000173</v>
      </c>
      <c r="E83" s="10"/>
      <c r="F83">
        <v>141.9000000000014</v>
      </c>
      <c r="H83" s="10">
        <v>1.2920000000000176</v>
      </c>
      <c r="I83">
        <v>122.21000000000063</v>
      </c>
      <c r="J83" s="10">
        <v>1.2499999999999964</v>
      </c>
      <c r="L83" s="10">
        <v>1.1650000000000262</v>
      </c>
      <c r="O83">
        <v>115.89999999999915</v>
      </c>
      <c r="R83" s="10">
        <v>1.1850000000000214</v>
      </c>
      <c r="S83" s="10">
        <v>2.8750000000000346</v>
      </c>
      <c r="U83" s="10">
        <v>2.1339999999999573</v>
      </c>
      <c r="V83" s="10">
        <v>1.1900000000000241</v>
      </c>
      <c r="W83" s="10">
        <v>1.1650000000000262</v>
      </c>
      <c r="X83" s="10">
        <v>3.8054999999997468</v>
      </c>
      <c r="Y83" s="10">
        <v>1.0204999999983138</v>
      </c>
      <c r="AA83" s="10">
        <v>2.6749999999639651</v>
      </c>
      <c r="AB83" s="10">
        <v>0.96610000000000273</v>
      </c>
      <c r="AC83" s="10">
        <v>3.3999999999999901</v>
      </c>
      <c r="AD83" s="10">
        <v>0.92250000000004007</v>
      </c>
      <c r="AF83" s="10">
        <v>0.88999999999995505</v>
      </c>
      <c r="AI83" s="10">
        <v>0.81680344827580909</v>
      </c>
      <c r="AJ83" s="10">
        <v>0.6273931034482968</v>
      </c>
      <c r="AK83" s="10">
        <v>0.6270000000000141</v>
      </c>
      <c r="AL83" s="10">
        <v>0.79144827586202426</v>
      </c>
      <c r="AM83" s="10">
        <v>0.7430310344817771</v>
      </c>
      <c r="AN83" s="10">
        <v>0.92510344827591184</v>
      </c>
      <c r="AO83" s="10">
        <v>0.99979310344830297</v>
      </c>
      <c r="AP83" s="10">
        <v>0.94272758620686536</v>
      </c>
      <c r="AQ83" s="10"/>
      <c r="AR83" s="10">
        <v>0.64244474647153216</v>
      </c>
      <c r="AS83" s="10">
        <v>0.6401034482758492</v>
      </c>
      <c r="AT83" s="10">
        <v>0.81765517241375152</v>
      </c>
      <c r="AU83" s="10">
        <v>0.85545862068950995</v>
      </c>
      <c r="AV83" s="10">
        <v>0.76301379310316297</v>
      </c>
      <c r="AX83" s="10">
        <v>0.83973126436776147</v>
      </c>
      <c r="AY83" s="10">
        <v>0.64500413793105593</v>
      </c>
      <c r="AZ83" s="10">
        <v>0.64460000000001438</v>
      </c>
      <c r="BA83" s="10">
        <v>0.8136643678160459</v>
      </c>
      <c r="BB83" s="10">
        <v>0.76388804597600224</v>
      </c>
      <c r="BC83" s="10">
        <v>0.95107126436786715</v>
      </c>
      <c r="BD83" s="10">
        <v>1.0278574712643958</v>
      </c>
      <c r="BE83" s="10">
        <v>0.96919011494249641</v>
      </c>
      <c r="BF83" s="10">
        <v>0.66182885520127666</v>
      </c>
      <c r="BG83" s="10">
        <v>0.65807126436780261</v>
      </c>
      <c r="BH83" s="10">
        <v>0.84060689655168119</v>
      </c>
      <c r="BI83" s="10"/>
      <c r="BJ83" s="10">
        <v>0.8794714942527242</v>
      </c>
      <c r="BK83" s="10">
        <v>0.78443172413763762</v>
      </c>
    </row>
    <row r="84" spans="1:63" x14ac:dyDescent="0.25">
      <c r="A84" s="8">
        <v>46196</v>
      </c>
      <c r="B84" s="10">
        <v>1.2455600000000018</v>
      </c>
      <c r="C84" s="8"/>
      <c r="D84" s="10">
        <v>1.1750000000000003</v>
      </c>
      <c r="E84" s="10"/>
      <c r="F84">
        <v>141.51899999999259</v>
      </c>
      <c r="H84" s="10">
        <v>1.286500000000089</v>
      </c>
      <c r="I84">
        <v>121.49999999999996</v>
      </c>
      <c r="J84" s="10">
        <v>1.245200000000007</v>
      </c>
      <c r="L84" s="10">
        <v>1.1600000000000272</v>
      </c>
      <c r="O84">
        <v>115.79999999999939</v>
      </c>
      <c r="R84" s="10">
        <v>1.1839999999999786</v>
      </c>
      <c r="S84" s="10">
        <v>2.8720000000000208</v>
      </c>
      <c r="U84" s="10">
        <v>2.1239999999999735</v>
      </c>
      <c r="V84" s="10">
        <v>1.1844999999999828</v>
      </c>
      <c r="W84" s="10">
        <v>1.1600000000000272</v>
      </c>
      <c r="X84" s="10">
        <v>3.7839999999999971</v>
      </c>
      <c r="Y84" s="10">
        <v>1.0199999999979668</v>
      </c>
      <c r="AA84" s="10">
        <v>2.6660000000001109</v>
      </c>
      <c r="AB84" s="10">
        <v>0.97900000000003429</v>
      </c>
      <c r="AC84" s="10">
        <v>3.3855000000001394</v>
      </c>
      <c r="AD84" s="10">
        <v>0.9166000000000325</v>
      </c>
      <c r="AF84" s="10">
        <v>0.88299999999999368</v>
      </c>
      <c r="AI84" s="10">
        <v>0.81443298969068989</v>
      </c>
      <c r="AJ84" s="10">
        <v>0.63046595218464174</v>
      </c>
      <c r="AK84" s="10">
        <v>0.62499999999994493</v>
      </c>
      <c r="AL84" s="10">
        <v>0.78775773195887955</v>
      </c>
      <c r="AM84" s="10">
        <v>0.73840206185430046</v>
      </c>
      <c r="AN84" s="10">
        <v>0.92609536082471355</v>
      </c>
      <c r="AO84" s="10">
        <v>0.99806701030923561</v>
      </c>
      <c r="AP84" s="10">
        <v>0.94329896907206034</v>
      </c>
      <c r="AQ84" s="10"/>
      <c r="AR84" s="10">
        <v>0.64071477776632746</v>
      </c>
      <c r="AS84" s="10">
        <v>0.63994845360827246</v>
      </c>
      <c r="AT84" s="10">
        <v>0.81636597938151123</v>
      </c>
      <c r="AU84" s="10">
        <v>0.85283505154627504</v>
      </c>
      <c r="AV84" s="10">
        <v>0.75953608247381565</v>
      </c>
      <c r="AX84" s="10">
        <v>0.83893113402058572</v>
      </c>
      <c r="AY84" s="10">
        <v>0.64973915910962032</v>
      </c>
      <c r="AZ84" s="10">
        <v>0.64379999999994331</v>
      </c>
      <c r="BA84" s="10">
        <v>0.81145348453620258</v>
      </c>
      <c r="BB84" s="10">
        <v>0.76061319587487786</v>
      </c>
      <c r="BC84" s="10">
        <v>0.95395230927832086</v>
      </c>
      <c r="BD84" s="10">
        <v>1.0280888659793375</v>
      </c>
      <c r="BE84" s="10">
        <v>0.9716734020617479</v>
      </c>
      <c r="BF84" s="10">
        <v>0.66040383623802001</v>
      </c>
      <c r="BG84" s="10">
        <v>0.65919810309280924</v>
      </c>
      <c r="BH84" s="10">
        <v>0.84092226804130699</v>
      </c>
      <c r="BI84" s="10"/>
      <c r="BJ84" s="10">
        <v>0.87848832989678693</v>
      </c>
      <c r="BK84" s="10">
        <v>0.78238292783462793</v>
      </c>
    </row>
    <row r="85" spans="1:63" x14ac:dyDescent="0.25">
      <c r="A85" s="8">
        <v>46197</v>
      </c>
      <c r="B85" s="10">
        <v>1.2460100000000016</v>
      </c>
      <c r="C85" s="8"/>
      <c r="D85" s="10">
        <v>1.1784699999999635</v>
      </c>
      <c r="E85" s="10"/>
      <c r="F85">
        <v>141.34999999999647</v>
      </c>
      <c r="H85" s="10">
        <v>1.2860000000000162</v>
      </c>
      <c r="I85">
        <v>121.52400000000232</v>
      </c>
      <c r="J85" s="10">
        <v>1.2446900000000436</v>
      </c>
      <c r="L85" s="10">
        <v>1.157499999999964</v>
      </c>
      <c r="O85">
        <v>115.85000000000105</v>
      </c>
      <c r="R85" s="10">
        <v>1.1837999999999966</v>
      </c>
      <c r="S85" s="10">
        <v>2.8734999999999986</v>
      </c>
      <c r="U85" s="10">
        <v>2.1180000000001002</v>
      </c>
      <c r="V85" s="10">
        <v>1.1675000000000009</v>
      </c>
      <c r="W85" s="10">
        <v>1.157499999999964</v>
      </c>
      <c r="X85" s="10">
        <v>3.765999999999539</v>
      </c>
      <c r="Y85" s="10">
        <v>1.0164999999965232</v>
      </c>
      <c r="AA85" s="10">
        <v>2.6600000000001049</v>
      </c>
      <c r="AB85" s="10">
        <v>0.98500000000000587</v>
      </c>
      <c r="AC85" s="10">
        <v>3.3774999999999604</v>
      </c>
      <c r="AD85" s="10">
        <v>0.91600000000001969</v>
      </c>
      <c r="AF85" s="10">
        <v>0.88050000000004847</v>
      </c>
      <c r="AI85" s="10">
        <v>0.8151657927334367</v>
      </c>
      <c r="AJ85" s="10">
        <v>0.62918073905861926</v>
      </c>
      <c r="AK85" s="10">
        <v>0.6238999999999949</v>
      </c>
      <c r="AL85" s="10">
        <v>0.78947048926513441</v>
      </c>
      <c r="AM85" s="10">
        <v>0.74072025185682899</v>
      </c>
      <c r="AN85" s="10">
        <v>0.92103817093303875</v>
      </c>
      <c r="AO85" s="10">
        <v>0.99625650289014034</v>
      </c>
      <c r="AP85" s="10">
        <v>0.9408731420313815</v>
      </c>
      <c r="AQ85" s="10"/>
      <c r="AR85" s="10">
        <v>0.64241153210818736</v>
      </c>
      <c r="AS85" s="10">
        <v>0.63884062758055815</v>
      </c>
      <c r="AT85" s="10">
        <v>0.81716216969466193</v>
      </c>
      <c r="AU85" s="10">
        <v>0.85135817506202049</v>
      </c>
      <c r="AV85" s="10">
        <v>0.75797925268354294</v>
      </c>
      <c r="AX85" s="10">
        <v>0.8406438067714268</v>
      </c>
      <c r="AY85" s="10">
        <v>0.64884578860444875</v>
      </c>
      <c r="AZ85" s="10">
        <v>0.64339999999999464</v>
      </c>
      <c r="BA85" s="10">
        <v>0.81414539636670535</v>
      </c>
      <c r="BB85" s="10">
        <v>0.76387146985844501</v>
      </c>
      <c r="BC85" s="10">
        <v>0.94982522708497696</v>
      </c>
      <c r="BD85" s="10">
        <v>1.0273945086704861</v>
      </c>
      <c r="BE85" s="10">
        <v>0.97028014037985388</v>
      </c>
      <c r="BF85" s="10">
        <v>0.66258014660333475</v>
      </c>
      <c r="BG85" s="10">
        <v>0.65880759702729774</v>
      </c>
      <c r="BH85" s="10">
        <v>0.84270258051217406</v>
      </c>
      <c r="BI85" s="10"/>
      <c r="BJ85" s="10">
        <v>0.87796738232874494</v>
      </c>
      <c r="BK85" s="10">
        <v>0.7816699009081447</v>
      </c>
    </row>
    <row r="86" spans="1:63" x14ac:dyDescent="0.25">
      <c r="A86" s="8">
        <v>46198</v>
      </c>
      <c r="B86" s="10">
        <v>1.2504900000000061</v>
      </c>
      <c r="C86" s="8"/>
      <c r="D86" s="10">
        <v>1.1760000000000139</v>
      </c>
      <c r="E86" s="10"/>
      <c r="F86">
        <v>141.19999999999828</v>
      </c>
      <c r="H86" s="10">
        <v>1.2879999999999736</v>
      </c>
      <c r="I86">
        <v>121.79000000000353</v>
      </c>
      <c r="J86" s="10">
        <v>1.2294999999999572</v>
      </c>
      <c r="L86" s="10">
        <v>1.1540000000000674</v>
      </c>
      <c r="O86">
        <v>115.90000000000144</v>
      </c>
      <c r="R86" s="10">
        <v>1.1825000000000259</v>
      </c>
      <c r="S86" s="10">
        <v>2.8699999999999513</v>
      </c>
      <c r="U86" s="10">
        <v>2.1140000000000034</v>
      </c>
      <c r="V86" s="10">
        <v>1.1700000000000288</v>
      </c>
      <c r="W86" s="10">
        <v>1.1540000000000674</v>
      </c>
      <c r="X86" s="10">
        <v>3.7559999999994562</v>
      </c>
      <c r="Y86" s="10">
        <v>1.013499999994584</v>
      </c>
      <c r="AA86" s="10">
        <v>2.6560000000000348</v>
      </c>
      <c r="AB86" s="10">
        <v>0.9805999999999756</v>
      </c>
      <c r="AC86" s="10">
        <v>3.3649999999997346</v>
      </c>
      <c r="AD86" s="10">
        <v>0.91399999999994463</v>
      </c>
      <c r="AF86" s="10">
        <v>0.87580000000004465</v>
      </c>
      <c r="AI86" s="10">
        <v>0.81711854229216963</v>
      </c>
      <c r="AJ86" s="10">
        <v>0.62883163888602489</v>
      </c>
      <c r="AK86" s="10">
        <v>0.62540000000003526</v>
      </c>
      <c r="AL86" s="10">
        <v>0.7935503054147045</v>
      </c>
      <c r="AM86" s="10">
        <v>0.7420757221235541</v>
      </c>
      <c r="AN86" s="10">
        <v>0.92531228905703211</v>
      </c>
      <c r="AO86" s="10">
        <v>0.99970763018951692</v>
      </c>
      <c r="AP86" s="10">
        <v>0.94143451703073866</v>
      </c>
      <c r="AQ86" s="10"/>
      <c r="AR86" s="10">
        <v>0.64225597184844463</v>
      </c>
      <c r="AS86" s="10">
        <v>0.64229920281600106</v>
      </c>
      <c r="AT86" s="10">
        <v>0.82067967698526223</v>
      </c>
      <c r="AU86" s="10">
        <v>0.8556294038502239</v>
      </c>
      <c r="AV86" s="10">
        <v>0.76273030334408565</v>
      </c>
      <c r="AX86" s="10">
        <v>0.84168174759292569</v>
      </c>
      <c r="AY86" s="10">
        <v>0.64773479656280342</v>
      </c>
      <c r="AZ86" s="10">
        <v>0.64420000000003641</v>
      </c>
      <c r="BA86" s="10">
        <v>0.81740503157683519</v>
      </c>
      <c r="BB86" s="10">
        <v>0.76438308313398406</v>
      </c>
      <c r="BC86" s="10">
        <v>0.9531278807331951</v>
      </c>
      <c r="BD86" s="10">
        <v>1.0297596024433751</v>
      </c>
      <c r="BE86" s="10">
        <v>0.96973475515062657</v>
      </c>
      <c r="BF86" s="10">
        <v>0.66207932105150713</v>
      </c>
      <c r="BG86" s="10">
        <v>0.6616072057148511</v>
      </c>
      <c r="BH86" s="10">
        <v>0.84534993270531811</v>
      </c>
      <c r="BI86" s="10"/>
      <c r="BJ86" s="10">
        <v>0.8820385634445137</v>
      </c>
      <c r="BK86" s="10">
        <v>0.78565855678647267</v>
      </c>
    </row>
    <row r="87" spans="1:63" x14ac:dyDescent="0.25">
      <c r="A87" s="8">
        <v>46199</v>
      </c>
      <c r="B87" s="10">
        <v>1.2505999999999682</v>
      </c>
      <c r="C87" s="8"/>
      <c r="D87" s="10">
        <v>1.1811000000000313</v>
      </c>
      <c r="E87" s="10"/>
      <c r="F87">
        <v>141.60000000000085</v>
      </c>
      <c r="H87" s="10">
        <v>1.2909999999999757</v>
      </c>
      <c r="I87">
        <v>122.80000000000007</v>
      </c>
      <c r="J87" s="10">
        <v>1.2249999999999914</v>
      </c>
      <c r="L87" s="10">
        <v>1.1580000000000199</v>
      </c>
      <c r="O87">
        <v>116.19999999999844</v>
      </c>
      <c r="R87" s="10">
        <v>1.1854999999999942</v>
      </c>
      <c r="S87" s="10">
        <v>2.8749999999999964</v>
      </c>
      <c r="U87" s="10">
        <v>2.1250000000000626</v>
      </c>
      <c r="V87" s="10">
        <v>1.1665000000000254</v>
      </c>
      <c r="W87" s="10">
        <v>1.1580000000000199</v>
      </c>
      <c r="X87" s="10">
        <v>3.7524999999993187</v>
      </c>
      <c r="Y87" s="10">
        <v>1.0159999999955038</v>
      </c>
      <c r="AA87" s="10">
        <v>2.6675000000001008</v>
      </c>
      <c r="AB87" s="10">
        <v>0.97220000000006379</v>
      </c>
      <c r="AC87" s="10">
        <v>3.3785000000001033</v>
      </c>
      <c r="AD87" s="10">
        <v>0.91899999999999127</v>
      </c>
      <c r="AF87" s="10">
        <v>0.89150000000002816</v>
      </c>
      <c r="AI87" s="10">
        <v>0.81897231567995776</v>
      </c>
      <c r="AJ87" s="10">
        <v>0.63066633437180775</v>
      </c>
      <c r="AK87" s="10">
        <v>0.62379999999997782</v>
      </c>
      <c r="AL87" s="10">
        <v>0.79545835929417241</v>
      </c>
      <c r="AM87" s="10">
        <v>0.74493250259500809</v>
      </c>
      <c r="AN87" s="10">
        <v>0.9263073727932738</v>
      </c>
      <c r="AO87" s="10">
        <v>0.99833910695745087</v>
      </c>
      <c r="AP87" s="10">
        <v>0.95215329179644459</v>
      </c>
      <c r="AQ87" s="10"/>
      <c r="AR87" s="10">
        <v>0.64161360332297479</v>
      </c>
      <c r="AS87" s="10">
        <v>0.63979985462100375</v>
      </c>
      <c r="AT87" s="10">
        <v>0.82072128764273444</v>
      </c>
      <c r="AU87" s="10">
        <v>0.85796791277264495</v>
      </c>
      <c r="AV87" s="10">
        <v>0.76501329179606059</v>
      </c>
      <c r="AX87" s="10">
        <v>0.84326052959480091</v>
      </c>
      <c r="AY87" s="10">
        <v>0.6493699688474065</v>
      </c>
      <c r="AZ87" s="10">
        <v>0.64229999999997711</v>
      </c>
      <c r="BA87" s="10">
        <v>0.8190492211841085</v>
      </c>
      <c r="BB87" s="10">
        <v>0.76702492211730311</v>
      </c>
      <c r="BC87" s="10">
        <v>0.95377881619929417</v>
      </c>
      <c r="BD87" s="10">
        <v>1.0279467912772855</v>
      </c>
      <c r="BE87" s="10">
        <v>0.98039124610589345</v>
      </c>
      <c r="BF87" s="10">
        <v>0.66064190031155279</v>
      </c>
      <c r="BG87" s="10">
        <v>0.65877436137074497</v>
      </c>
      <c r="BH87" s="10">
        <v>0.84506137071646092</v>
      </c>
      <c r="BI87" s="10"/>
      <c r="BJ87" s="10">
        <v>0.88341261682249095</v>
      </c>
      <c r="BK87" s="10">
        <v>0.78770124610549819</v>
      </c>
    </row>
    <row r="88" spans="1:63" x14ac:dyDescent="0.25">
      <c r="A88" s="8">
        <v>46202</v>
      </c>
      <c r="B88" s="10">
        <v>1.2550199999999838</v>
      </c>
      <c r="C88" s="8"/>
      <c r="D88" s="10">
        <v>1.1855500000000281</v>
      </c>
      <c r="E88" s="10"/>
      <c r="F88">
        <v>142.25000000000114</v>
      </c>
      <c r="H88" s="10">
        <v>1.2983899999999551</v>
      </c>
      <c r="I88">
        <v>122.85000000000015</v>
      </c>
      <c r="J88" s="10">
        <v>1.2374999999999325</v>
      </c>
      <c r="L88" s="10">
        <v>1.1645000000000396</v>
      </c>
      <c r="O88">
        <v>116.19999999999891</v>
      </c>
      <c r="R88" s="10">
        <v>1.1876999999999795</v>
      </c>
      <c r="S88" s="10">
        <v>2.8819999999999606</v>
      </c>
      <c r="U88" s="10">
        <v>2.1275000000000284</v>
      </c>
      <c r="V88" s="10">
        <v>1.1750000000000045</v>
      </c>
      <c r="W88" s="10">
        <v>1.1645000000000396</v>
      </c>
      <c r="X88" s="10">
        <v>3.7709999999994288</v>
      </c>
      <c r="Y88" s="10">
        <v>1.0189999999953432</v>
      </c>
      <c r="AA88" s="10">
        <v>2.6649999999998717</v>
      </c>
      <c r="AB88" s="10">
        <v>0.95950000000005586</v>
      </c>
      <c r="AC88" s="10">
        <v>3.3820000000001635</v>
      </c>
      <c r="AD88" s="10">
        <v>0.91749999999984455</v>
      </c>
      <c r="AF88" s="10">
        <v>0.88239999999987528</v>
      </c>
      <c r="AI88" s="10">
        <v>0.81711701338814191</v>
      </c>
      <c r="AJ88" s="10">
        <v>0.63030700308964915</v>
      </c>
      <c r="AK88" s="10">
        <v>0.62420000000001674</v>
      </c>
      <c r="AL88" s="10">
        <v>0.79204615859942762</v>
      </c>
      <c r="AM88" s="10">
        <v>0.74923285272854701</v>
      </c>
      <c r="AN88" s="10">
        <v>0.92402170957778351</v>
      </c>
      <c r="AO88" s="10">
        <v>0.99222729145202637</v>
      </c>
      <c r="AP88" s="10">
        <v>0.93983563336776532</v>
      </c>
      <c r="AQ88" s="10"/>
      <c r="AR88" s="10">
        <v>0.64127706422013575</v>
      </c>
      <c r="AS88" s="10">
        <v>0.64072105046337635</v>
      </c>
      <c r="AT88" s="10">
        <v>0.82161691040165064</v>
      </c>
      <c r="AU88" s="10">
        <v>0.85813036045341973</v>
      </c>
      <c r="AV88" s="10">
        <v>0.76646102986544273</v>
      </c>
      <c r="AX88" s="10">
        <v>0.84185830072078516</v>
      </c>
      <c r="AY88" s="10">
        <v>0.6493919155510306</v>
      </c>
      <c r="AZ88" s="10">
        <v>0.64310000000001732</v>
      </c>
      <c r="BA88" s="10">
        <v>0.81602833161693678</v>
      </c>
      <c r="BB88" s="10">
        <v>0.77191869206941466</v>
      </c>
      <c r="BC88" s="10">
        <v>0.95199993820806239</v>
      </c>
      <c r="BD88" s="10">
        <v>1.0222707003088725</v>
      </c>
      <c r="BE88" s="10">
        <v>0.96829268795067269</v>
      </c>
      <c r="BF88" s="10">
        <v>0.66090275229352868</v>
      </c>
      <c r="BG88" s="10">
        <v>0.66012128733258146</v>
      </c>
      <c r="BH88" s="10">
        <v>0.84649444902163007</v>
      </c>
      <c r="BI88" s="10"/>
      <c r="BJ88" s="10">
        <v>0.88411348094776399</v>
      </c>
      <c r="BK88" s="10">
        <v>0.78966851699209595</v>
      </c>
    </row>
    <row r="89" spans="1:63" x14ac:dyDescent="0.25">
      <c r="A89" s="8">
        <v>46203</v>
      </c>
      <c r="B89" s="10">
        <v>1.2570000000000041</v>
      </c>
      <c r="C89" s="10">
        <v>1.0064499999999996</v>
      </c>
      <c r="D89" s="10">
        <v>1.1890000000000192</v>
      </c>
      <c r="E89" s="10"/>
      <c r="F89">
        <v>142.84000000000216</v>
      </c>
      <c r="H89" s="10">
        <v>1.3018899999999989</v>
      </c>
      <c r="I89">
        <v>123.05999999999922</v>
      </c>
      <c r="J89" s="10">
        <v>1.2564499999999315</v>
      </c>
      <c r="L89" s="10">
        <v>1.1629999999999696</v>
      </c>
      <c r="O89">
        <v>116.49999999999818</v>
      </c>
      <c r="P89">
        <v>101.69999999999537</v>
      </c>
      <c r="R89" s="10">
        <v>1.1890000000000207</v>
      </c>
      <c r="S89" s="10">
        <v>2.8850000000000522</v>
      </c>
      <c r="U89" s="10">
        <v>2.1285000000000052</v>
      </c>
      <c r="V89" s="10">
        <v>1.181500000000004</v>
      </c>
      <c r="W89" s="10">
        <v>1.1629999999999696</v>
      </c>
      <c r="X89" s="10">
        <v>3.7769999999996382</v>
      </c>
      <c r="Y89" s="10">
        <v>1.0199999999955669</v>
      </c>
      <c r="Z89" s="10">
        <v>0.9219999999999855</v>
      </c>
      <c r="AA89" s="10">
        <v>2.6700000000002753</v>
      </c>
      <c r="AB89" s="10">
        <v>0.95599999999999807</v>
      </c>
      <c r="AC89" s="10">
        <v>3.377000000000383</v>
      </c>
      <c r="AD89" s="10">
        <v>0.91950000000003063</v>
      </c>
      <c r="AE89" s="10">
        <v>0.81929999999999614</v>
      </c>
      <c r="AF89" s="10">
        <v>0.87979999999992531</v>
      </c>
      <c r="AI89" s="10">
        <v>0.81349051768320524</v>
      </c>
      <c r="AJ89" s="10">
        <v>0.62795087647364556</v>
      </c>
      <c r="AK89" s="10">
        <v>0.62240000000006201</v>
      </c>
      <c r="AL89" s="10">
        <v>0.78548092260350577</v>
      </c>
      <c r="AM89" s="10">
        <v>0.74975114300265711</v>
      </c>
      <c r="AN89" s="10">
        <v>0.92578411071263655</v>
      </c>
      <c r="AO89" s="10">
        <v>0.99526577139924388</v>
      </c>
      <c r="AP89" s="10">
        <v>0.93529078421317291</v>
      </c>
      <c r="AQ89" s="10"/>
      <c r="AR89" s="10">
        <v>0.64345504869303971</v>
      </c>
      <c r="AS89" s="10">
        <v>0.63771276268587263</v>
      </c>
      <c r="AT89" s="10">
        <v>0.81884998462317427</v>
      </c>
      <c r="AU89" s="10">
        <v>0.86006683751925894</v>
      </c>
      <c r="AV89" s="10">
        <v>0.76436207073296769</v>
      </c>
      <c r="AX89" s="10">
        <v>0.83806253203481873</v>
      </c>
      <c r="AY89" s="10">
        <v>0.64691854433628138</v>
      </c>
      <c r="AZ89" s="10">
        <v>0.64120000000006383</v>
      </c>
      <c r="BA89" s="10">
        <v>0.80920688877469127</v>
      </c>
      <c r="BB89" s="10">
        <v>0.7723978677591643</v>
      </c>
      <c r="BC89" s="10">
        <v>0.95374802665318559</v>
      </c>
      <c r="BD89" s="10">
        <v>1.0253284264479356</v>
      </c>
      <c r="BE89" s="10">
        <v>0.96354185545868665</v>
      </c>
      <c r="BF89" s="10">
        <v>0.66289103024096574</v>
      </c>
      <c r="BG89" s="10">
        <v>0.65697529472072869</v>
      </c>
      <c r="BH89" s="10">
        <v>0.84358388518698491</v>
      </c>
      <c r="BI89" s="10"/>
      <c r="BJ89" s="10">
        <v>0.8860457201435552</v>
      </c>
      <c r="BK89" s="10">
        <v>0.78745012813942639</v>
      </c>
    </row>
    <row r="90" spans="1:63" x14ac:dyDescent="0.25">
      <c r="A90" s="8">
        <v>46204</v>
      </c>
      <c r="B90" s="10">
        <v>1.2580000000000116</v>
      </c>
      <c r="C90" s="10">
        <v>1.0078999999999911</v>
      </c>
      <c r="D90" s="10">
        <v>1.1880000000000264</v>
      </c>
      <c r="E90" s="10"/>
      <c r="F90">
        <v>143.00000000000205</v>
      </c>
      <c r="H90" s="10">
        <v>1.3029000000000499</v>
      </c>
      <c r="I90">
        <v>123.69999999999912</v>
      </c>
      <c r="J90" s="10">
        <v>1.248000000000012</v>
      </c>
      <c r="L90" s="10">
        <v>1.1630000000000142</v>
      </c>
      <c r="O90">
        <v>116.14999999999726</v>
      </c>
      <c r="P90">
        <v>101.59999999998949</v>
      </c>
      <c r="R90" s="10">
        <v>1.1889999999999905</v>
      </c>
      <c r="S90" s="10">
        <v>2.8864999999999661</v>
      </c>
      <c r="U90" s="10">
        <v>2.1290000000000497</v>
      </c>
      <c r="V90" s="10">
        <v>1.1785000000000299</v>
      </c>
      <c r="W90" s="10">
        <v>1.1630000000000142</v>
      </c>
      <c r="X90" s="10">
        <v>3.7699999999995493</v>
      </c>
      <c r="Y90" s="10">
        <v>1.0199999999950979</v>
      </c>
      <c r="Z90" s="10">
        <v>0.92349999999996124</v>
      </c>
      <c r="AA90" s="10">
        <v>2.6659999999997073</v>
      </c>
      <c r="AB90" s="10">
        <v>0.95749999999991953</v>
      </c>
      <c r="AC90" s="10">
        <v>3.3800000000000519</v>
      </c>
      <c r="AD90" s="10">
        <v>0.91759999999996911</v>
      </c>
      <c r="AE90" s="10">
        <v>0.82090000000003482</v>
      </c>
      <c r="AF90" s="10">
        <v>0.88000000000002121</v>
      </c>
      <c r="AI90" s="10">
        <v>0.81640269411990074</v>
      </c>
      <c r="AJ90" s="10">
        <v>0.62707068223728879</v>
      </c>
      <c r="AK90" s="10">
        <v>0.62209999999995358</v>
      </c>
      <c r="AL90" s="10">
        <v>0.78855412825249926</v>
      </c>
      <c r="AM90" s="10">
        <v>0.75235736529346797</v>
      </c>
      <c r="AN90" s="10">
        <v>0.91862031346041506</v>
      </c>
      <c r="AO90" s="10">
        <v>0.9920971931980489</v>
      </c>
      <c r="AP90" s="10">
        <v>0.94022366318383488</v>
      </c>
      <c r="AQ90" s="10"/>
      <c r="AR90" s="10">
        <v>0.64311904371859829</v>
      </c>
      <c r="AS90" s="10">
        <v>0.63662968653968255</v>
      </c>
      <c r="AT90" s="10">
        <v>0.8226479102640224</v>
      </c>
      <c r="AU90" s="10">
        <v>0.86203100799044208</v>
      </c>
      <c r="AV90" s="10">
        <v>0.76663214505187949</v>
      </c>
      <c r="AX90" s="10">
        <v>0.84225566482262082</v>
      </c>
      <c r="AY90" s="10">
        <v>0.64692808850649741</v>
      </c>
      <c r="AZ90" s="10">
        <v>0.6417999999999523</v>
      </c>
      <c r="BA90" s="10">
        <v>0.81352522024184881</v>
      </c>
      <c r="BB90" s="10">
        <v>0.77618221675831511</v>
      </c>
      <c r="BC90" s="10">
        <v>0.94771020282735008</v>
      </c>
      <c r="BD90" s="10">
        <v>1.0235138701085162</v>
      </c>
      <c r="BE90" s="10">
        <v>0.96999766441309321</v>
      </c>
      <c r="BF90" s="10">
        <v>0.66369140984944552</v>
      </c>
      <c r="BG90" s="10">
        <v>0.65678979717275088</v>
      </c>
      <c r="BH90" s="10">
        <v>0.84869864781779403</v>
      </c>
      <c r="BI90" s="10"/>
      <c r="BJ90" s="10">
        <v>0.88932888752333372</v>
      </c>
      <c r="BK90" s="10">
        <v>0.79090903503342924</v>
      </c>
    </row>
    <row r="91" spans="1:63" x14ac:dyDescent="0.25">
      <c r="A91" s="8">
        <v>46205</v>
      </c>
      <c r="B91" s="10">
        <v>1.2579999999999807</v>
      </c>
      <c r="C91" s="10">
        <v>1.0085499999999785</v>
      </c>
      <c r="D91" s="10">
        <v>1.1879999999999871</v>
      </c>
      <c r="E91" s="10"/>
      <c r="F91">
        <v>143.24899999999764</v>
      </c>
      <c r="H91" s="10">
        <v>1.305500000000015</v>
      </c>
      <c r="I91">
        <v>123.44999999999722</v>
      </c>
      <c r="J91" s="10">
        <v>1.2519999999999423</v>
      </c>
      <c r="L91" s="10">
        <v>1.163000000000006</v>
      </c>
      <c r="O91">
        <v>116.20000000000172</v>
      </c>
      <c r="P91">
        <v>101.69999999998738</v>
      </c>
      <c r="R91" s="10">
        <v>1.1906999999999592</v>
      </c>
      <c r="S91" s="10">
        <v>2.8924999999999415</v>
      </c>
      <c r="U91" s="10">
        <v>2.1309999999999643</v>
      </c>
      <c r="V91" s="10">
        <v>1.1875000000000007</v>
      </c>
      <c r="W91" s="10">
        <v>1.163000000000006</v>
      </c>
      <c r="X91" s="10">
        <v>3.7789999999993489</v>
      </c>
      <c r="Y91" s="10">
        <v>1.0219999999957701</v>
      </c>
      <c r="Z91" s="10">
        <v>0.92599999999032934</v>
      </c>
      <c r="AA91" s="10">
        <v>2.6629999999998644</v>
      </c>
      <c r="AB91" s="10">
        <v>0.96200000000008101</v>
      </c>
      <c r="AC91" s="10">
        <v>3.3874999999997324</v>
      </c>
      <c r="AD91" s="10">
        <v>0.92099999999993198</v>
      </c>
      <c r="AE91" s="10">
        <v>0.82199999999995554</v>
      </c>
      <c r="AF91" s="10">
        <v>0.88149999999999229</v>
      </c>
      <c r="AI91" s="10">
        <v>0.82013067777682414</v>
      </c>
      <c r="AJ91" s="10">
        <v>0.63282627781730827</v>
      </c>
      <c r="AK91" s="10">
        <v>0.62419999999996501</v>
      </c>
      <c r="AL91" s="10">
        <v>0.79266613149088994</v>
      </c>
      <c r="AM91" s="10">
        <v>0.76063473224203149</v>
      </c>
      <c r="AN91" s="10">
        <v>0.9226945838837185</v>
      </c>
      <c r="AO91" s="10">
        <v>0.99284651966256665</v>
      </c>
      <c r="AP91" s="10">
        <v>0.9403277105984813</v>
      </c>
      <c r="AQ91" s="10"/>
      <c r="AR91" s="10">
        <v>0.64697083629718066</v>
      </c>
      <c r="AS91" s="10">
        <v>0.64316512549537652</v>
      </c>
      <c r="AT91" s="10">
        <v>0.82552210141265436</v>
      </c>
      <c r="AU91" s="10">
        <v>0.85888549944104664</v>
      </c>
      <c r="AV91" s="10">
        <v>0.77249586424123029</v>
      </c>
      <c r="AX91" s="10">
        <v>0.84522599329354531</v>
      </c>
      <c r="AY91" s="10">
        <v>0.65219023473225635</v>
      </c>
      <c r="AZ91" s="10">
        <v>0.6432999999999639</v>
      </c>
      <c r="BA91" s="10">
        <v>0.81692105477105026</v>
      </c>
      <c r="BB91" s="10">
        <v>0.78390952138945669</v>
      </c>
      <c r="BC91" s="10">
        <v>0.95092826948477438</v>
      </c>
      <c r="BD91" s="10">
        <v>1.0232267960572399</v>
      </c>
      <c r="BE91" s="10">
        <v>0.96910095518744466</v>
      </c>
      <c r="BF91" s="10">
        <v>0.66676760491825759</v>
      </c>
      <c r="BG91" s="10">
        <v>0.66284544253632771</v>
      </c>
      <c r="BH91" s="10">
        <v>0.85078239000121836</v>
      </c>
      <c r="BI91" s="10"/>
      <c r="BJ91" s="10">
        <v>0.88516668021535627</v>
      </c>
      <c r="BK91" s="10">
        <v>0.79613359414672136</v>
      </c>
    </row>
    <row r="92" spans="1:63" x14ac:dyDescent="0.25">
      <c r="A92" s="8">
        <v>46206</v>
      </c>
      <c r="B92" s="10">
        <v>1.2606000000000146</v>
      </c>
      <c r="C92" s="10">
        <v>1.012290000000021</v>
      </c>
      <c r="D92" s="10">
        <v>1.1904999999999952</v>
      </c>
      <c r="E92" s="10"/>
      <c r="F92">
        <v>143.99999999999963</v>
      </c>
      <c r="H92" s="10">
        <v>1.3100000000000049</v>
      </c>
      <c r="I92">
        <v>123.609999999994</v>
      </c>
      <c r="J92" s="10">
        <v>1.2560000000000466</v>
      </c>
      <c r="L92" s="10">
        <v>1.1649999999999661</v>
      </c>
      <c r="O92">
        <v>116.54999999999748</v>
      </c>
      <c r="P92">
        <v>102.29999999999512</v>
      </c>
      <c r="R92" s="10">
        <v>1.1941200000000296</v>
      </c>
      <c r="S92" s="10">
        <v>2.899500000000097</v>
      </c>
      <c r="U92" s="10">
        <v>2.1400000000000134</v>
      </c>
      <c r="V92" s="10">
        <v>1.1845000000000234</v>
      </c>
      <c r="W92" s="10">
        <v>1.1649999999999661</v>
      </c>
      <c r="X92" s="10">
        <v>3.804500000000008</v>
      </c>
      <c r="Y92" s="10">
        <v>1.0279999999973501</v>
      </c>
      <c r="Z92" s="10">
        <v>0.93099999999321892</v>
      </c>
      <c r="AA92" s="10">
        <v>2.6749999999999097</v>
      </c>
      <c r="AB92" s="10">
        <v>0.96499999999999686</v>
      </c>
      <c r="AC92" s="10">
        <v>3.4099999999997719</v>
      </c>
      <c r="AD92" s="10">
        <v>0.92599999999999694</v>
      </c>
      <c r="AE92" s="10">
        <v>0.82650000000001145</v>
      </c>
      <c r="AF92" s="10">
        <v>0.88239999999999286</v>
      </c>
      <c r="AI92" s="10">
        <v>0.82354665919723591</v>
      </c>
      <c r="AJ92" s="10">
        <v>0.63011916887348995</v>
      </c>
      <c r="AK92" s="10">
        <v>0.62489999999996626</v>
      </c>
      <c r="AL92" s="10">
        <v>0.79528676919960006</v>
      </c>
      <c r="AM92" s="10">
        <v>0.76314432674665611</v>
      </c>
      <c r="AN92" s="10">
        <v>0.9323854247298613</v>
      </c>
      <c r="AO92" s="10">
        <v>0.99227856997350949</v>
      </c>
      <c r="AP92" s="10">
        <v>0.94326930128338871</v>
      </c>
      <c r="AQ92" s="10"/>
      <c r="AR92" s="10">
        <v>0.64463100427780518</v>
      </c>
      <c r="AS92" s="10">
        <v>0.64284884905280759</v>
      </c>
      <c r="AT92" s="10">
        <v>0.82838393766576568</v>
      </c>
      <c r="AU92" s="10">
        <v>0.86561825218963806</v>
      </c>
      <c r="AV92" s="10">
        <v>0.77364631289439989</v>
      </c>
      <c r="AX92" s="10">
        <v>0.84871827256044152</v>
      </c>
      <c r="AY92" s="10">
        <v>0.64937869219799582</v>
      </c>
      <c r="AZ92" s="10">
        <v>0.64399999999996527</v>
      </c>
      <c r="BA92" s="10">
        <v>0.81959462212280754</v>
      </c>
      <c r="BB92" s="10">
        <v>0.78646974943966486</v>
      </c>
      <c r="BC92" s="10">
        <v>0.96088368303093408</v>
      </c>
      <c r="BD92" s="10">
        <v>1.0226074556936151</v>
      </c>
      <c r="BE92" s="10">
        <v>0.97210022407825636</v>
      </c>
      <c r="BF92" s="10">
        <v>0.66433408026069218</v>
      </c>
      <c r="BG92" s="10">
        <v>0.66249745365659807</v>
      </c>
      <c r="BH92" s="10">
        <v>0.85370340191511151</v>
      </c>
      <c r="BI92" s="10"/>
      <c r="BJ92" s="10">
        <v>0.89207577918087211</v>
      </c>
      <c r="BK92" s="10">
        <v>0.79729272764281245</v>
      </c>
    </row>
    <row r="93" spans="1:63" x14ac:dyDescent="0.25">
      <c r="A93" s="8">
        <v>46209</v>
      </c>
      <c r="B93" s="10">
        <v>1.2625200000000136</v>
      </c>
      <c r="C93" s="10">
        <v>1.0138500000000277</v>
      </c>
      <c r="D93" s="10">
        <v>1.1909999999999537</v>
      </c>
      <c r="E93" s="10"/>
      <c r="F93">
        <v>143.20000000000056</v>
      </c>
      <c r="H93" s="10">
        <v>1.3119999999999485</v>
      </c>
      <c r="I93">
        <v>123.99900000000123</v>
      </c>
      <c r="J93" s="10">
        <v>1.2590000000000168</v>
      </c>
      <c r="L93" s="10">
        <v>1.1614999999999771</v>
      </c>
      <c r="O93">
        <v>116.60000000000039</v>
      </c>
      <c r="P93">
        <v>102.49999999999355</v>
      </c>
      <c r="R93" s="10">
        <v>1.1967499999999733</v>
      </c>
      <c r="S93" s="10">
        <v>2.9024999999999057</v>
      </c>
      <c r="U93" s="10">
        <v>2.1440000000000494</v>
      </c>
      <c r="V93" s="10">
        <v>1.1884999999999668</v>
      </c>
      <c r="W93" s="10">
        <v>1.1614999999999771</v>
      </c>
      <c r="X93" s="10">
        <v>3.8280000000001451</v>
      </c>
      <c r="Y93" s="10">
        <v>1.0299999999977176</v>
      </c>
      <c r="Z93" s="10">
        <v>0.93299999999415884</v>
      </c>
      <c r="AA93" s="10">
        <v>2.6834999999999387</v>
      </c>
      <c r="AB93" s="10">
        <v>0.96899999999991726</v>
      </c>
      <c r="AC93" s="10">
        <v>3.4244999999999446</v>
      </c>
      <c r="AD93" s="10">
        <v>0.92999999999991556</v>
      </c>
      <c r="AE93" s="10">
        <v>0.83149999999991864</v>
      </c>
      <c r="AF93" s="10">
        <v>0.88549999999985773</v>
      </c>
      <c r="AI93" s="10">
        <v>0.82420410345179096</v>
      </c>
      <c r="AJ93" s="10">
        <v>0.63478678342327233</v>
      </c>
      <c r="AK93" s="10">
        <v>0.62529999999994734</v>
      </c>
      <c r="AL93" s="10">
        <v>0.79389733224711734</v>
      </c>
      <c r="AM93" s="10">
        <v>0.76339955197997977</v>
      </c>
      <c r="AN93" s="10">
        <v>0.92824037267069259</v>
      </c>
      <c r="AO93" s="10">
        <v>0.99420216882195422</v>
      </c>
      <c r="AP93" s="10">
        <v>0.94434880358414064</v>
      </c>
      <c r="AQ93" s="10"/>
      <c r="AR93" s="10">
        <v>0.64626084300547293</v>
      </c>
      <c r="AS93" s="10">
        <v>0.64204512778736766</v>
      </c>
      <c r="AT93" s="10">
        <v>0.82961602688105496</v>
      </c>
      <c r="AU93" s="10">
        <v>0.86749949088688705</v>
      </c>
      <c r="AV93" s="10">
        <v>0.7768975257099372</v>
      </c>
      <c r="AX93" s="10">
        <v>0.84858884024030545</v>
      </c>
      <c r="AY93" s="10">
        <v>0.65356745748904965</v>
      </c>
      <c r="AZ93" s="10">
        <v>0.64379999999994586</v>
      </c>
      <c r="BA93" s="10">
        <v>0.81738541899999062</v>
      </c>
      <c r="BB93" s="10">
        <v>0.78598533754151778</v>
      </c>
      <c r="BC93" s="10">
        <v>0.95570310558994376</v>
      </c>
      <c r="BD93" s="10">
        <v>1.0236164341717162</v>
      </c>
      <c r="BE93" s="10">
        <v>0.9722881172996477</v>
      </c>
      <c r="BF93" s="10">
        <v>0.66589146813273759</v>
      </c>
      <c r="BG93" s="10">
        <v>0.66104054576924254</v>
      </c>
      <c r="BH93" s="10">
        <v>0.85416087974735844</v>
      </c>
      <c r="BI93" s="10"/>
      <c r="BJ93" s="10">
        <v>0.89316515629774174</v>
      </c>
      <c r="BK93" s="10">
        <v>0.79988265960668092</v>
      </c>
    </row>
    <row r="94" spans="1:63" x14ac:dyDescent="0.25">
      <c r="A94" s="8">
        <v>46210</v>
      </c>
      <c r="B94" s="10">
        <v>1.2635000000000172</v>
      </c>
      <c r="C94" s="10">
        <v>1.0143999999999784</v>
      </c>
      <c r="D94" s="10">
        <v>1.1910999999999721</v>
      </c>
      <c r="E94" s="10"/>
      <c r="F94">
        <v>144.1999999999997</v>
      </c>
      <c r="H94" s="10">
        <v>1.313100000000033</v>
      </c>
      <c r="I94">
        <v>124.49999999999707</v>
      </c>
      <c r="J94" s="10">
        <v>1.2650000000000547</v>
      </c>
      <c r="L94" s="10">
        <v>1.1689999999999841</v>
      </c>
      <c r="O94">
        <v>116.64999999999654</v>
      </c>
      <c r="P94">
        <v>102.79999999999593</v>
      </c>
      <c r="R94" s="10">
        <v>1.1960000000000157</v>
      </c>
      <c r="S94" s="10">
        <v>2.9044999999999681</v>
      </c>
      <c r="U94" s="10">
        <v>2.1469999999999589</v>
      </c>
      <c r="V94" s="10">
        <v>1.1879999999999882</v>
      </c>
      <c r="W94" s="10">
        <v>1.1689999999999841</v>
      </c>
      <c r="X94" s="10">
        <v>3.8329999999999433</v>
      </c>
      <c r="Y94" s="10">
        <v>1.0324999999982158</v>
      </c>
      <c r="Z94" s="10">
        <v>0.93439999999475076</v>
      </c>
      <c r="AA94" s="10">
        <v>2.6884999999998302</v>
      </c>
      <c r="AB94" s="10">
        <v>0.9690000000000184</v>
      </c>
      <c r="AC94" s="10">
        <v>3.425000000000257</v>
      </c>
      <c r="AD94" s="10">
        <v>0.93139999999994405</v>
      </c>
      <c r="AE94" s="10">
        <v>0.83150000000007585</v>
      </c>
      <c r="AF94" s="10">
        <v>0.88599999999983892</v>
      </c>
      <c r="AI94" s="10">
        <v>0.82636068237209004</v>
      </c>
      <c r="AJ94" s="10">
        <v>0.63566206336312758</v>
      </c>
      <c r="AK94" s="10">
        <v>0.6260000000000453</v>
      </c>
      <c r="AL94" s="10">
        <v>0.79642099918752196</v>
      </c>
      <c r="AM94" s="10">
        <v>0.76807047116138294</v>
      </c>
      <c r="AN94" s="10">
        <v>0.9310542242079467</v>
      </c>
      <c r="AO94" s="10">
        <v>0.99551035743299332</v>
      </c>
      <c r="AP94" s="10">
        <v>0.94503878960186571</v>
      </c>
      <c r="AQ94" s="10"/>
      <c r="AR94" s="10">
        <v>0.64538769293259657</v>
      </c>
      <c r="AS94" s="10">
        <v>0.6439256701868834</v>
      </c>
      <c r="AT94" s="10">
        <v>0.83081031681565809</v>
      </c>
      <c r="AU94" s="10">
        <v>0.87638728675866828</v>
      </c>
      <c r="AV94" s="10">
        <v>0.77544415109679288</v>
      </c>
      <c r="AX94" s="10">
        <v>0.85012185215275704</v>
      </c>
      <c r="AY94" s="10">
        <v>0.65393988627133237</v>
      </c>
      <c r="AZ94" s="10">
        <v>0.64400000000004665</v>
      </c>
      <c r="BA94" s="10">
        <v>0.81932128350920796</v>
      </c>
      <c r="BB94" s="10">
        <v>0.79015556458135872</v>
      </c>
      <c r="BC94" s="10">
        <v>0.95782575142159376</v>
      </c>
      <c r="BD94" s="10">
        <v>1.0241352558895331</v>
      </c>
      <c r="BE94" s="10">
        <v>0.97221242891949133</v>
      </c>
      <c r="BF94" s="10">
        <v>0.66394516653129754</v>
      </c>
      <c r="BG94" s="10">
        <v>0.66244110479289597</v>
      </c>
      <c r="BH94" s="10">
        <v>0.85469943135668336</v>
      </c>
      <c r="BI94" s="10"/>
      <c r="BJ94" s="10">
        <v>0.90158692120220818</v>
      </c>
      <c r="BK94" s="10">
        <v>0.79774126726251537</v>
      </c>
    </row>
    <row r="95" spans="1:63" x14ac:dyDescent="0.25">
      <c r="A95" s="8">
        <v>46211</v>
      </c>
      <c r="B95" s="10">
        <v>1.2649999999999846</v>
      </c>
      <c r="C95" s="10">
        <v>1.0154999999999981</v>
      </c>
      <c r="D95" s="10">
        <v>1.1954800000000181</v>
      </c>
      <c r="E95" s="10"/>
      <c r="F95">
        <v>143.9999999999992</v>
      </c>
      <c r="H95" s="10">
        <v>1.3150000000000088</v>
      </c>
      <c r="I95">
        <v>124.70100000000406</v>
      </c>
      <c r="J95" s="10">
        <v>1.267500000000092</v>
      </c>
      <c r="L95" s="10">
        <v>1.1689999999999485</v>
      </c>
      <c r="O95">
        <v>117.04999999999713</v>
      </c>
      <c r="P95">
        <v>102.89999999999743</v>
      </c>
      <c r="R95" s="10">
        <v>1.1994999999999825</v>
      </c>
      <c r="S95" s="10">
        <v>2.9120000000000097</v>
      </c>
      <c r="U95" s="10">
        <v>2.1520000000000112</v>
      </c>
      <c r="V95" s="10">
        <v>1.1800000000000175</v>
      </c>
      <c r="W95" s="10">
        <v>1.1689999999999485</v>
      </c>
      <c r="X95" s="10">
        <v>3.8399999999999888</v>
      </c>
      <c r="Y95" s="10">
        <v>1.0324999999980244</v>
      </c>
      <c r="Z95" s="10">
        <v>0.93399999999394967</v>
      </c>
      <c r="AA95" s="10">
        <v>2.6919999999998119</v>
      </c>
      <c r="AB95" s="10">
        <v>0.97200000000005926</v>
      </c>
      <c r="AC95" s="10">
        <v>3.4335000000000262</v>
      </c>
      <c r="AD95" s="10">
        <v>0.93299999999993388</v>
      </c>
      <c r="AE95" s="10">
        <v>0.83549999999998614</v>
      </c>
      <c r="AF95" s="10">
        <v>0.89390000000004877</v>
      </c>
      <c r="AI95" s="10">
        <v>0.80163738317741073</v>
      </c>
      <c r="AJ95" s="10">
        <v>0.53281495327102169</v>
      </c>
      <c r="AK95" s="10">
        <v>0.54399999999999027</v>
      </c>
      <c r="AL95" s="10">
        <v>0.77659813084121299</v>
      </c>
      <c r="AM95" s="10">
        <v>0.7486355140189298</v>
      </c>
      <c r="AN95" s="10">
        <v>0.92562616822410926</v>
      </c>
      <c r="AO95" s="10">
        <v>0.99915514018691742</v>
      </c>
      <c r="AP95" s="10">
        <v>0.94608971962612287</v>
      </c>
      <c r="AQ95" s="10"/>
      <c r="AR95" s="10">
        <v>0.53895111111115201</v>
      </c>
      <c r="AS95" s="10">
        <v>0.55798130841123939</v>
      </c>
      <c r="AT95" s="10">
        <v>0.80519626168241454</v>
      </c>
      <c r="AU95" s="10">
        <v>0.84205607476657196</v>
      </c>
      <c r="AV95" s="10">
        <v>0.75314766355158369</v>
      </c>
      <c r="AX95" s="10">
        <v>0.82462551401852768</v>
      </c>
      <c r="AY95" s="10">
        <v>0.54809420560747002</v>
      </c>
      <c r="AZ95" s="10">
        <v>0.55959999999998988</v>
      </c>
      <c r="BA95" s="10">
        <v>0.79886822429915938</v>
      </c>
      <c r="BB95" s="10">
        <v>0.77010373831800194</v>
      </c>
      <c r="BC95" s="10">
        <v>0.95216985981288871</v>
      </c>
      <c r="BD95" s="10">
        <v>1.0278073831775714</v>
      </c>
      <c r="BE95" s="10">
        <v>0.97322023364481292</v>
      </c>
      <c r="BF95" s="10">
        <v>0.55491929824565611</v>
      </c>
      <c r="BG95" s="10">
        <v>0.57398224299067935</v>
      </c>
      <c r="BH95" s="10">
        <v>0.82828644859830713</v>
      </c>
      <c r="BI95" s="10"/>
      <c r="BJ95" s="10">
        <v>0.86620327102826022</v>
      </c>
      <c r="BK95" s="10">
        <v>0.77474528037401869</v>
      </c>
    </row>
    <row r="96" spans="1:63" x14ac:dyDescent="0.25">
      <c r="A96" s="8">
        <v>46213</v>
      </c>
      <c r="B96" s="10">
        <v>1.2699999999993732</v>
      </c>
      <c r="C96" s="10">
        <v>1.016500000000002</v>
      </c>
      <c r="D96" s="10">
        <v>1.1984999999999846</v>
      </c>
      <c r="E96" s="10"/>
      <c r="F96">
        <v>144.39999999999878</v>
      </c>
      <c r="H96" s="10">
        <v>1.315500000000043</v>
      </c>
      <c r="I96">
        <v>125.99999999999356</v>
      </c>
      <c r="J96" s="10">
        <v>1.2749999999999952</v>
      </c>
      <c r="L96" s="10">
        <v>1.1789999999999943</v>
      </c>
      <c r="O96">
        <v>118.95000000000233</v>
      </c>
      <c r="P96">
        <v>103.99999999999206</v>
      </c>
      <c r="R96" s="10">
        <v>1.2011199999999851</v>
      </c>
      <c r="S96" s="10">
        <v>2.9055000000000111</v>
      </c>
      <c r="U96" s="10">
        <v>2.1604999999999515</v>
      </c>
      <c r="V96" s="10">
        <v>0</v>
      </c>
      <c r="W96" s="10">
        <v>1.1789999999999943</v>
      </c>
      <c r="X96" s="10">
        <v>3.837999999999985</v>
      </c>
      <c r="Y96" s="10">
        <v>1.0384999999991107</v>
      </c>
      <c r="Z96" s="10">
        <v>0.97650000000004933</v>
      </c>
      <c r="AA96" s="10">
        <v>2.6945000000000126</v>
      </c>
      <c r="AB96" s="10">
        <v>0.98000000000005105</v>
      </c>
      <c r="AC96" s="10">
        <v>3.4324999999998727</v>
      </c>
      <c r="AD96" s="10">
        <v>0.92949999999998834</v>
      </c>
      <c r="AE96" s="10">
        <v>0.8369999999999479</v>
      </c>
      <c r="AF96" s="10">
        <v>0.88859999999997408</v>
      </c>
      <c r="AI96" s="10">
        <v>0.80545250350950326</v>
      </c>
      <c r="AJ96" s="10">
        <v>0.53463184370615824</v>
      </c>
      <c r="AK96" s="10">
        <v>0.54470000000007557</v>
      </c>
      <c r="AL96" s="10">
        <v>0.77588525970998068</v>
      </c>
      <c r="AM96" s="10">
        <v>0.74759246607409224</v>
      </c>
      <c r="AN96" s="10">
        <v>0.92811833177337344</v>
      </c>
      <c r="AO96" s="10">
        <v>0.99719353065043104</v>
      </c>
      <c r="AP96" s="10">
        <v>0.9481909218529978</v>
      </c>
      <c r="AQ96" s="10"/>
      <c r="AR96" s="10">
        <v>0.5480135704097252</v>
      </c>
      <c r="AS96" s="10">
        <v>0.56260602480110566</v>
      </c>
      <c r="AT96" s="10">
        <v>0.80608972859144201</v>
      </c>
      <c r="AU96" s="10">
        <v>0.83871565278432569</v>
      </c>
      <c r="AV96" s="10">
        <v>0.75430604356995223</v>
      </c>
      <c r="AX96" s="10">
        <v>0.82970332241450773</v>
      </c>
      <c r="AY96" s="10">
        <v>0.55072870846984667</v>
      </c>
      <c r="AZ96" s="10">
        <v>0.56110000000007798</v>
      </c>
      <c r="BA96" s="10">
        <v>0.79924585868050346</v>
      </c>
      <c r="BB96" s="10">
        <v>0.77010121665902931</v>
      </c>
      <c r="BC96" s="10">
        <v>0.95606241226003297</v>
      </c>
      <c r="BD96" s="10">
        <v>1.0272173490874923</v>
      </c>
      <c r="BE96" s="10">
        <v>0.97673935423483971</v>
      </c>
      <c r="BF96" s="10">
        <v>0.56451333643638124</v>
      </c>
      <c r="BG96" s="10">
        <v>0.57954514506315491</v>
      </c>
      <c r="BH96" s="10">
        <v>0.83035973327089818</v>
      </c>
      <c r="BI96" s="10"/>
      <c r="BJ96" s="10">
        <v>0.86396796911563301</v>
      </c>
      <c r="BK96" s="10">
        <v>0.77700442726636909</v>
      </c>
    </row>
    <row r="97" spans="1:63" x14ac:dyDescent="0.25">
      <c r="A97" s="8">
        <v>46216</v>
      </c>
      <c r="B97" s="10">
        <v>1.2665000000000095</v>
      </c>
      <c r="C97" s="10">
        <v>1.0155999999999992</v>
      </c>
      <c r="D97" s="10">
        <v>1.1938999999999635</v>
      </c>
      <c r="E97" s="10"/>
      <c r="F97">
        <v>144.31999999999823</v>
      </c>
      <c r="H97" s="10">
        <v>1.3159999999999892</v>
      </c>
      <c r="I97">
        <v>124.50000000000504</v>
      </c>
      <c r="J97" s="10">
        <v>1.2680999999999947</v>
      </c>
      <c r="L97" s="10">
        <v>1.1680000000000168</v>
      </c>
      <c r="O97">
        <v>117.00000000000126</v>
      </c>
      <c r="P97">
        <v>102.8999999999991</v>
      </c>
      <c r="R97" s="10">
        <v>1.1989999999999967</v>
      </c>
      <c r="S97" s="10">
        <v>2.9129999999999607</v>
      </c>
      <c r="U97" s="10">
        <v>2.153999999999979</v>
      </c>
      <c r="V97" s="10">
        <v>1.190000000000061</v>
      </c>
      <c r="W97" s="10">
        <v>1.1680000000000168</v>
      </c>
      <c r="X97" s="10">
        <v>3.8379999999999441</v>
      </c>
      <c r="Y97" s="10">
        <v>1.028999999996713</v>
      </c>
      <c r="Z97" s="10">
        <v>0.93399999999355987</v>
      </c>
      <c r="AA97" s="10">
        <v>2.6840000000000597</v>
      </c>
      <c r="AB97" s="10">
        <v>0.9775000000001165</v>
      </c>
      <c r="AC97" s="10">
        <v>3.4274999999996716</v>
      </c>
      <c r="AD97" s="10">
        <v>0.92799999999983196</v>
      </c>
      <c r="AE97" s="10">
        <v>0.83550000000005842</v>
      </c>
      <c r="AF97" s="10">
        <v>0.89470000000003491</v>
      </c>
      <c r="AI97" s="10">
        <v>0.80315688342122271</v>
      </c>
      <c r="AJ97" s="10">
        <v>0.5367976567076892</v>
      </c>
      <c r="AK97" s="10">
        <v>0.54399999999996806</v>
      </c>
      <c r="AL97" s="10">
        <v>0.77702448740499874</v>
      </c>
      <c r="AM97" s="10">
        <v>0.74407217340334286</v>
      </c>
      <c r="AN97" s="10">
        <v>0.92578793204447396</v>
      </c>
      <c r="AO97" s="10">
        <v>0.997811364967784</v>
      </c>
      <c r="AP97" s="10">
        <v>0.94497293497367818</v>
      </c>
      <c r="AQ97" s="10"/>
      <c r="AR97" s="10">
        <v>0.54081312243706126</v>
      </c>
      <c r="AS97" s="10">
        <v>0.55840468658467157</v>
      </c>
      <c r="AT97" s="10">
        <v>0.80608881077890226</v>
      </c>
      <c r="AU97" s="10">
        <v>0.83840374926766226</v>
      </c>
      <c r="AV97" s="10">
        <v>0.75305916813111207</v>
      </c>
      <c r="AX97" s="10">
        <v>0.8291413708260269</v>
      </c>
      <c r="AY97" s="10">
        <v>0.55416463971882046</v>
      </c>
      <c r="AZ97" s="10">
        <v>0.56159999999996713</v>
      </c>
      <c r="BA97" s="10">
        <v>0.80216351493868987</v>
      </c>
      <c r="BB97" s="10">
        <v>0.76814509666050979</v>
      </c>
      <c r="BC97" s="10">
        <v>0.9557398945517952</v>
      </c>
      <c r="BD97" s="10">
        <v>1.0300934973638005</v>
      </c>
      <c r="BE97" s="10">
        <v>0.97554558875223829</v>
      </c>
      <c r="BF97" s="10">
        <v>0.55831001757473098</v>
      </c>
      <c r="BG97" s="10">
        <v>0.57647072056241089</v>
      </c>
      <c r="BH97" s="10">
        <v>0.83216815465704319</v>
      </c>
      <c r="BI97" s="10"/>
      <c r="BJ97" s="10">
        <v>0.86552857644985137</v>
      </c>
      <c r="BK97" s="10">
        <v>0.77742284710005971</v>
      </c>
    </row>
    <row r="98" spans="1:63" x14ac:dyDescent="0.25">
      <c r="A98" s="8">
        <v>46217</v>
      </c>
      <c r="B98" s="10">
        <v>1.2675000000000085</v>
      </c>
      <c r="C98" s="10">
        <v>1.0166499999999914</v>
      </c>
      <c r="D98" s="10">
        <v>1.1926200000000151</v>
      </c>
      <c r="E98" s="10"/>
      <c r="F98">
        <v>144.04999999999967</v>
      </c>
      <c r="H98" s="10">
        <v>1.3155000000000272</v>
      </c>
      <c r="I98">
        <v>124.43900000000487</v>
      </c>
      <c r="J98" s="10">
        <v>1.2689899999999412</v>
      </c>
      <c r="L98" s="10">
        <v>1.1679999999999691</v>
      </c>
      <c r="O98">
        <v>117.10000000000029</v>
      </c>
      <c r="P98">
        <v>103.00000000000003</v>
      </c>
      <c r="R98" s="10">
        <v>1.1994999999999936</v>
      </c>
      <c r="S98" s="10">
        <v>2.9164999999999996</v>
      </c>
      <c r="U98" s="10">
        <v>2.1544999999999614</v>
      </c>
      <c r="V98" s="10">
        <v>1.1894999999999463</v>
      </c>
      <c r="W98" s="10">
        <v>1.1679999999999691</v>
      </c>
      <c r="X98" s="10">
        <v>3.8444999999997322</v>
      </c>
      <c r="Y98" s="10">
        <v>1.0304999999964952</v>
      </c>
      <c r="Z98" s="10">
        <v>0.93349999999148736</v>
      </c>
      <c r="AA98" s="10">
        <v>2.684500000000154</v>
      </c>
      <c r="AB98" s="10">
        <v>0.96999999999995734</v>
      </c>
      <c r="AC98" s="10">
        <v>3.43099999999977</v>
      </c>
      <c r="AD98" s="10">
        <v>0.93000000000002325</v>
      </c>
      <c r="AE98" s="10">
        <v>0.83599999999995656</v>
      </c>
      <c r="AF98" s="10">
        <v>0.89149999999992713</v>
      </c>
      <c r="AI98" s="10">
        <v>0.80587832250429192</v>
      </c>
      <c r="AJ98" s="10">
        <v>0.53423177790903675</v>
      </c>
      <c r="AK98" s="10">
        <v>0.54400000000005622</v>
      </c>
      <c r="AL98" s="10">
        <v>0.77940129946827608</v>
      </c>
      <c r="AM98" s="10">
        <v>0.74193502657991928</v>
      </c>
      <c r="AN98" s="10">
        <v>0.9322225634967779</v>
      </c>
      <c r="AO98" s="10">
        <v>0.99847938570583139</v>
      </c>
      <c r="AP98" s="10">
        <v>0.94468989958656513</v>
      </c>
      <c r="AQ98" s="10"/>
      <c r="AR98" s="10">
        <v>0.54207092198583184</v>
      </c>
      <c r="AS98" s="10">
        <v>0.55788115770821745</v>
      </c>
      <c r="AT98" s="10">
        <v>0.80748493797978693</v>
      </c>
      <c r="AU98" s="10">
        <v>0.84186650915508532</v>
      </c>
      <c r="AV98" s="10">
        <v>0.7562017720021571</v>
      </c>
      <c r="AX98" s="10">
        <v>0.83180271707014664</v>
      </c>
      <c r="AY98" s="10">
        <v>0.55141754282338984</v>
      </c>
      <c r="AZ98" s="10">
        <v>0.56150000000005795</v>
      </c>
      <c r="BA98" s="10">
        <v>0.80447395156514145</v>
      </c>
      <c r="BB98" s="10">
        <v>0.76580242173644242</v>
      </c>
      <c r="BC98" s="10">
        <v>0.96221134081514847</v>
      </c>
      <c r="BD98" s="10">
        <v>1.0305995865327653</v>
      </c>
      <c r="BE98" s="10">
        <v>0.97507974010635334</v>
      </c>
      <c r="BF98" s="10">
        <v>0.55940921985817271</v>
      </c>
      <c r="BG98" s="10">
        <v>0.57582770230361047</v>
      </c>
      <c r="BH98" s="10">
        <v>0.83346101594788669</v>
      </c>
      <c r="BI98" s="10"/>
      <c r="BJ98" s="10">
        <v>0.86894861193121387</v>
      </c>
      <c r="BK98" s="10">
        <v>0.78052811577060877</v>
      </c>
    </row>
    <row r="99" spans="1:63" x14ac:dyDescent="0.25">
      <c r="A99" s="8">
        <v>46218</v>
      </c>
      <c r="B99" s="10">
        <v>1.2694999999993613</v>
      </c>
      <c r="C99" s="10">
        <v>1.0172599999999858</v>
      </c>
      <c r="D99" s="10">
        <v>1.1969999999999694</v>
      </c>
      <c r="E99" s="10"/>
      <c r="F99">
        <v>144.35000000000323</v>
      </c>
      <c r="H99" s="10">
        <v>1.3170000000000386</v>
      </c>
      <c r="I99">
        <v>124.44999999999176</v>
      </c>
      <c r="J99" s="10">
        <v>1.2750000000000268</v>
      </c>
      <c r="L99" s="10">
        <v>1.172000000000011</v>
      </c>
      <c r="O99">
        <v>117.10000000000097</v>
      </c>
      <c r="P99">
        <v>103.75000000000189</v>
      </c>
      <c r="R99" s="10">
        <v>1.1987100000000031</v>
      </c>
      <c r="S99" s="10">
        <v>2.9200000000000141</v>
      </c>
      <c r="U99" s="10">
        <v>2.1559999999999717</v>
      </c>
      <c r="V99" s="10">
        <v>1.191000000000014</v>
      </c>
      <c r="W99" s="10">
        <v>1.172000000000011</v>
      </c>
      <c r="X99" s="10">
        <v>3.8474999999999664</v>
      </c>
      <c r="Y99" s="10">
        <v>1.0379999999984542</v>
      </c>
      <c r="Z99" s="10">
        <v>0.93799999999463057</v>
      </c>
      <c r="AA99" s="10">
        <v>2.682999999999987</v>
      </c>
      <c r="AB99" s="10">
        <v>0.96709999999998653</v>
      </c>
      <c r="AC99" s="10">
        <v>3.4424999999997805</v>
      </c>
      <c r="AD99" s="10">
        <v>0.9327000000000093</v>
      </c>
      <c r="AE99" s="10">
        <v>0.83949999999993052</v>
      </c>
      <c r="AF99" s="10">
        <v>0.89850000000000863</v>
      </c>
      <c r="AI99" s="10">
        <v>0.81014835911862693</v>
      </c>
      <c r="AJ99" s="10">
        <v>0.53393524378813695</v>
      </c>
      <c r="AK99" s="10">
        <v>0.54589999999998351</v>
      </c>
      <c r="AL99" s="10">
        <v>0.78116421706494021</v>
      </c>
      <c r="AM99" s="10">
        <v>0.74485382721798299</v>
      </c>
      <c r="AN99" s="10">
        <v>0.94310431317379684</v>
      </c>
      <c r="AO99" s="10">
        <v>1.0032480075011625</v>
      </c>
      <c r="AP99" s="10">
        <v>0.9469432723864073</v>
      </c>
      <c r="AQ99" s="10"/>
      <c r="AR99" s="10">
        <v>0.54257290201601438</v>
      </c>
      <c r="AS99" s="10">
        <v>0.56080795827477992</v>
      </c>
      <c r="AT99" s="10">
        <v>0.81059623769356104</v>
      </c>
      <c r="AU99" s="10">
        <v>0.84527483591176822</v>
      </c>
      <c r="AV99" s="10">
        <v>0.75819444444455864</v>
      </c>
      <c r="AX99" s="10">
        <v>0.83626781528365313</v>
      </c>
      <c r="AY99" s="10">
        <v>0.5511494960150487</v>
      </c>
      <c r="AZ99" s="10">
        <v>0.56349999999998301</v>
      </c>
      <c r="BA99" s="10">
        <v>0.80634921472081666</v>
      </c>
      <c r="BB99" s="10">
        <v>0.7694094478954987</v>
      </c>
      <c r="BC99" s="10">
        <v>0.97351031411143896</v>
      </c>
      <c r="BD99" s="10">
        <v>1.0355930614158364</v>
      </c>
      <c r="BE99" s="10">
        <v>0.97747304266301616</v>
      </c>
      <c r="BF99" s="10">
        <v>0.5600656352555855</v>
      </c>
      <c r="BG99" s="10">
        <v>0.57888859587440644</v>
      </c>
      <c r="BH99" s="10">
        <v>0.83673013361480431</v>
      </c>
      <c r="BI99" s="10"/>
      <c r="BJ99" s="10">
        <v>0.87252678152826779</v>
      </c>
      <c r="BK99" s="10">
        <v>0.78263888888900679</v>
      </c>
    </row>
    <row r="100" spans="1:63" x14ac:dyDescent="0.25">
      <c r="A100" s="8">
        <v>46219</v>
      </c>
      <c r="B100" s="10">
        <v>1.2665100000000091</v>
      </c>
      <c r="C100" s="10">
        <v>1.0177000000000003</v>
      </c>
      <c r="D100" s="10">
        <v>1.1926299999999901</v>
      </c>
      <c r="E100" s="10"/>
      <c r="F100">
        <v>143.79999999999671</v>
      </c>
      <c r="H100" s="10">
        <v>1.3149899999999441</v>
      </c>
      <c r="I100">
        <v>124.31999999999903</v>
      </c>
      <c r="J100" s="10">
        <v>1.2700000000000005</v>
      </c>
      <c r="L100" s="10">
        <v>1.1679999999999908</v>
      </c>
      <c r="O100">
        <v>116.95000000000159</v>
      </c>
      <c r="P100">
        <v>103.29999999999767</v>
      </c>
      <c r="R100" s="10">
        <v>1.201399999999996</v>
      </c>
      <c r="S100" s="10">
        <v>2.9200000000000079</v>
      </c>
      <c r="U100" s="10">
        <v>2.1534999999999349</v>
      </c>
      <c r="V100" s="10">
        <v>1.1904999999999628</v>
      </c>
      <c r="W100" s="10">
        <v>1.1679999999999908</v>
      </c>
      <c r="X100" s="10">
        <v>3.8449999999996027</v>
      </c>
      <c r="Y100" s="10">
        <v>1.0339999999972513</v>
      </c>
      <c r="Z100" s="10">
        <v>0.93599999999255534</v>
      </c>
      <c r="AA100" s="10">
        <v>2.6844999999999133</v>
      </c>
      <c r="AB100" s="10">
        <v>0.9690000000001302</v>
      </c>
      <c r="AC100" s="10">
        <v>3.4309999999998464</v>
      </c>
      <c r="AD100" s="10">
        <v>0.93299999999995964</v>
      </c>
      <c r="AE100" s="10">
        <v>0.83800000000001118</v>
      </c>
      <c r="AF100" s="10">
        <v>0.8930000000000422</v>
      </c>
      <c r="AI100" s="10">
        <v>0.80769830111308694</v>
      </c>
      <c r="AJ100" s="10">
        <v>0.53574106619799411</v>
      </c>
      <c r="AK100" s="10">
        <v>0.54500000000003612</v>
      </c>
      <c r="AL100" s="10">
        <v>0.78030462800249945</v>
      </c>
      <c r="AM100" s="10">
        <v>0.7419917984765344</v>
      </c>
      <c r="AN100" s="10">
        <v>0.93732337434091373</v>
      </c>
      <c r="AO100" s="10">
        <v>0.99204686584656765</v>
      </c>
      <c r="AP100" s="10">
        <v>0.94888107791438148</v>
      </c>
      <c r="AQ100" s="10"/>
      <c r="AR100" s="10">
        <v>0.5415340278590981</v>
      </c>
      <c r="AS100" s="10">
        <v>0.56121909783240631</v>
      </c>
      <c r="AT100" s="10">
        <v>0.80808142940844407</v>
      </c>
      <c r="AU100" s="10">
        <v>0.84300995899226705</v>
      </c>
      <c r="AV100" s="10">
        <v>0.75865787932048934</v>
      </c>
      <c r="AX100" s="10">
        <v>0.83630119507910994</v>
      </c>
      <c r="AY100" s="10">
        <v>0.55471318101931755</v>
      </c>
      <c r="AZ100" s="10">
        <v>0.56430000000003733</v>
      </c>
      <c r="BA100" s="10">
        <v>0.80793743409506491</v>
      </c>
      <c r="BB100" s="10">
        <v>0.76826783831249235</v>
      </c>
      <c r="BC100" s="10">
        <v>0.97051666080839927</v>
      </c>
      <c r="BD100" s="10">
        <v>1.0271780667838866</v>
      </c>
      <c r="BE100" s="10">
        <v>0.98248365553593653</v>
      </c>
      <c r="BF100" s="10">
        <v>0.56060142806979807</v>
      </c>
      <c r="BG100" s="10">
        <v>0.5810934622143612</v>
      </c>
      <c r="BH100" s="10">
        <v>0.83669789103703651</v>
      </c>
      <c r="BI100" s="10"/>
      <c r="BJ100" s="10">
        <v>0.87286333919144266</v>
      </c>
      <c r="BK100" s="10">
        <v>0.7855241124780773</v>
      </c>
    </row>
    <row r="101" spans="1:63" x14ac:dyDescent="0.25">
      <c r="A101" s="8">
        <v>46220</v>
      </c>
      <c r="B101" s="10">
        <v>1.2724999999995894</v>
      </c>
      <c r="C101" s="10">
        <v>1.0206000000000122</v>
      </c>
      <c r="D101" s="10">
        <v>1.196399999999985</v>
      </c>
      <c r="E101" s="10"/>
      <c r="F101">
        <v>144.34000000000395</v>
      </c>
      <c r="H101" s="10">
        <v>1.3171999999999926</v>
      </c>
      <c r="I101">
        <v>124.45000000000191</v>
      </c>
      <c r="J101" s="10">
        <v>1.2618999999999929</v>
      </c>
      <c r="L101" s="10">
        <v>1.1649999999999787</v>
      </c>
      <c r="O101">
        <v>117.19999999999719</v>
      </c>
      <c r="P101">
        <v>103.09999999999906</v>
      </c>
      <c r="R101" s="10">
        <v>1.2036000000000011</v>
      </c>
      <c r="S101" s="10">
        <v>2.9250000000000331</v>
      </c>
      <c r="U101" s="10">
        <v>2.1569999999999609</v>
      </c>
      <c r="V101" s="10">
        <v>1.1945000000000174</v>
      </c>
      <c r="W101" s="10">
        <v>1.1649999999999787</v>
      </c>
      <c r="X101" s="10">
        <v>3.8449999999998776</v>
      </c>
      <c r="Y101" s="10">
        <v>1.0354999999974821</v>
      </c>
      <c r="Z101" s="10">
        <v>0.93599999999202155</v>
      </c>
      <c r="AA101" s="10">
        <v>2.6870000000000314</v>
      </c>
      <c r="AB101" s="10">
        <v>0.97350000000004566</v>
      </c>
      <c r="AC101" s="10">
        <v>3.4405000000002217</v>
      </c>
      <c r="AD101" s="10">
        <v>0.93460000000008125</v>
      </c>
      <c r="AE101" s="10">
        <v>0.84099999999989916</v>
      </c>
      <c r="AF101" s="10">
        <v>0.89889999999984638</v>
      </c>
      <c r="AI101" s="10">
        <v>0.80725145687659516</v>
      </c>
      <c r="AJ101" s="10">
        <v>0.53351550116549884</v>
      </c>
      <c r="AK101" s="10">
        <v>0.54430000000000389</v>
      </c>
      <c r="AL101" s="10">
        <v>0.77870425407905342</v>
      </c>
      <c r="AM101" s="10">
        <v>0.74241758741265396</v>
      </c>
      <c r="AN101" s="10">
        <v>0.93971047785557649</v>
      </c>
      <c r="AO101" s="10">
        <v>0.99084168997668209</v>
      </c>
      <c r="AP101" s="10">
        <v>0.94396083916092011</v>
      </c>
      <c r="AQ101" s="10">
        <v>0.91877586247087706</v>
      </c>
      <c r="AR101" s="10">
        <v>0.53954157827248383</v>
      </c>
      <c r="AS101" s="10">
        <v>0.56003268065268641</v>
      </c>
      <c r="AT101" s="10">
        <v>0.80534831002332352</v>
      </c>
      <c r="AU101" s="10">
        <v>0.83985870629363157</v>
      </c>
      <c r="AV101" s="10">
        <v>0.7520601981350632</v>
      </c>
      <c r="AX101" s="10">
        <v>0.83750670163184504</v>
      </c>
      <c r="AY101" s="10">
        <v>0.55351130536130289</v>
      </c>
      <c r="AZ101" s="10">
        <v>0.56470000000000409</v>
      </c>
      <c r="BA101" s="10">
        <v>0.80788956876436058</v>
      </c>
      <c r="BB101" s="10">
        <v>0.77024290209797119</v>
      </c>
      <c r="BC101" s="10">
        <v>0.97493019813530035</v>
      </c>
      <c r="BD101" s="10">
        <v>1.0279777738927656</v>
      </c>
      <c r="BE101" s="10">
        <v>0.97933986013994401</v>
      </c>
      <c r="BF101" s="10">
        <v>0.55966411003609118</v>
      </c>
      <c r="BG101" s="10">
        <v>0.58102233100233702</v>
      </c>
      <c r="BH101" s="10">
        <v>0.83553222610724009</v>
      </c>
      <c r="BI101" s="10">
        <v>0.95321096736598254</v>
      </c>
      <c r="BJ101" s="10">
        <v>0.87133604895097139</v>
      </c>
      <c r="BK101" s="10">
        <v>0.78024691142177138</v>
      </c>
    </row>
    <row r="102" spans="1:63" x14ac:dyDescent="0.25">
      <c r="A102" s="8">
        <v>46223</v>
      </c>
      <c r="B102" s="10">
        <v>1.2736899999996396</v>
      </c>
      <c r="C102" s="10">
        <v>1.0211899999999996</v>
      </c>
      <c r="D102" s="10">
        <v>1.1967900000000185</v>
      </c>
      <c r="E102" s="10"/>
      <c r="F102">
        <v>144.20000000000377</v>
      </c>
      <c r="H102" s="10">
        <v>1.3159999999999488</v>
      </c>
      <c r="I102">
        <v>124.3700000000004</v>
      </c>
      <c r="J102" s="10">
        <v>1.25999999999999</v>
      </c>
      <c r="L102" s="10">
        <v>1.1709999999999652</v>
      </c>
      <c r="O102">
        <v>117.20000000000171</v>
      </c>
      <c r="P102">
        <v>103.15000000000003</v>
      </c>
      <c r="R102" s="10">
        <v>1.2069999999999925</v>
      </c>
      <c r="S102" s="10">
        <v>2.927999999999948</v>
      </c>
      <c r="U102" s="10">
        <v>2.160499999999983</v>
      </c>
      <c r="V102" s="10">
        <v>1.1905000000000097</v>
      </c>
      <c r="W102" s="10">
        <v>1.1709999999999652</v>
      </c>
      <c r="X102" s="10">
        <v>3.8524999999998011</v>
      </c>
      <c r="Y102" s="10">
        <v>1.0369999999977795</v>
      </c>
      <c r="Z102" s="10">
        <v>0.93949999999430611</v>
      </c>
      <c r="AA102" s="10">
        <v>2.6949999999997654</v>
      </c>
      <c r="AB102" s="10">
        <v>0.97349999999998815</v>
      </c>
      <c r="AC102" s="10">
        <v>3.4485000000000512</v>
      </c>
      <c r="AD102" s="10">
        <v>0.93600000000002803</v>
      </c>
      <c r="AE102" s="10">
        <v>0.84199999999995556</v>
      </c>
      <c r="AF102" s="10">
        <v>0.8969999999999787</v>
      </c>
      <c r="AI102" s="10">
        <v>0.80596443148689245</v>
      </c>
      <c r="AJ102" s="10">
        <v>0.53387755102034684</v>
      </c>
      <c r="AK102" s="10">
        <v>0.5449999999999755</v>
      </c>
      <c r="AL102" s="10">
        <v>0.77660116618095232</v>
      </c>
      <c r="AM102" s="10">
        <v>0.73865772594707668</v>
      </c>
      <c r="AN102" s="10">
        <v>0.93492128279878739</v>
      </c>
      <c r="AO102" s="10">
        <v>0.98894460641401083</v>
      </c>
      <c r="AP102" s="10">
        <v>0.94248454810503701</v>
      </c>
      <c r="AQ102" s="10">
        <v>0.91331195335271542</v>
      </c>
      <c r="AR102" s="10">
        <v>0.54291138059702748</v>
      </c>
      <c r="AS102" s="10">
        <v>0.55930029154521188</v>
      </c>
      <c r="AT102" s="10">
        <v>0.80196034985410081</v>
      </c>
      <c r="AU102" s="10">
        <v>0.83767930029167392</v>
      </c>
      <c r="AV102" s="10">
        <v>0.75073352769651491</v>
      </c>
      <c r="AX102" s="10">
        <v>0.83849877551021645</v>
      </c>
      <c r="AY102" s="10">
        <v>0.55542857142850766</v>
      </c>
      <c r="AZ102" s="10">
        <v>0.56699999999997464</v>
      </c>
      <c r="BA102" s="10">
        <v>0.80795020408183471</v>
      </c>
      <c r="BB102" s="10">
        <v>0.76847510204035319</v>
      </c>
      <c r="BC102" s="10">
        <v>0.97266122448974757</v>
      </c>
      <c r="BD102" s="10">
        <v>1.0288653061224662</v>
      </c>
      <c r="BE102" s="10">
        <v>0.98052979591845135</v>
      </c>
      <c r="BF102" s="10">
        <v>0.56471944962687903</v>
      </c>
      <c r="BG102" s="10">
        <v>0.58187755102043137</v>
      </c>
      <c r="BH102" s="10">
        <v>0.83433306122435813</v>
      </c>
      <c r="BI102" s="10">
        <v>0.95017959183667822</v>
      </c>
      <c r="BJ102" s="10">
        <v>0.87149387755115426</v>
      </c>
      <c r="BK102" s="10">
        <v>0.78103836734664933</v>
      </c>
    </row>
    <row r="103" spans="1:63" x14ac:dyDescent="0.25">
      <c r="A103" s="8">
        <v>46224</v>
      </c>
      <c r="B103" s="10">
        <v>1.2749999999997212</v>
      </c>
      <c r="C103" s="10">
        <v>1.0215000000000112</v>
      </c>
      <c r="D103" s="10">
        <v>1.1964299999999783</v>
      </c>
      <c r="E103" s="10"/>
      <c r="F103">
        <v>143.99999999999886</v>
      </c>
      <c r="H103" s="10">
        <v>1.3161999999999969</v>
      </c>
      <c r="I103">
        <v>124.28999999999924</v>
      </c>
      <c r="J103" s="10">
        <v>1.2587999999999977</v>
      </c>
      <c r="L103" s="10">
        <v>1.1780000000000272</v>
      </c>
      <c r="O103">
        <v>117.39999999999964</v>
      </c>
      <c r="P103">
        <v>103.19999999999251</v>
      </c>
      <c r="R103" s="10">
        <v>1.2069999999999925</v>
      </c>
      <c r="S103" s="10">
        <v>2.9310000000000196</v>
      </c>
      <c r="U103" s="10">
        <v>2.1634999999999223</v>
      </c>
      <c r="V103" s="10">
        <v>1.1940000000000539</v>
      </c>
      <c r="W103" s="10">
        <v>1.1780000000000272</v>
      </c>
      <c r="X103" s="10">
        <v>3.8520000000000465</v>
      </c>
      <c r="Y103" s="10">
        <v>1.0384999999974887</v>
      </c>
      <c r="Z103" s="10">
        <v>0.93949999999274136</v>
      </c>
      <c r="AA103" s="10">
        <v>2.7040000000002467</v>
      </c>
      <c r="AB103" s="10">
        <v>0.97550000000001746</v>
      </c>
      <c r="AC103" s="10">
        <v>3.4490000000004164</v>
      </c>
      <c r="AD103" s="10">
        <v>0.93650000000001665</v>
      </c>
      <c r="AE103" s="10">
        <v>0.84249999999994774</v>
      </c>
      <c r="AF103" s="10">
        <v>0.89890000000015347</v>
      </c>
      <c r="AI103" s="10">
        <v>0.80403591057291768</v>
      </c>
      <c r="AJ103" s="10">
        <v>0.53265312063344128</v>
      </c>
      <c r="AK103" s="10">
        <v>0.54619999999999491</v>
      </c>
      <c r="AL103" s="10">
        <v>0.77592454587801951</v>
      </c>
      <c r="AM103" s="10">
        <v>0.73490230554225766</v>
      </c>
      <c r="AN103" s="10">
        <v>0.945737540754501</v>
      </c>
      <c r="AO103" s="10">
        <v>0.99025780158364141</v>
      </c>
      <c r="AP103" s="10">
        <v>0.94128551467169019</v>
      </c>
      <c r="AQ103" s="10">
        <v>0.91393735444815605</v>
      </c>
      <c r="AR103" s="10">
        <v>0.5394583605030111</v>
      </c>
      <c r="AS103" s="10">
        <v>0.55885647414998452</v>
      </c>
      <c r="AT103" s="10">
        <v>0.80066509082453696</v>
      </c>
      <c r="AU103" s="10">
        <v>0.83189287377733057</v>
      </c>
      <c r="AV103" s="10">
        <v>0.74946679087101853</v>
      </c>
      <c r="AX103" s="10">
        <v>0.83730433162555007</v>
      </c>
      <c r="AY103" s="10">
        <v>0.55469259431765183</v>
      </c>
      <c r="AZ103" s="10">
        <v>0.56879999999999464</v>
      </c>
      <c r="BA103" s="10">
        <v>0.80802980903591615</v>
      </c>
      <c r="BB103" s="10">
        <v>0.7653102002790847</v>
      </c>
      <c r="BC103" s="10">
        <v>0.98486911970186752</v>
      </c>
      <c r="BD103" s="10">
        <v>1.0312314857941689</v>
      </c>
      <c r="BE103" s="10">
        <v>0.98023288309274492</v>
      </c>
      <c r="BF103" s="10">
        <v>0.56177941313458934</v>
      </c>
      <c r="BG103" s="10">
        <v>0.58198015836051109</v>
      </c>
      <c r="BH103" s="10">
        <v>0.83379403819296316</v>
      </c>
      <c r="BI103" s="10">
        <v>0.95175314392184363</v>
      </c>
      <c r="BJ103" s="10">
        <v>0.86631392640890792</v>
      </c>
      <c r="BK103" s="10">
        <v>0.78047731718680935</v>
      </c>
    </row>
    <row r="104" spans="1:63" x14ac:dyDescent="0.25">
      <c r="A104" s="8">
        <v>46225</v>
      </c>
      <c r="B104" s="10">
        <v>1.2724999999996076</v>
      </c>
      <c r="C104" s="10">
        <v>1.0211499999999962</v>
      </c>
      <c r="D104" s="10">
        <v>1.1965000000000026</v>
      </c>
      <c r="E104" s="10"/>
      <c r="F104">
        <v>144.09999999999738</v>
      </c>
      <c r="H104" s="10">
        <v>1.3149800000000322</v>
      </c>
      <c r="I104">
        <v>124.0989999999983</v>
      </c>
      <c r="J104" s="10">
        <v>1.2564999999999862</v>
      </c>
      <c r="L104" s="10">
        <v>1.1789999999999383</v>
      </c>
      <c r="O104">
        <v>117.39999999999702</v>
      </c>
      <c r="P104">
        <v>103.39999999999921</v>
      </c>
      <c r="R104" s="10">
        <v>1.207999999999998</v>
      </c>
      <c r="S104" s="10">
        <v>2.9335000000000422</v>
      </c>
      <c r="U104" s="10">
        <v>2.1644999999999488</v>
      </c>
      <c r="V104" s="10">
        <v>1.1959999999999964</v>
      </c>
      <c r="W104" s="10">
        <v>1.1789999999999383</v>
      </c>
      <c r="X104" s="10">
        <v>3.864499999999929</v>
      </c>
      <c r="Y104" s="10">
        <v>1.0394999999975985</v>
      </c>
      <c r="Z104" s="10">
        <v>0.94199999999415085</v>
      </c>
      <c r="AA104" s="10">
        <v>2.7085000000000656</v>
      </c>
      <c r="AB104" s="10">
        <v>0.97600000000000564</v>
      </c>
      <c r="AC104" s="10">
        <v>3.4519999999998765</v>
      </c>
      <c r="AD104" s="10">
        <v>0.93749999999998612</v>
      </c>
      <c r="AE104" s="10">
        <v>0.84500000000012077</v>
      </c>
      <c r="AF104" s="10">
        <v>0.90139999999999498</v>
      </c>
      <c r="AI104" s="10">
        <v>0.80659524361942292</v>
      </c>
      <c r="AJ104" s="10">
        <v>0.53264524361950349</v>
      </c>
      <c r="AK104" s="10">
        <v>0.54790000000002059</v>
      </c>
      <c r="AL104" s="10">
        <v>0.77970873549899555</v>
      </c>
      <c r="AM104" s="10">
        <v>0.7368682946633005</v>
      </c>
      <c r="AN104" s="10">
        <v>0.93301903712307721</v>
      </c>
      <c r="AO104" s="10">
        <v>0.99225834106726085</v>
      </c>
      <c r="AP104" s="10">
        <v>0.94681187935031919</v>
      </c>
      <c r="AQ104" s="10">
        <v>0.91464976798139408</v>
      </c>
      <c r="AR104" s="10">
        <v>0.54056500057983758</v>
      </c>
      <c r="AS104" s="10">
        <v>0.56086654292340488</v>
      </c>
      <c r="AT104" s="10">
        <v>0.80081114849172375</v>
      </c>
      <c r="AU104" s="10">
        <v>0.83583352668192146</v>
      </c>
      <c r="AV104" s="10">
        <v>0.74430498839868742</v>
      </c>
      <c r="AX104" s="10">
        <v>0.83839385150805157</v>
      </c>
      <c r="AY104" s="10">
        <v>0.55364385150813533</v>
      </c>
      <c r="AZ104" s="10">
        <v>0.56950000000002154</v>
      </c>
      <c r="BA104" s="10">
        <v>0.81044738979134523</v>
      </c>
      <c r="BB104" s="10">
        <v>0.7659180394428724</v>
      </c>
      <c r="BC104" s="10">
        <v>0.96980168213468243</v>
      </c>
      <c r="BD104" s="10">
        <v>1.0313763921113435</v>
      </c>
      <c r="BE104" s="10">
        <v>0.98413828306261519</v>
      </c>
      <c r="BF104" s="10">
        <v>0.56329027020757716</v>
      </c>
      <c r="BG104" s="10">
        <v>0.58297772621806743</v>
      </c>
      <c r="BH104" s="10">
        <v>0.83238172853812165</v>
      </c>
      <c r="BI104" s="10">
        <v>0.95070823665888649</v>
      </c>
      <c r="BJ104" s="10">
        <v>0.8687848027840015</v>
      </c>
      <c r="BK104" s="10">
        <v>0.77364791183254711</v>
      </c>
    </row>
    <row r="105" spans="1:63" x14ac:dyDescent="0.25">
      <c r="A105" s="8">
        <v>46226</v>
      </c>
      <c r="B105" s="10">
        <v>1.27449999999971</v>
      </c>
      <c r="C105" s="10">
        <v>1.0214499999999958</v>
      </c>
      <c r="D105" s="10">
        <v>1.1964999999999753</v>
      </c>
      <c r="E105" s="10"/>
      <c r="F105">
        <v>144.13899999999774</v>
      </c>
      <c r="H105" s="10">
        <v>1.3127999999999656</v>
      </c>
      <c r="I105">
        <v>123.90000000000185</v>
      </c>
      <c r="J105" s="10">
        <v>1.2534999999999517</v>
      </c>
      <c r="L105" s="10">
        <v>1.1830000000000149</v>
      </c>
      <c r="O105">
        <v>117.59999999999798</v>
      </c>
      <c r="P105">
        <v>103.40000000000072</v>
      </c>
      <c r="R105" s="10">
        <v>1.2095000000000156</v>
      </c>
      <c r="S105" s="10">
        <v>2.936500000000021</v>
      </c>
      <c r="U105" s="10">
        <v>2.1675000000000018</v>
      </c>
      <c r="V105" s="10">
        <v>1.1969999999999317</v>
      </c>
      <c r="W105" s="10">
        <v>1.1830000000000149</v>
      </c>
      <c r="X105" s="10">
        <v>3.8660000000001036</v>
      </c>
      <c r="Y105" s="10">
        <v>1.0394999999974595</v>
      </c>
      <c r="Z105" s="10">
        <v>0.94099999999285289</v>
      </c>
      <c r="AA105" s="10">
        <v>2.7074999999999494</v>
      </c>
      <c r="AB105" s="10">
        <v>0.97650000000003834</v>
      </c>
      <c r="AC105" s="10">
        <v>3.4555000000000171</v>
      </c>
      <c r="AD105" s="10">
        <v>0.93879999999985941</v>
      </c>
      <c r="AE105" s="10">
        <v>0.84899999999985198</v>
      </c>
      <c r="AF105" s="10">
        <v>0.89950000000016717</v>
      </c>
      <c r="AI105" s="10">
        <v>0.79628305301030666</v>
      </c>
      <c r="AJ105" s="10">
        <v>0.52787020067275503</v>
      </c>
      <c r="AK105" s="10">
        <v>0.54370000000006058</v>
      </c>
      <c r="AL105" s="10">
        <v>0.77055174573717011</v>
      </c>
      <c r="AM105" s="10">
        <v>0.72703556431952432</v>
      </c>
      <c r="AN105" s="10">
        <v>0.92884973900940537</v>
      </c>
      <c r="AO105" s="10">
        <v>0.98832185361325731</v>
      </c>
      <c r="AP105" s="10">
        <v>0.94095858949077327</v>
      </c>
      <c r="AQ105" s="10">
        <v>0.90942512469551273</v>
      </c>
      <c r="AR105" s="10">
        <v>0.53441549866787608</v>
      </c>
      <c r="AS105" s="10">
        <v>0.55751165758035837</v>
      </c>
      <c r="AT105" s="10">
        <v>0.78903035610699346</v>
      </c>
      <c r="AU105" s="10">
        <v>0.82453703746648499</v>
      </c>
      <c r="AV105" s="10">
        <v>0.73794614313874107</v>
      </c>
      <c r="AX105" s="10">
        <v>0.83113965897250153</v>
      </c>
      <c r="AY105" s="10">
        <v>0.55097726481844489</v>
      </c>
      <c r="AZ105" s="10">
        <v>0.5675000000000634</v>
      </c>
      <c r="BA105" s="10">
        <v>0.80428198584852684</v>
      </c>
      <c r="BB105" s="10">
        <v>0.75886092100667668</v>
      </c>
      <c r="BC105" s="10">
        <v>0.96950933766385428</v>
      </c>
      <c r="BD105" s="10">
        <v>1.0315847929474407</v>
      </c>
      <c r="BE105" s="10">
        <v>0.98214824266325873</v>
      </c>
      <c r="BF105" s="10">
        <v>0.55707934669289527</v>
      </c>
      <c r="BG105" s="10">
        <v>0.581916251014996</v>
      </c>
      <c r="BH105" s="10">
        <v>0.82356948149847131</v>
      </c>
      <c r="BI105" s="10">
        <v>0.94923442756060983</v>
      </c>
      <c r="BJ105" s="10">
        <v>0.86063043730408362</v>
      </c>
      <c r="BK105" s="10">
        <v>0.77024910103225241</v>
      </c>
    </row>
    <row r="106" spans="1:63" x14ac:dyDescent="0.25">
      <c r="A106" s="8">
        <v>46227</v>
      </c>
      <c r="B106" s="10">
        <v>1.2759999999997782</v>
      </c>
      <c r="C106" s="10">
        <v>1.0235000000000078</v>
      </c>
      <c r="D106" s="10">
        <v>1.1989999999999943</v>
      </c>
      <c r="E106" s="10"/>
      <c r="F106">
        <v>144.19999999999993</v>
      </c>
      <c r="H106" s="10">
        <v>1.3145000000000133</v>
      </c>
      <c r="I106">
        <v>123.85000000000007</v>
      </c>
      <c r="J106" s="10">
        <v>1.2569999999999748</v>
      </c>
      <c r="L106" s="10">
        <v>1.1840000000000204</v>
      </c>
      <c r="O106">
        <v>117.84999999999715</v>
      </c>
      <c r="P106">
        <v>103.79999999999725</v>
      </c>
      <c r="R106" s="10">
        <v>1.2115999999999791</v>
      </c>
      <c r="S106" s="10">
        <v>2.9419999999999948</v>
      </c>
      <c r="U106" s="10">
        <v>2.1725000000000021</v>
      </c>
      <c r="V106" s="10">
        <v>1.198000000000031</v>
      </c>
      <c r="W106" s="10">
        <v>1.1840000000000204</v>
      </c>
      <c r="X106" s="10">
        <v>3.8744999999995748</v>
      </c>
      <c r="Y106" s="10">
        <v>1.0419999999969367</v>
      </c>
      <c r="Z106" s="10">
        <v>0.94349999999234169</v>
      </c>
      <c r="AA106" s="10">
        <v>2.7109999999999363</v>
      </c>
      <c r="AB106" s="10">
        <v>0.97950000000004234</v>
      </c>
      <c r="AC106" s="10">
        <v>3.4665000000004067</v>
      </c>
      <c r="AD106" s="10">
        <v>0.9414999999999939</v>
      </c>
      <c r="AE106" s="10">
        <v>0.84850000000003301</v>
      </c>
      <c r="AF106" s="10">
        <v>0.90039999999991693</v>
      </c>
      <c r="AI106" s="10">
        <v>0.80167917146165824</v>
      </c>
      <c r="AJ106" s="10">
        <v>0.53189298043726296</v>
      </c>
      <c r="AK106" s="10">
        <v>0.5469999999999634</v>
      </c>
      <c r="AL106" s="10">
        <v>0.77228342922896298</v>
      </c>
      <c r="AM106" s="10">
        <v>0.73023555811241325</v>
      </c>
      <c r="AN106" s="10">
        <v>0.94097848101275416</v>
      </c>
      <c r="AO106" s="10">
        <v>0.99555258918303369</v>
      </c>
      <c r="AP106" s="10">
        <v>0.95356766398156312</v>
      </c>
      <c r="AQ106" s="10">
        <v>0.91705903337170469</v>
      </c>
      <c r="AR106" s="10">
        <v>0.54108308400458593</v>
      </c>
      <c r="AS106" s="10">
        <v>0.56040747986189376</v>
      </c>
      <c r="AT106" s="10">
        <v>0.79324441887225272</v>
      </c>
      <c r="AU106" s="10">
        <v>0.83025661680071539</v>
      </c>
      <c r="AV106" s="10">
        <v>0.74200644418831829</v>
      </c>
      <c r="AX106" s="10">
        <v>0.83099102416592363</v>
      </c>
      <c r="AY106" s="10">
        <v>0.55134062140389051</v>
      </c>
      <c r="AZ106" s="10">
        <v>0.56699999999996209</v>
      </c>
      <c r="BA106" s="10">
        <v>0.80052048331411707</v>
      </c>
      <c r="BB106" s="10">
        <v>0.75693521288800425</v>
      </c>
      <c r="BC106" s="10">
        <v>0.97538354430389707</v>
      </c>
      <c r="BD106" s="10">
        <v>1.0319530494822304</v>
      </c>
      <c r="BE106" s="10">
        <v>0.9884330264671779</v>
      </c>
      <c r="BF106" s="10">
        <v>0.56086674338318143</v>
      </c>
      <c r="BG106" s="10">
        <v>0.58089769850401052</v>
      </c>
      <c r="BH106" s="10">
        <v>0.82224787111621078</v>
      </c>
      <c r="BI106" s="10">
        <v>0.95058952819333919</v>
      </c>
      <c r="BJ106" s="10">
        <v>0.86061334867642714</v>
      </c>
      <c r="BK106" s="10">
        <v>0.7691364787107432</v>
      </c>
    </row>
    <row r="107" spans="1:63" x14ac:dyDescent="0.25">
      <c r="A107" s="8">
        <v>46230</v>
      </c>
      <c r="B107" s="10">
        <v>1.2752999999997616</v>
      </c>
      <c r="C107" s="10">
        <v>1.0238000000000052</v>
      </c>
      <c r="D107" s="10">
        <v>1.1993099999999854</v>
      </c>
      <c r="E107" s="10"/>
      <c r="F107">
        <v>144.51899999999969</v>
      </c>
      <c r="H107" s="10">
        <v>1.3142499999999253</v>
      </c>
      <c r="I107">
        <v>124.04999999999802</v>
      </c>
      <c r="J107" s="10">
        <v>1.2560000000000233</v>
      </c>
      <c r="L107" s="10">
        <v>1.1849999999999445</v>
      </c>
      <c r="O107">
        <v>117.80000000000182</v>
      </c>
      <c r="P107">
        <v>103.94999999999808</v>
      </c>
      <c r="R107" s="10">
        <v>1.2118000000000122</v>
      </c>
      <c r="S107" s="10">
        <v>2.943999999999968</v>
      </c>
      <c r="U107" s="10">
        <v>2.1750000000000309</v>
      </c>
      <c r="V107" s="10">
        <v>1.2000000000000353</v>
      </c>
      <c r="W107" s="10">
        <v>1.1849999999999445</v>
      </c>
      <c r="X107" s="10">
        <v>3.8799999999998098</v>
      </c>
      <c r="Y107" s="10">
        <v>1.0419999999966771</v>
      </c>
      <c r="Z107" s="10">
        <v>0.94249999999066647</v>
      </c>
      <c r="AA107" s="10">
        <v>2.7115000000000755</v>
      </c>
      <c r="AB107" s="10">
        <v>0.98129999999996098</v>
      </c>
      <c r="AC107" s="10">
        <v>3.4704999999999644</v>
      </c>
      <c r="AD107" s="10">
        <v>0.94199999999997264</v>
      </c>
      <c r="AE107" s="10">
        <v>0.84810000000010388</v>
      </c>
      <c r="AF107" s="10">
        <v>0.89769999999997796</v>
      </c>
      <c r="AI107" s="10">
        <v>0.79487034277189617</v>
      </c>
      <c r="AJ107" s="10">
        <v>0.52985096870345072</v>
      </c>
      <c r="AK107" s="10">
        <v>0.54599999999997495</v>
      </c>
      <c r="AL107" s="10">
        <v>0.76701639344291161</v>
      </c>
      <c r="AM107" s="10">
        <v>0.72432786885205591</v>
      </c>
      <c r="AN107" s="10">
        <v>0.92763040238459882</v>
      </c>
      <c r="AO107" s="10">
        <v>0.99291505216095144</v>
      </c>
      <c r="AP107" s="10">
        <v>0.94453055141588083</v>
      </c>
      <c r="AQ107" s="10">
        <v>0.91260804768996495</v>
      </c>
      <c r="AR107" s="10">
        <v>0.53898956780919438</v>
      </c>
      <c r="AS107" s="10">
        <v>0.559582712369601</v>
      </c>
      <c r="AT107" s="10">
        <v>0.7902384500743902</v>
      </c>
      <c r="AU107" s="10">
        <v>0.82522801788374478</v>
      </c>
      <c r="AV107" s="10">
        <v>0.7377228017879055</v>
      </c>
      <c r="AX107" s="10">
        <v>0.82835389200954002</v>
      </c>
      <c r="AY107" s="10">
        <v>0.55217069815432862</v>
      </c>
      <c r="AZ107" s="10">
        <v>0.56899999999997386</v>
      </c>
      <c r="BA107" s="10">
        <v>0.79932660781871179</v>
      </c>
      <c r="BB107" s="10">
        <v>0.75483984867549392</v>
      </c>
      <c r="BC107" s="10">
        <v>0.96670640834585453</v>
      </c>
      <c r="BD107" s="10">
        <v>1.0347411441017973</v>
      </c>
      <c r="BE107" s="10">
        <v>0.98431846841691584</v>
      </c>
      <c r="BF107" s="10">
        <v>0.56169425656306138</v>
      </c>
      <c r="BG107" s="10">
        <v>0.58315487790897969</v>
      </c>
      <c r="BH107" s="10">
        <v>0.82352688295298149</v>
      </c>
      <c r="BI107" s="10">
        <v>0.95105124383807682</v>
      </c>
      <c r="BJ107" s="10">
        <v>0.85999037028544068</v>
      </c>
      <c r="BK107" s="10">
        <v>0.76879903702805519</v>
      </c>
    </row>
    <row r="108" spans="1:63" x14ac:dyDescent="0.25">
      <c r="A108" s="8">
        <v>46231</v>
      </c>
      <c r="B108" s="10">
        <v>1.2794999999998806</v>
      </c>
      <c r="C108" s="10">
        <v>1.0230000000000055</v>
      </c>
      <c r="D108" s="10">
        <v>1.1983500000000022</v>
      </c>
      <c r="E108" s="10"/>
      <c r="F108">
        <v>144.19999999999581</v>
      </c>
      <c r="H108" s="10">
        <v>1.3119999999999927</v>
      </c>
      <c r="I108">
        <v>123.94999999999739</v>
      </c>
      <c r="J108" s="10">
        <v>1.2559999999999478</v>
      </c>
      <c r="L108" s="10">
        <v>1.1809999999999881</v>
      </c>
      <c r="O108">
        <v>118.35000000000147</v>
      </c>
      <c r="P108">
        <v>104.24999999999976</v>
      </c>
      <c r="R108" s="10">
        <v>1.2124700000000102</v>
      </c>
      <c r="S108" s="10">
        <v>2.9450000000000514</v>
      </c>
      <c r="U108" s="10">
        <v>2.1765000000000607</v>
      </c>
      <c r="V108" s="10">
        <v>1.2000000000000659</v>
      </c>
      <c r="W108" s="10">
        <v>1.1809999999999881</v>
      </c>
      <c r="X108" s="10">
        <v>3.8784999999999799</v>
      </c>
      <c r="Y108" s="10">
        <v>1.0429999999967632</v>
      </c>
      <c r="Z108" s="10">
        <v>0.94449999999196865</v>
      </c>
      <c r="AA108" s="10">
        <v>2.7149999999997489</v>
      </c>
      <c r="AB108" s="10">
        <v>0.98199999999999332</v>
      </c>
      <c r="AC108" s="10">
        <v>3.4720000000001989</v>
      </c>
      <c r="AD108" s="10">
        <v>0.94250000000008949</v>
      </c>
      <c r="AE108" s="10">
        <v>0.84999999999991749</v>
      </c>
      <c r="AF108" s="10">
        <v>0.90340000000009679</v>
      </c>
      <c r="AI108" s="10">
        <v>0.79627615543788621</v>
      </c>
      <c r="AJ108" s="10">
        <v>0.53246842286897278</v>
      </c>
      <c r="AK108" s="10">
        <v>0.54599999999999727</v>
      </c>
      <c r="AL108" s="10">
        <v>0.76551736031249684</v>
      </c>
      <c r="AM108" s="10">
        <v>0.72427546562385914</v>
      </c>
      <c r="AN108" s="10">
        <v>0.93418854909163973</v>
      </c>
      <c r="AO108" s="10">
        <v>0.99426235916299022</v>
      </c>
      <c r="AP108" s="10">
        <v>0.94485996780868065</v>
      </c>
      <c r="AQ108" s="10">
        <v>0.91209243504254456</v>
      </c>
      <c r="AR108" s="10">
        <v>0.5388028528701081</v>
      </c>
      <c r="AS108" s="10">
        <v>0.5593078868705349</v>
      </c>
      <c r="AT108" s="10">
        <v>0.79219590710510601</v>
      </c>
      <c r="AU108" s="10">
        <v>0.8267838583581828</v>
      </c>
      <c r="AV108" s="10">
        <v>0.73947098999637573</v>
      </c>
      <c r="AX108" s="10">
        <v>0.8271938376636796</v>
      </c>
      <c r="AY108" s="10">
        <v>0.554150005751752</v>
      </c>
      <c r="AZ108" s="10">
        <v>0.56719999999999726</v>
      </c>
      <c r="BA108" s="10">
        <v>0.79524074499862307</v>
      </c>
      <c r="BB108" s="10">
        <v>0.75239751667006016</v>
      </c>
      <c r="BC108" s="10">
        <v>0.97046107151058247</v>
      </c>
      <c r="BD108" s="10">
        <v>1.0328674177971577</v>
      </c>
      <c r="BE108" s="10">
        <v>0.98154683835363299</v>
      </c>
      <c r="BF108" s="10">
        <v>0.56074236742204564</v>
      </c>
      <c r="BG108" s="10">
        <v>0.58102460335708306</v>
      </c>
      <c r="BH108" s="10">
        <v>0.82295516210625663</v>
      </c>
      <c r="BI108" s="10">
        <v>0.94750701310646757</v>
      </c>
      <c r="BJ108" s="10">
        <v>0.85888608875597294</v>
      </c>
      <c r="BK108" s="10">
        <v>0.76971714384252232</v>
      </c>
    </row>
    <row r="109" spans="1:63" x14ac:dyDescent="0.25">
      <c r="A109" s="8">
        <v>46232</v>
      </c>
      <c r="B109" s="10">
        <v>1.278989999999889</v>
      </c>
      <c r="C109" s="10">
        <v>1.0234000000000112</v>
      </c>
      <c r="D109" s="10">
        <v>1.1989999999999854</v>
      </c>
      <c r="E109" s="10"/>
      <c r="F109">
        <v>144.69500000000309</v>
      </c>
      <c r="H109" s="10">
        <v>1.3147000000000142</v>
      </c>
      <c r="I109">
        <v>123.84999999999707</v>
      </c>
      <c r="J109" s="10">
        <v>1.2569999999999324</v>
      </c>
      <c r="L109" s="10">
        <v>1.1819999999999511</v>
      </c>
      <c r="O109">
        <v>118.20000000000171</v>
      </c>
      <c r="P109">
        <v>103.74999999999976</v>
      </c>
      <c r="R109" s="10">
        <v>1.2124999999999957</v>
      </c>
      <c r="S109" s="10">
        <v>2.9459999999999242</v>
      </c>
      <c r="U109" s="10">
        <v>2.1775000000000633</v>
      </c>
      <c r="V109" s="10">
        <v>1.2095000000000846</v>
      </c>
      <c r="W109" s="10">
        <v>1.1819999999999511</v>
      </c>
      <c r="X109" s="10">
        <v>3.8809999999997609</v>
      </c>
      <c r="Y109" s="10">
        <v>1.0434999999967449</v>
      </c>
      <c r="Z109" s="10">
        <v>0.94299999999996909</v>
      </c>
      <c r="AA109" s="10">
        <v>2.7195000000001381</v>
      </c>
      <c r="AB109" s="10">
        <v>0.98249999999998894</v>
      </c>
      <c r="AC109" s="10">
        <v>3.4725000000002124</v>
      </c>
      <c r="AD109" s="10">
        <v>0.94199999999999506</v>
      </c>
      <c r="AE109" s="10">
        <v>0.84749999999989745</v>
      </c>
      <c r="AF109" s="10">
        <v>0.9037999999998777</v>
      </c>
      <c r="AI109" s="10">
        <v>0.7847728697472075</v>
      </c>
      <c r="AJ109" s="10">
        <v>0.52707220803340471</v>
      </c>
      <c r="AK109" s="10">
        <v>0.54049999999996901</v>
      </c>
      <c r="AL109" s="10">
        <v>0.75785453912223322</v>
      </c>
      <c r="AM109" s="10">
        <v>0.71782214998760752</v>
      </c>
      <c r="AN109" s="10">
        <v>0.93291780821917558</v>
      </c>
      <c r="AO109" s="10">
        <v>0.9888251102855764</v>
      </c>
      <c r="AP109" s="10">
        <v>0.93492570234504957</v>
      </c>
      <c r="AQ109" s="10">
        <v>0.90725441142316898</v>
      </c>
      <c r="AR109" s="10">
        <v>0.53887476776597998</v>
      </c>
      <c r="AS109" s="10">
        <v>0.55593568609239918</v>
      </c>
      <c r="AT109" s="10">
        <v>0.77900017413510336</v>
      </c>
      <c r="AU109" s="10">
        <v>0.81570698862305091</v>
      </c>
      <c r="AV109" s="10">
        <v>0.73350882284630547</v>
      </c>
      <c r="AX109" s="10">
        <v>0.82063575574675629</v>
      </c>
      <c r="AY109" s="10">
        <v>0.55115857905731791</v>
      </c>
      <c r="AZ109" s="10">
        <v>0.56519999999996762</v>
      </c>
      <c r="BA109" s="10">
        <v>0.79248729974447041</v>
      </c>
      <c r="BB109" s="10">
        <v>0.75062549338204587</v>
      </c>
      <c r="BC109" s="10">
        <v>0.97555068493150443</v>
      </c>
      <c r="BD109" s="10">
        <v>1.0340128627815133</v>
      </c>
      <c r="BE109" s="10">
        <v>0.97765033666128043</v>
      </c>
      <c r="BF109" s="10">
        <v>0.56090205527178882</v>
      </c>
      <c r="BG109" s="10">
        <v>0.58134107267238488</v>
      </c>
      <c r="BH109" s="10">
        <v>0.81459925702342362</v>
      </c>
      <c r="BI109" s="10">
        <v>0.94871451126063855</v>
      </c>
      <c r="BJ109" s="10">
        <v>0.85298351520767524</v>
      </c>
      <c r="BK109" s="10">
        <v>0.76702902252124316</v>
      </c>
    </row>
    <row r="110" spans="1:63" x14ac:dyDescent="0.25">
      <c r="A110" s="8">
        <v>46233</v>
      </c>
      <c r="B110" s="10">
        <v>1.2749999999997688</v>
      </c>
      <c r="C110" s="10">
        <v>1.0227999999999946</v>
      </c>
      <c r="D110" s="10">
        <v>1.1975000000000104</v>
      </c>
      <c r="E110" s="10"/>
      <c r="F110">
        <v>143.70000000000095</v>
      </c>
      <c r="H110" s="10">
        <v>1.3110000000000068</v>
      </c>
      <c r="I110">
        <v>123.69999999999722</v>
      </c>
      <c r="J110" s="10">
        <v>1.2524999999999391</v>
      </c>
      <c r="L110" s="10">
        <v>1.1764999999999075</v>
      </c>
      <c r="O110">
        <v>118.04999999999643</v>
      </c>
      <c r="P110">
        <v>103.69999999999958</v>
      </c>
      <c r="R110" s="10">
        <v>1.2112000000000094</v>
      </c>
      <c r="S110" s="10">
        <v>2.9405000000000809</v>
      </c>
      <c r="U110" s="10">
        <v>2.1714999999999751</v>
      </c>
      <c r="V110" s="10">
        <v>1.2054999999999476</v>
      </c>
      <c r="W110" s="10">
        <v>1.1764999999999075</v>
      </c>
      <c r="X110" s="10">
        <v>3.8739999999998651</v>
      </c>
      <c r="Y110" s="10">
        <v>1.0404999999952296</v>
      </c>
      <c r="Z110" s="10">
        <v>0.93999999999996486</v>
      </c>
      <c r="AA110" s="10">
        <v>2.7099999999997739</v>
      </c>
      <c r="AB110" s="10">
        <v>0.97999999999990806</v>
      </c>
      <c r="AC110" s="10">
        <v>3.4554999999997111</v>
      </c>
      <c r="AD110" s="10">
        <v>0.93980000000001696</v>
      </c>
      <c r="AE110" s="10">
        <v>0.84249999999998859</v>
      </c>
      <c r="AF110" s="10">
        <v>0.89199999999997714</v>
      </c>
      <c r="AI110" s="10">
        <v>0.78671865882347836</v>
      </c>
      <c r="AJ110" s="10">
        <v>0.53164447058821407</v>
      </c>
      <c r="AK110" s="10">
        <v>0.54379999999998963</v>
      </c>
      <c r="AL110" s="10">
        <v>0.75946468235295828</v>
      </c>
      <c r="AM110" s="10">
        <v>0.7174961176459701</v>
      </c>
      <c r="AN110" s="10">
        <v>0.93616769411765266</v>
      </c>
      <c r="AO110" s="10">
        <v>0.99163529411768025</v>
      </c>
      <c r="AP110" s="10">
        <v>0.93661552941180015</v>
      </c>
      <c r="AQ110" s="10">
        <v>0.90846588235280024</v>
      </c>
      <c r="AR110" s="10">
        <v>0.53757495881382267</v>
      </c>
      <c r="AS110" s="10">
        <v>0.55883447058816804</v>
      </c>
      <c r="AT110" s="10">
        <v>0.786270823529298</v>
      </c>
      <c r="AU110" s="10">
        <v>0.82593623529411475</v>
      </c>
      <c r="AV110" s="10">
        <v>0.73796858823525679</v>
      </c>
      <c r="AX110" s="10">
        <v>0.81521876470582921</v>
      </c>
      <c r="AY110" s="10">
        <v>0.55090411764703673</v>
      </c>
      <c r="AZ110" s="10">
        <v>0.56349999999998923</v>
      </c>
      <c r="BA110" s="10">
        <v>0.78697747058825285</v>
      </c>
      <c r="BB110" s="10">
        <v>0.74348852941063637</v>
      </c>
      <c r="BC110" s="10">
        <v>0.97008182352941741</v>
      </c>
      <c r="BD110" s="10">
        <v>1.0275588235294459</v>
      </c>
      <c r="BE110" s="10">
        <v>0.9705458823529779</v>
      </c>
      <c r="BF110" s="10">
        <v>0.55786267357023533</v>
      </c>
      <c r="BG110" s="10">
        <v>0.57907911764698905</v>
      </c>
      <c r="BH110" s="10">
        <v>0.81475470588223498</v>
      </c>
      <c r="BI110" s="10">
        <v>0.94137647058808904</v>
      </c>
      <c r="BJ110" s="10">
        <v>0.85585705882352625</v>
      </c>
      <c r="BK110" s="10">
        <v>0.76470264705878477</v>
      </c>
    </row>
    <row r="111" spans="1:63" x14ac:dyDescent="0.25">
      <c r="A111" s="8">
        <v>46234</v>
      </c>
      <c r="B111" s="10">
        <v>1.2780099999998655</v>
      </c>
      <c r="C111" s="10">
        <v>1.0239900000000046</v>
      </c>
      <c r="D111" s="10">
        <v>1.1989000000000085</v>
      </c>
      <c r="E111" s="10"/>
      <c r="F111">
        <v>144.49999999999986</v>
      </c>
      <c r="H111" s="10">
        <v>1.310999999999944</v>
      </c>
      <c r="I111">
        <v>123.58999999999905</v>
      </c>
      <c r="J111" s="10">
        <v>1.2544000000000031</v>
      </c>
      <c r="L111" s="10">
        <v>1.170999999999824</v>
      </c>
      <c r="O111">
        <v>117.90000000000389</v>
      </c>
      <c r="P111">
        <v>103.9999999999972</v>
      </c>
      <c r="R111" s="10">
        <v>1.2140000000000157</v>
      </c>
      <c r="S111" s="10">
        <v>2.9469999999999925</v>
      </c>
      <c r="U111" s="10">
        <v>2.1745000000000685</v>
      </c>
      <c r="V111" s="10">
        <v>1.2099999999999793</v>
      </c>
      <c r="W111" s="10">
        <v>1.170999999999824</v>
      </c>
      <c r="X111" s="10">
        <v>3.8749999999999258</v>
      </c>
      <c r="Y111" s="10">
        <v>1.0414999999946857</v>
      </c>
      <c r="Z111" s="10">
        <v>0.96739999999939386</v>
      </c>
      <c r="AA111" s="10">
        <v>2.7140000000000439</v>
      </c>
      <c r="AB111" s="10">
        <v>0.98499999999995169</v>
      </c>
      <c r="AC111" s="10">
        <v>3.470000000000045</v>
      </c>
      <c r="AD111" s="10">
        <v>0.94189999999992546</v>
      </c>
      <c r="AE111" s="10">
        <v>0.8459999999998904</v>
      </c>
      <c r="AF111" s="10">
        <v>0.89800000000006197</v>
      </c>
      <c r="AI111" s="10">
        <v>0.79234575087303116</v>
      </c>
      <c r="AJ111" s="10">
        <v>0.5292235739231288</v>
      </c>
      <c r="AK111" s="10">
        <v>0.54449999999999088</v>
      </c>
      <c r="AL111" s="10">
        <v>0.76413824214207327</v>
      </c>
      <c r="AM111" s="10">
        <v>0.72071769499342309</v>
      </c>
      <c r="AN111" s="10">
        <v>0.93370023282888159</v>
      </c>
      <c r="AO111" s="10">
        <v>0.98694586728752143</v>
      </c>
      <c r="AP111" s="10">
        <v>0.93186199068676689</v>
      </c>
      <c r="AQ111" s="10">
        <v>0.91024679860300173</v>
      </c>
      <c r="AR111" s="10">
        <v>0.54164755529679565</v>
      </c>
      <c r="AS111" s="10">
        <v>0.56085401629806231</v>
      </c>
      <c r="AT111" s="10">
        <v>0.79456431897590674</v>
      </c>
      <c r="AU111" s="10">
        <v>0.83445825965575848</v>
      </c>
      <c r="AV111" s="10">
        <v>0.74490013959991386</v>
      </c>
      <c r="AX111" s="10">
        <v>0.82363213038408778</v>
      </c>
      <c r="AY111" s="10">
        <v>0.55012037252615431</v>
      </c>
      <c r="AZ111" s="10">
        <v>0.56599999999999073</v>
      </c>
      <c r="BA111" s="10">
        <v>0.79431082654254115</v>
      </c>
      <c r="BB111" s="10">
        <v>0.749175785796653</v>
      </c>
      <c r="BC111" s="10">
        <v>0.97056810244471459</v>
      </c>
      <c r="BD111" s="10">
        <v>1.0259161816064966</v>
      </c>
      <c r="BE111" s="10">
        <v>0.96865727590213069</v>
      </c>
      <c r="BF111" s="10">
        <v>0.56303492433055358</v>
      </c>
      <c r="BG111" s="10">
        <v>0.58299976717117241</v>
      </c>
      <c r="BH111" s="10">
        <v>0.82593830034961124</v>
      </c>
      <c r="BI111" s="10">
        <v>0.94618859138530609</v>
      </c>
      <c r="BJ111" s="10">
        <v>0.86657633783165844</v>
      </c>
      <c r="BK111" s="10">
        <v>0.77357114937190474</v>
      </c>
    </row>
    <row r="112" spans="1:63" x14ac:dyDescent="0.25">
      <c r="A112" s="8">
        <v>46237</v>
      </c>
      <c r="B112" s="10">
        <v>1.2789999999998856</v>
      </c>
      <c r="C112" s="10">
        <v>1.0258500000000088</v>
      </c>
      <c r="D112" s="10">
        <v>1.2013999999999874</v>
      </c>
      <c r="E112" s="10"/>
      <c r="F112">
        <v>144.85999999999999</v>
      </c>
      <c r="H112" s="10">
        <v>1.3137999999999928</v>
      </c>
      <c r="I112">
        <v>123.90000000000416</v>
      </c>
      <c r="J112" s="10">
        <v>1.2557999999999565</v>
      </c>
      <c r="L112" s="10">
        <v>1.1749999999998584</v>
      </c>
      <c r="O112">
        <v>118.54999999999949</v>
      </c>
      <c r="P112">
        <v>104.49999999999635</v>
      </c>
      <c r="R112" s="10">
        <v>1.2136999999999893</v>
      </c>
      <c r="S112" s="10">
        <v>2.9489999999999834</v>
      </c>
      <c r="U112" s="10">
        <v>2.1734999999999736</v>
      </c>
      <c r="V112" s="10">
        <v>1.2039999999999846</v>
      </c>
      <c r="W112" s="10">
        <v>1.1749999999998584</v>
      </c>
      <c r="X112" s="10">
        <v>3.8799999999998884</v>
      </c>
      <c r="Y112" s="10">
        <v>1.0409999999939386</v>
      </c>
      <c r="Z112" s="10">
        <v>0.94350000000000389</v>
      </c>
      <c r="AA112" s="10">
        <v>2.7080000000000064</v>
      </c>
      <c r="AB112" s="10">
        <v>0.9815000000000671</v>
      </c>
      <c r="AC112" s="10">
        <v>3.4670000000001209</v>
      </c>
      <c r="AD112" s="10">
        <v>0.93990000000000495</v>
      </c>
      <c r="AE112" s="10">
        <v>0.84799999999991116</v>
      </c>
      <c r="AF112" s="10">
        <v>0.8990000000000079</v>
      </c>
      <c r="AI112" s="10">
        <v>0.79779058579831874</v>
      </c>
      <c r="AJ112" s="10">
        <v>0.53281446837914881</v>
      </c>
      <c r="AK112" s="10">
        <v>0.54920000000003266</v>
      </c>
      <c r="AL112" s="10">
        <v>0.7721288065370111</v>
      </c>
      <c r="AM112" s="10">
        <v>0.7243448037740583</v>
      </c>
      <c r="AN112" s="10">
        <v>0.9366549430314659</v>
      </c>
      <c r="AO112" s="10">
        <v>0.98538704108644382</v>
      </c>
      <c r="AP112" s="10">
        <v>0.9372870065600134</v>
      </c>
      <c r="AQ112" s="10">
        <v>0.91017148118321756</v>
      </c>
      <c r="AR112" s="10">
        <v>0.54553403153412272</v>
      </c>
      <c r="AS112" s="10">
        <v>0.56380066751060676</v>
      </c>
      <c r="AT112" s="10">
        <v>0.80297350673275469</v>
      </c>
      <c r="AU112" s="10">
        <v>0.83691531821864695</v>
      </c>
      <c r="AV112" s="10">
        <v>0.74969055127161144</v>
      </c>
      <c r="AX112" s="10">
        <v>0.8261170905744788</v>
      </c>
      <c r="AY112" s="10">
        <v>0.55260582882149145</v>
      </c>
      <c r="AZ112" s="10">
        <v>0.56870000000003373</v>
      </c>
      <c r="BA112" s="10">
        <v>0.79954415928186118</v>
      </c>
      <c r="BB112" s="10">
        <v>0.75006352859851955</v>
      </c>
      <c r="BC112" s="10">
        <v>0.96991199217406143</v>
      </c>
      <c r="BD112" s="10">
        <v>1.0203743814017856</v>
      </c>
      <c r="BE112" s="10">
        <v>0.9705664978708658</v>
      </c>
      <c r="BF112" s="10">
        <v>0.56490386695822215</v>
      </c>
      <c r="BG112" s="10">
        <v>0.58381908159738172</v>
      </c>
      <c r="BH112" s="10">
        <v>0.83148403728863374</v>
      </c>
      <c r="BI112" s="10">
        <v>0.94248820347577533</v>
      </c>
      <c r="BJ112" s="10">
        <v>0.8666309932100229</v>
      </c>
      <c r="BK112" s="10">
        <v>0.77630920704327278</v>
      </c>
    </row>
    <row r="113" spans="1:63" x14ac:dyDescent="0.25">
      <c r="A113" s="8">
        <v>46238</v>
      </c>
      <c r="B113" s="10">
        <v>1.2791999999998982</v>
      </c>
      <c r="C113" s="10">
        <v>1.0259000000000031</v>
      </c>
      <c r="D113" s="10">
        <v>1.2015000000000005</v>
      </c>
      <c r="E113" s="10"/>
      <c r="F113">
        <v>144.89999999999725</v>
      </c>
      <c r="H113" s="10">
        <v>1.3129999999999333</v>
      </c>
      <c r="I113">
        <v>123.74899999999943</v>
      </c>
      <c r="J113" s="10">
        <v>1.2559999999999634</v>
      </c>
      <c r="L113" s="10">
        <v>1.1769999999999075</v>
      </c>
      <c r="O113">
        <v>118.45000000000134</v>
      </c>
      <c r="P113">
        <v>104.54999999999426</v>
      </c>
      <c r="R113" s="10">
        <v>1.2145100000000122</v>
      </c>
      <c r="S113" s="10">
        <v>2.9495000000000124</v>
      </c>
      <c r="U113" s="10">
        <v>2.1749999999999483</v>
      </c>
      <c r="V113" s="10">
        <v>1.1970000000000127</v>
      </c>
      <c r="W113" s="10">
        <v>1.1769999999999075</v>
      </c>
      <c r="X113" s="10">
        <v>3.8850000000000544</v>
      </c>
      <c r="Y113" s="10">
        <v>1.0399999999927965</v>
      </c>
      <c r="Z113" s="10">
        <v>0.94100000000005313</v>
      </c>
      <c r="AA113" s="10">
        <v>2.7050000000002168</v>
      </c>
      <c r="AB113" s="10">
        <v>0.98200000000000531</v>
      </c>
      <c r="AC113" s="10">
        <v>3.464000000000242</v>
      </c>
      <c r="AD113" s="10">
        <v>0.93849999999998179</v>
      </c>
      <c r="AE113" s="10">
        <v>0.84790000000008259</v>
      </c>
      <c r="AF113" s="10">
        <v>0.89900000000010283</v>
      </c>
      <c r="AI113" s="10">
        <v>0.79681179723484574</v>
      </c>
      <c r="AJ113" s="10">
        <v>0.53251834101380835</v>
      </c>
      <c r="AK113" s="10">
        <v>0.5503999999999668</v>
      </c>
      <c r="AL113" s="10">
        <v>0.77024294930869519</v>
      </c>
      <c r="AM113" s="10">
        <v>0.72794838709646181</v>
      </c>
      <c r="AN113" s="10">
        <v>0.9321924423962864</v>
      </c>
      <c r="AO113" s="10">
        <v>0.98520331797225769</v>
      </c>
      <c r="AP113" s="10">
        <v>0.93688479262666091</v>
      </c>
      <c r="AQ113" s="10">
        <v>0.91272552995392942</v>
      </c>
      <c r="AR113" s="10">
        <v>0.54196936542671714</v>
      </c>
      <c r="AS113" s="10">
        <v>0.56371612903227153</v>
      </c>
      <c r="AT113" s="10">
        <v>0.80118709677438682</v>
      </c>
      <c r="AU113" s="10">
        <v>0.83790156682010319</v>
      </c>
      <c r="AV113" s="10">
        <v>0.74906396313334522</v>
      </c>
      <c r="AX113" s="10">
        <v>0.82620002304129092</v>
      </c>
      <c r="AY113" s="10">
        <v>0.55215882488477552</v>
      </c>
      <c r="AZ113" s="10">
        <v>0.57069999999996557</v>
      </c>
      <c r="BA113" s="10">
        <v>0.79865125576030593</v>
      </c>
      <c r="BB113" s="10">
        <v>0.75479677419322455</v>
      </c>
      <c r="BC113" s="10">
        <v>0.96657381336402737</v>
      </c>
      <c r="BD113" s="10">
        <v>1.0215398502303188</v>
      </c>
      <c r="BE113" s="10">
        <v>0.9714392281105293</v>
      </c>
      <c r="BF113" s="10">
        <v>0.56215536105035058</v>
      </c>
      <c r="BG113" s="10">
        <v>0.58450725806452997</v>
      </c>
      <c r="BH113" s="10">
        <v>0.8307366935485877</v>
      </c>
      <c r="BI113" s="10">
        <v>0.94638891705070405</v>
      </c>
      <c r="BJ113" s="10">
        <v>0.86880527649751615</v>
      </c>
      <c r="BK113" s="10">
        <v>0.77669114055268917</v>
      </c>
    </row>
    <row r="114" spans="1:63" x14ac:dyDescent="0.25">
      <c r="A114" s="8">
        <v>46239</v>
      </c>
      <c r="B114" s="10">
        <v>1.2804899999999266</v>
      </c>
      <c r="C114" s="10">
        <v>1.0257899999999855</v>
      </c>
      <c r="D114" s="10">
        <v>1.200999999999989</v>
      </c>
      <c r="E114" s="10"/>
      <c r="F114">
        <v>144.20700000000176</v>
      </c>
      <c r="H114" s="10">
        <v>1.3117599999999756</v>
      </c>
      <c r="I114">
        <v>123.79999999999546</v>
      </c>
      <c r="J114" s="10">
        <v>1.2550000000000188</v>
      </c>
      <c r="L114" s="10">
        <v>1.1769999999999197</v>
      </c>
      <c r="O114">
        <v>117.99999999999756</v>
      </c>
      <c r="P114">
        <v>104.2499999999946</v>
      </c>
      <c r="R114" s="10">
        <v>1.2140000000000015</v>
      </c>
      <c r="S114" s="10">
        <v>2.9450000000000518</v>
      </c>
      <c r="U114" s="10">
        <v>2.1700000000000257</v>
      </c>
      <c r="V114" s="10">
        <v>1.1964999999999746</v>
      </c>
      <c r="W114" s="10">
        <v>1.1769999999999197</v>
      </c>
      <c r="X114" s="10">
        <v>3.8789999999998797</v>
      </c>
      <c r="Y114" s="10">
        <v>1.0364999999999784</v>
      </c>
      <c r="Z114" s="10">
        <v>0.9415000000000262</v>
      </c>
      <c r="AA114" s="10">
        <v>2.7004999999997819</v>
      </c>
      <c r="AB114" s="10">
        <v>0.9749999999999488</v>
      </c>
      <c r="AC114" s="10">
        <v>3.4600000000000204</v>
      </c>
      <c r="AD114" s="10">
        <v>0.93549999999997779</v>
      </c>
      <c r="AE114" s="10">
        <v>0.84500000000014841</v>
      </c>
      <c r="AF114" s="10">
        <v>0.88999999999991697</v>
      </c>
      <c r="AI114" s="10">
        <v>0.79402916666676904</v>
      </c>
      <c r="AJ114" s="10">
        <v>0.52928935185183446</v>
      </c>
      <c r="AK114" s="10">
        <v>0.5480000000000802</v>
      </c>
      <c r="AL114" s="10">
        <v>0.76631203703704331</v>
      </c>
      <c r="AM114" s="10">
        <v>0.72438749999904661</v>
      </c>
      <c r="AN114" s="10">
        <v>0.92639907407422328</v>
      </c>
      <c r="AO114" s="10">
        <v>0.98475092592585911</v>
      </c>
      <c r="AP114" s="10">
        <v>0.93489814814813532</v>
      </c>
      <c r="AQ114" s="10">
        <v>0.91117685185181907</v>
      </c>
      <c r="AR114" s="10">
        <v>0.54007175925920192</v>
      </c>
      <c r="AS114" s="10">
        <v>0.55941666666664036</v>
      </c>
      <c r="AT114" s="10">
        <v>0.79605879629642795</v>
      </c>
      <c r="AU114" s="10">
        <v>0.83531944444433637</v>
      </c>
      <c r="AV114" s="10">
        <v>0.74588888888879001</v>
      </c>
      <c r="AX114" s="10">
        <v>0.82445729166677306</v>
      </c>
      <c r="AY114" s="10">
        <v>0.54957233796294491</v>
      </c>
      <c r="AZ114" s="10">
        <v>0.56900000000008333</v>
      </c>
      <c r="BA114" s="10">
        <v>0.79567800925926591</v>
      </c>
      <c r="BB114" s="10">
        <v>0.75214687499901023</v>
      </c>
      <c r="BC114" s="10">
        <v>0.96189976851867343</v>
      </c>
      <c r="BD114" s="10">
        <v>1.0224877314814123</v>
      </c>
      <c r="BE114" s="10">
        <v>0.97072453703702366</v>
      </c>
      <c r="BF114" s="10">
        <v>0.56076793981475548</v>
      </c>
      <c r="BG114" s="10">
        <v>0.58085416666663947</v>
      </c>
      <c r="BH114" s="10">
        <v>0.82656469907421093</v>
      </c>
      <c r="BI114" s="10">
        <v>0.94609421296292906</v>
      </c>
      <c r="BJ114" s="10">
        <v>0.86732986111099886</v>
      </c>
      <c r="BK114" s="10">
        <v>0.77447222222211964</v>
      </c>
    </row>
    <row r="115" spans="1:63" x14ac:dyDescent="0.25">
      <c r="A115" s="8">
        <v>46240</v>
      </c>
      <c r="B115" s="10">
        <v>1.2779999999998677</v>
      </c>
      <c r="C115" s="10">
        <v>1.0247999999999802</v>
      </c>
      <c r="D115" s="10">
        <v>1.2005000000000094</v>
      </c>
      <c r="E115" s="10"/>
      <c r="F115">
        <v>144.23999999999538</v>
      </c>
      <c r="H115" s="10">
        <v>1.309999999999965</v>
      </c>
      <c r="I115">
        <v>123.24900000000399</v>
      </c>
      <c r="J115" s="10">
        <v>1.2505000000000397</v>
      </c>
      <c r="L115" s="10">
        <v>1.1769999999998868</v>
      </c>
      <c r="O115">
        <v>118.25000000000043</v>
      </c>
      <c r="P115">
        <v>104.39999999999765</v>
      </c>
      <c r="R115" s="10">
        <v>1.2149999999999879</v>
      </c>
      <c r="S115" s="10">
        <v>2.9505000000000536</v>
      </c>
      <c r="U115" s="10">
        <v>2.1679999999999775</v>
      </c>
      <c r="V115" s="10">
        <v>1.1869999999999015</v>
      </c>
      <c r="W115" s="10">
        <v>1.1769999999998868</v>
      </c>
      <c r="X115" s="10">
        <v>3.8799999999997894</v>
      </c>
      <c r="Y115" s="10">
        <v>1.0385000000000388</v>
      </c>
      <c r="Z115" s="10">
        <v>0.93750000000000711</v>
      </c>
      <c r="AA115" s="10">
        <v>2.6990000000002397</v>
      </c>
      <c r="AB115" s="10">
        <v>0.98000000000004828</v>
      </c>
      <c r="AC115" s="10">
        <v>3.4479999999995568</v>
      </c>
      <c r="AD115" s="10">
        <v>0.9335000000000363</v>
      </c>
      <c r="AE115" s="10">
        <v>0.83050000000006863</v>
      </c>
      <c r="AF115" s="10">
        <v>0.89540000000009923</v>
      </c>
      <c r="AI115" s="10">
        <v>0.78423918462434483</v>
      </c>
      <c r="AJ115" s="10">
        <v>0.52730483401277695</v>
      </c>
      <c r="AK115" s="10">
        <v>0.54410000000003589</v>
      </c>
      <c r="AL115" s="10">
        <v>0.75857110075716994</v>
      </c>
      <c r="AM115" s="10">
        <v>0.71743878858386867</v>
      </c>
      <c r="AN115" s="10">
        <v>0.92595235876530035</v>
      </c>
      <c r="AO115" s="10">
        <v>0.98571779848572416</v>
      </c>
      <c r="AP115" s="10">
        <v>0.93241691322077513</v>
      </c>
      <c r="AQ115" s="10">
        <v>0.91042475247529364</v>
      </c>
      <c r="AR115" s="10">
        <v>0.53712842166569341</v>
      </c>
      <c r="AS115" s="10">
        <v>0.560578276062906</v>
      </c>
      <c r="AT115" s="10">
        <v>0.78791510774625206</v>
      </c>
      <c r="AU115" s="10">
        <v>0.82771648223632066</v>
      </c>
      <c r="AV115" s="10">
        <v>0.7373394758295807</v>
      </c>
      <c r="AX115" s="10">
        <v>0.81393101921956945</v>
      </c>
      <c r="AY115" s="10">
        <v>0.54726895748394644</v>
      </c>
      <c r="AZ115" s="10">
        <v>0.56470000000003739</v>
      </c>
      <c r="BA115" s="10">
        <v>0.78729112405361878</v>
      </c>
      <c r="BB115" s="10">
        <v>0.7446015142681689</v>
      </c>
      <c r="BC115" s="10">
        <v>0.96100955154340251</v>
      </c>
      <c r="BD115" s="10">
        <v>1.0230377518928297</v>
      </c>
      <c r="BE115" s="10">
        <v>0.96771885847412575</v>
      </c>
      <c r="BF115" s="10">
        <v>0.55746447291787748</v>
      </c>
      <c r="BG115" s="10">
        <v>0.58180215492138043</v>
      </c>
      <c r="BH115" s="10">
        <v>0.81774611531760455</v>
      </c>
      <c r="BI115" s="10">
        <v>0.9448940594059887</v>
      </c>
      <c r="BJ115" s="10">
        <v>0.859054397204283</v>
      </c>
      <c r="BK115" s="10">
        <v>0.76525565521221151</v>
      </c>
    </row>
    <row r="116" spans="1:63" x14ac:dyDescent="0.25">
      <c r="A116" s="8">
        <v>46241</v>
      </c>
      <c r="B116" s="10">
        <v>1.2809999999999493</v>
      </c>
      <c r="C116" s="10">
        <v>1.0264999999999858</v>
      </c>
      <c r="D116" s="10">
        <v>1.2027000000000181</v>
      </c>
      <c r="E116" s="10"/>
      <c r="F116">
        <v>144.19900000000206</v>
      </c>
      <c r="H116" s="10">
        <v>1.3089000000000388</v>
      </c>
      <c r="I116">
        <v>123.19999999999898</v>
      </c>
      <c r="J116" s="10">
        <v>1.2559999999999547</v>
      </c>
      <c r="L116" s="10">
        <v>1.1804999999999233</v>
      </c>
      <c r="O116">
        <v>118.74999999999885</v>
      </c>
      <c r="P116">
        <v>104.54999999999815</v>
      </c>
      <c r="R116" s="10">
        <v>1.2187500000000131</v>
      </c>
      <c r="S116" s="10">
        <v>2.9559999999999484</v>
      </c>
      <c r="U116" s="10">
        <v>2.1825000000000001</v>
      </c>
      <c r="V116" s="10">
        <v>1.1994999999999145</v>
      </c>
      <c r="W116" s="10">
        <v>1.1804999999999233</v>
      </c>
      <c r="X116" s="10">
        <v>3.8849999999997524</v>
      </c>
      <c r="Y116" s="10">
        <v>1.0444999999938502</v>
      </c>
      <c r="Z116" s="10">
        <v>0.94399999999999584</v>
      </c>
      <c r="AA116" s="10">
        <v>2.7124999999999249</v>
      </c>
      <c r="AB116" s="10">
        <v>0.98449999999997861</v>
      </c>
      <c r="AC116" s="10">
        <v>3.4599999999998197</v>
      </c>
      <c r="AD116" s="10">
        <v>0.93850000000001743</v>
      </c>
      <c r="AE116" s="10">
        <v>0.84120000000004791</v>
      </c>
      <c r="AF116" s="10">
        <v>0.89809999999994661</v>
      </c>
      <c r="AI116" s="10">
        <v>0.77991033882557925</v>
      </c>
      <c r="AJ116" s="10">
        <v>0.52692536273937796</v>
      </c>
      <c r="AK116" s="10">
        <v>0.54410000000003422</v>
      </c>
      <c r="AL116" s="10">
        <v>0.75560324901385156</v>
      </c>
      <c r="AM116" s="10">
        <v>0.70616831051047924</v>
      </c>
      <c r="AN116" s="10">
        <v>0.92808888373159337</v>
      </c>
      <c r="AO116" s="10">
        <v>0.98554200510561818</v>
      </c>
      <c r="AP116" s="10">
        <v>0.92947786029243273</v>
      </c>
      <c r="AQ116" s="10">
        <v>0.90851694128575355</v>
      </c>
      <c r="AR116" s="10">
        <v>0.53987736506091932</v>
      </c>
      <c r="AS116" s="10">
        <v>0.56001009514968669</v>
      </c>
      <c r="AT116" s="10">
        <v>0.7823094801580267</v>
      </c>
      <c r="AU116" s="10">
        <v>0.82207110698543928</v>
      </c>
      <c r="AV116" s="10">
        <v>0.73300081225315228</v>
      </c>
      <c r="AX116" s="10">
        <v>0.81015497795298197</v>
      </c>
      <c r="AY116" s="10">
        <v>0.546770980847328</v>
      </c>
      <c r="AZ116" s="10">
        <v>0.56520000000003578</v>
      </c>
      <c r="BA116" s="10">
        <v>0.78490526804379523</v>
      </c>
      <c r="BB116" s="10">
        <v>0.73355326061481885</v>
      </c>
      <c r="BC116" s="10">
        <v>0.96407983290773147</v>
      </c>
      <c r="BD116" s="10">
        <v>1.0237609654212378</v>
      </c>
      <c r="BE116" s="10">
        <v>0.96552267347414655</v>
      </c>
      <c r="BF116" s="10">
        <v>0.56021079512476069</v>
      </c>
      <c r="BG116" s="10">
        <v>0.58172708284984931</v>
      </c>
      <c r="BH116" s="10">
        <v>0.81264715711324531</v>
      </c>
      <c r="BI116" s="10">
        <v>0.94374889765614411</v>
      </c>
      <c r="BJ116" s="10">
        <v>0.85348591320498202</v>
      </c>
      <c r="BK116" s="10">
        <v>0.76142631701062624</v>
      </c>
    </row>
    <row r="117" spans="1:63" x14ac:dyDescent="0.25">
      <c r="A117" s="8">
        <v>46244</v>
      </c>
      <c r="B117" s="10">
        <v>1.2830999999999699</v>
      </c>
      <c r="C117" s="10">
        <v>1.0272500000000095</v>
      </c>
      <c r="D117" s="10">
        <v>1.2029999999999919</v>
      </c>
      <c r="E117" s="10"/>
      <c r="F117">
        <v>144.39999999999887</v>
      </c>
      <c r="H117" s="10">
        <v>1.3120000000000263</v>
      </c>
      <c r="I117">
        <v>123.44999999999322</v>
      </c>
      <c r="J117" s="10">
        <v>1.2570000000000301</v>
      </c>
      <c r="L117" s="10">
        <v>1.1809999999998999</v>
      </c>
      <c r="O117">
        <v>118.84999999999852</v>
      </c>
      <c r="P117">
        <v>104.74999999999784</v>
      </c>
      <c r="R117" s="10">
        <v>1.220499999999981</v>
      </c>
      <c r="S117" s="10">
        <v>2.9634999999999865</v>
      </c>
      <c r="U117" s="10">
        <v>2.1879999999999185</v>
      </c>
      <c r="V117" s="10">
        <v>1.2089999999999939</v>
      </c>
      <c r="W117" s="10">
        <v>1.1809999999998999</v>
      </c>
      <c r="X117" s="10">
        <v>3.8834999999997488</v>
      </c>
      <c r="Y117" s="10">
        <v>1.0479999999954683</v>
      </c>
      <c r="Z117" s="10">
        <v>0.94750000000002454</v>
      </c>
      <c r="AA117" s="10">
        <v>2.7249999999997407</v>
      </c>
      <c r="AB117" s="10">
        <v>0.98900000000006127</v>
      </c>
      <c r="AC117" s="10">
        <v>3.4784999999997002</v>
      </c>
      <c r="AD117" s="10">
        <v>0.94239999999995405</v>
      </c>
      <c r="AE117" s="10">
        <v>0.84990000000003352</v>
      </c>
      <c r="AF117" s="10">
        <v>0.9022000000000352</v>
      </c>
      <c r="AI117" s="10">
        <v>0.77261705101339917</v>
      </c>
      <c r="AJ117" s="10">
        <v>0.52219251336897821</v>
      </c>
      <c r="AK117" s="10">
        <v>0.54249999999994225</v>
      </c>
      <c r="AL117" s="10">
        <v>0.74544873285300606</v>
      </c>
      <c r="AM117" s="10">
        <v>0.69600441757282538</v>
      </c>
      <c r="AN117" s="10">
        <v>0.91812543594520124</v>
      </c>
      <c r="AO117" s="10">
        <v>0.98541763543358019</v>
      </c>
      <c r="AP117" s="10">
        <v>0.92764851197395248</v>
      </c>
      <c r="AQ117" s="10">
        <v>0.90437688909554825</v>
      </c>
      <c r="AR117" s="10">
        <v>0.53133718902582627</v>
      </c>
      <c r="AS117" s="10">
        <v>0.55561787956289088</v>
      </c>
      <c r="AT117" s="10">
        <v>0.77944169960489462</v>
      </c>
      <c r="AU117" s="10">
        <v>0.81646692289757605</v>
      </c>
      <c r="AV117" s="10">
        <v>0.72779004882509402</v>
      </c>
      <c r="AX117" s="10">
        <v>0.80266722571640869</v>
      </c>
      <c r="AY117" s="10">
        <v>0.54250267379678552</v>
      </c>
      <c r="AZ117" s="10">
        <v>0.56359999999994004</v>
      </c>
      <c r="BA117" s="10">
        <v>0.77444222273908625</v>
      </c>
      <c r="BB117" s="10">
        <v>0.72307481980469002</v>
      </c>
      <c r="BC117" s="10">
        <v>0.95383501511283952</v>
      </c>
      <c r="BD117" s="10">
        <v>1.023744478028324</v>
      </c>
      <c r="BE117" s="10">
        <v>0.96372848174842318</v>
      </c>
      <c r="BF117" s="10">
        <v>0.55200302255291367</v>
      </c>
      <c r="BG117" s="10">
        <v>0.57722808649151214</v>
      </c>
      <c r="BH117" s="10">
        <v>0.80975731225312186</v>
      </c>
      <c r="BI117" s="10">
        <v>0.93955173215530141</v>
      </c>
      <c r="BJ117" s="10">
        <v>0.84837309573707576</v>
      </c>
      <c r="BK117" s="10">
        <v>0.7560967216918395</v>
      </c>
    </row>
    <row r="118" spans="1:63" x14ac:dyDescent="0.25">
      <c r="A118" s="8">
        <v>46245</v>
      </c>
      <c r="B118" s="10">
        <v>1.2844999999999569</v>
      </c>
      <c r="C118" s="10">
        <v>1.0289899999996159</v>
      </c>
      <c r="D118" s="10">
        <v>1.2037499999999945</v>
      </c>
      <c r="E118" s="10"/>
      <c r="F118">
        <v>144.45099999999795</v>
      </c>
      <c r="H118" s="10">
        <v>1.3099999999999681</v>
      </c>
      <c r="I118">
        <v>123.24999999999895</v>
      </c>
      <c r="J118" s="10">
        <v>1.2529999999999064</v>
      </c>
      <c r="L118" s="10">
        <v>1.1849999999999605</v>
      </c>
      <c r="O118">
        <v>119.05000000000476</v>
      </c>
      <c r="P118">
        <v>104.79999999999995</v>
      </c>
      <c r="R118" s="10">
        <v>1.2209999999999785</v>
      </c>
      <c r="S118" s="10">
        <v>2.9640000000000226</v>
      </c>
      <c r="U118" s="10">
        <v>2.1874999999999964</v>
      </c>
      <c r="V118" s="10">
        <v>1.2054999999999807</v>
      </c>
      <c r="W118" s="10">
        <v>1.1849999999999605</v>
      </c>
      <c r="X118" s="10">
        <v>3.8839999999998138</v>
      </c>
      <c r="Y118" s="10">
        <v>1.0469999999944632</v>
      </c>
      <c r="Z118" s="10">
        <v>0.94849999999994594</v>
      </c>
      <c r="AA118" s="10">
        <v>2.7249999999999619</v>
      </c>
      <c r="AB118" s="10">
        <v>0.98850000000013438</v>
      </c>
      <c r="AC118" s="10">
        <v>3.4759999999998858</v>
      </c>
      <c r="AD118" s="10">
        <v>0.94199999999995387</v>
      </c>
      <c r="AE118" s="10">
        <v>0.84800000000003362</v>
      </c>
      <c r="AF118" s="10">
        <v>0.90119999999989375</v>
      </c>
      <c r="AI118" s="10">
        <v>0.77210439024391098</v>
      </c>
      <c r="AJ118" s="10">
        <v>0.52481139372819541</v>
      </c>
      <c r="AK118" s="10">
        <v>0.54330000000002343</v>
      </c>
      <c r="AL118" s="10">
        <v>0.74900185916782536</v>
      </c>
      <c r="AM118" s="10">
        <v>0.69783445992617743</v>
      </c>
      <c r="AN118" s="10">
        <v>0.91837261324023489</v>
      </c>
      <c r="AO118" s="10">
        <v>0.98620623693381515</v>
      </c>
      <c r="AP118" s="10">
        <v>0.92790087108009667</v>
      </c>
      <c r="AQ118" s="10">
        <v>0.905058292682973</v>
      </c>
      <c r="AR118" s="10">
        <v>0.5383121208599333</v>
      </c>
      <c r="AS118" s="10">
        <v>0.55844425087105487</v>
      </c>
      <c r="AT118" s="10">
        <v>0.78125404181175218</v>
      </c>
      <c r="AU118" s="10">
        <v>0.81545480836250062</v>
      </c>
      <c r="AV118" s="10">
        <v>0.73203522648052133</v>
      </c>
      <c r="AX118" s="10">
        <v>0.80194829268293577</v>
      </c>
      <c r="AY118" s="10">
        <v>0.545096759581853</v>
      </c>
      <c r="AZ118" s="10">
        <v>0.56430000000002434</v>
      </c>
      <c r="BA118" s="10">
        <v>0.7779421333951011</v>
      </c>
      <c r="BB118" s="10">
        <v>0.72480763065772491</v>
      </c>
      <c r="BC118" s="10">
        <v>0.95387017421583753</v>
      </c>
      <c r="BD118" s="10">
        <v>1.0243257491289379</v>
      </c>
      <c r="BE118" s="10">
        <v>0.96376672473863179</v>
      </c>
      <c r="BF118" s="10">
        <v>0.559218407902349</v>
      </c>
      <c r="BG118" s="10">
        <v>0.58002961672471243</v>
      </c>
      <c r="BH118" s="10">
        <v>0.81145160278735828</v>
      </c>
      <c r="BI118" s="10">
        <v>0.94004121951224318</v>
      </c>
      <c r="BJ118" s="10">
        <v>0.84697432055762778</v>
      </c>
      <c r="BK118" s="10">
        <v>0.76033034843172875</v>
      </c>
    </row>
    <row r="119" spans="1:63" x14ac:dyDescent="0.25">
      <c r="A119" s="8">
        <v>46246</v>
      </c>
      <c r="B119" s="10">
        <v>1.2852999999999761</v>
      </c>
      <c r="C119" s="10">
        <v>1.0319999999997649</v>
      </c>
      <c r="D119" s="10">
        <v>1.2055100000000101</v>
      </c>
      <c r="E119" s="10"/>
      <c r="F119">
        <v>144.55000000000055</v>
      </c>
      <c r="H119" s="10">
        <v>1.3114999999999635</v>
      </c>
      <c r="I119">
        <v>123.29999999999902</v>
      </c>
      <c r="J119" s="10">
        <v>1.252999999999947</v>
      </c>
      <c r="L119" s="10">
        <v>1.1849999999999625</v>
      </c>
      <c r="O119">
        <v>119.09999999999854</v>
      </c>
      <c r="P119">
        <v>105.2000000000002</v>
      </c>
      <c r="R119" s="10">
        <v>1.2225000000000017</v>
      </c>
      <c r="S119" s="10">
        <v>2.9785000000000057</v>
      </c>
      <c r="U119" s="10">
        <v>2.1914999999999658</v>
      </c>
      <c r="V119" s="10">
        <v>1.2059999999999635</v>
      </c>
      <c r="W119" s="10">
        <v>1.1849999999999625</v>
      </c>
      <c r="X119" s="10">
        <v>3.8849999999997475</v>
      </c>
      <c r="Y119" s="10">
        <v>1.0474999999944046</v>
      </c>
      <c r="Z119" s="10">
        <v>0.94760000000001721</v>
      </c>
      <c r="AA119" s="10">
        <v>2.7264999999998789</v>
      </c>
      <c r="AB119" s="10">
        <v>0.99099999999995148</v>
      </c>
      <c r="AC119" s="10">
        <v>3.4699999999997004</v>
      </c>
      <c r="AD119" s="10">
        <v>0.94229999999998615</v>
      </c>
      <c r="AE119" s="10">
        <v>0.84890000000009846</v>
      </c>
      <c r="AF119" s="10">
        <v>0.9014999999998784</v>
      </c>
      <c r="AI119" s="10">
        <v>0.77106087158074932</v>
      </c>
      <c r="AJ119" s="10">
        <v>0.52397606629574067</v>
      </c>
      <c r="AK119" s="10">
        <v>0.54370000000001895</v>
      </c>
      <c r="AL119" s="10">
        <v>0.74673678720443404</v>
      </c>
      <c r="AM119" s="10">
        <v>0.69582005099217814</v>
      </c>
      <c r="AN119" s="10">
        <v>0.91593410987485324</v>
      </c>
      <c r="AO119" s="10">
        <v>0.9855665275845239</v>
      </c>
      <c r="AP119" s="10">
        <v>0.92563853732036128</v>
      </c>
      <c r="AQ119" s="10">
        <v>0.90144048446922864</v>
      </c>
      <c r="AR119" s="10">
        <v>0.53784021323447373</v>
      </c>
      <c r="AS119" s="10">
        <v>0.55957997218359057</v>
      </c>
      <c r="AT119" s="10">
        <v>0.78026117292522623</v>
      </c>
      <c r="AU119" s="10">
        <v>0.8150774365510628</v>
      </c>
      <c r="AV119" s="10">
        <v>0.72783205841370846</v>
      </c>
      <c r="AX119" s="10">
        <v>0.80226068613799872</v>
      </c>
      <c r="AY119" s="10">
        <v>0.54517796708387078</v>
      </c>
      <c r="AZ119" s="10">
        <v>0.56570000000001974</v>
      </c>
      <c r="BA119" s="10">
        <v>0.77695236439497595</v>
      </c>
      <c r="BB119" s="10">
        <v>0.72397535929055579</v>
      </c>
      <c r="BC119" s="10">
        <v>0.95299600139084883</v>
      </c>
      <c r="BD119" s="10">
        <v>1.0254459898005615</v>
      </c>
      <c r="BE119" s="10">
        <v>0.96309310384794633</v>
      </c>
      <c r="BF119" s="10">
        <v>0.55950418356707443</v>
      </c>
      <c r="BG119" s="10">
        <v>0.58222253129346557</v>
      </c>
      <c r="BH119" s="10">
        <v>0.8118332637921658</v>
      </c>
      <c r="BI119" s="10">
        <v>0.93791591330557778</v>
      </c>
      <c r="BJ119" s="10">
        <v>0.84790840190046202</v>
      </c>
      <c r="BK119" s="10">
        <v>0.75728268428294077</v>
      </c>
    </row>
    <row r="120" spans="1:63" x14ac:dyDescent="0.25">
      <c r="A120" s="8">
        <v>46247</v>
      </c>
      <c r="B120" s="10">
        <v>1.2874899999999811</v>
      </c>
      <c r="C120" s="10">
        <v>1.0308799999997236</v>
      </c>
      <c r="D120" s="10">
        <v>1.2072999999999883</v>
      </c>
      <c r="E120" s="10"/>
      <c r="F120">
        <v>144.64999999999978</v>
      </c>
      <c r="H120" s="10">
        <v>1.3113000000000332</v>
      </c>
      <c r="I120">
        <v>123.60000000000073</v>
      </c>
      <c r="J120" s="10">
        <v>1.2585000000000228</v>
      </c>
      <c r="L120" s="10">
        <v>1.1879999999999267</v>
      </c>
      <c r="O120">
        <v>119.15000000000187</v>
      </c>
      <c r="P120">
        <v>104.99999999999901</v>
      </c>
      <c r="R120" s="10">
        <v>1.2244000000000141</v>
      </c>
      <c r="S120" s="10">
        <v>2.974000000000026</v>
      </c>
      <c r="U120" s="10">
        <v>2.1944999999999903</v>
      </c>
      <c r="V120" s="10">
        <v>1.2110000000000176</v>
      </c>
      <c r="W120" s="10">
        <v>1.1879999999999267</v>
      </c>
      <c r="X120" s="10">
        <v>3.8779999999994397</v>
      </c>
      <c r="Y120" s="10">
        <v>1.0514999999961585</v>
      </c>
      <c r="Z120" s="10">
        <v>0.95249999999076596</v>
      </c>
      <c r="AA120" s="10">
        <v>2.7274999999998926</v>
      </c>
      <c r="AB120" s="10">
        <v>0.9870000000000192</v>
      </c>
      <c r="AC120" s="10">
        <v>3.4675000000000171</v>
      </c>
      <c r="AD120" s="10">
        <v>0.9413000000000038</v>
      </c>
      <c r="AE120" s="10">
        <v>0.84599999999995557</v>
      </c>
      <c r="AF120" s="10">
        <v>0.89830000000003907</v>
      </c>
      <c r="AI120" s="10">
        <v>0.76886906006731703</v>
      </c>
      <c r="AJ120" s="10">
        <v>0.52367206924591581</v>
      </c>
      <c r="AK120" s="10">
        <v>0.54350000000004028</v>
      </c>
      <c r="AL120" s="10">
        <v>0.74405257348658882</v>
      </c>
      <c r="AM120" s="10">
        <v>0.69397757638596491</v>
      </c>
      <c r="AN120" s="10">
        <v>0.91214796096212314</v>
      </c>
      <c r="AO120" s="10">
        <v>0.98476617869172145</v>
      </c>
      <c r="AP120" s="10">
        <v>0.92761879865217889</v>
      </c>
      <c r="AQ120" s="10">
        <v>0.89964499825720201</v>
      </c>
      <c r="AR120" s="10">
        <v>0.54053212501454628</v>
      </c>
      <c r="AS120" s="10">
        <v>0.55518206111306223</v>
      </c>
      <c r="AT120" s="10">
        <v>0.77846729406304571</v>
      </c>
      <c r="AU120" s="10">
        <v>0.81584988962491556</v>
      </c>
      <c r="AV120" s="10">
        <v>0.72605588474393157</v>
      </c>
      <c r="AX120" s="10">
        <v>0.80055749970946577</v>
      </c>
      <c r="AY120" s="10">
        <v>0.54525487393976757</v>
      </c>
      <c r="AZ120" s="10">
        <v>0.56590000000004193</v>
      </c>
      <c r="BA120" s="10">
        <v>0.77471821772964222</v>
      </c>
      <c r="BB120" s="10">
        <v>0.72257941210086019</v>
      </c>
      <c r="BC120" s="10">
        <v>0.94974154757767337</v>
      </c>
      <c r="BD120" s="10">
        <v>1.0253526780527049</v>
      </c>
      <c r="BE120" s="10">
        <v>0.96585000580914082</v>
      </c>
      <c r="BF120" s="10">
        <v>0.56280980597190733</v>
      </c>
      <c r="BG120" s="10">
        <v>0.57806352968515518</v>
      </c>
      <c r="BH120" s="10">
        <v>0.81055131869416297</v>
      </c>
      <c r="BI120" s="10">
        <v>0.93672328337396626</v>
      </c>
      <c r="BJ120" s="10">
        <v>0.84947461368673349</v>
      </c>
      <c r="BK120" s="10">
        <v>0.7559798071326419</v>
      </c>
    </row>
    <row r="121" spans="1:63" x14ac:dyDescent="0.25">
      <c r="A121" s="8">
        <v>46248</v>
      </c>
      <c r="B121" s="10">
        <v>1.2891999999999881</v>
      </c>
      <c r="C121" s="10">
        <v>1.0321999999998004</v>
      </c>
      <c r="D121" s="10">
        <v>1.2104500000000098</v>
      </c>
      <c r="E121" s="10"/>
      <c r="F121">
        <v>145.30000000000427</v>
      </c>
      <c r="H121" s="10">
        <v>1.3145100000000083</v>
      </c>
      <c r="I121">
        <v>123.87999999999832</v>
      </c>
      <c r="J121" s="10">
        <v>1.2583999999999431</v>
      </c>
      <c r="K121" s="10">
        <v>0.98250000000002002</v>
      </c>
      <c r="L121" s="10">
        <v>1.1879999999999393</v>
      </c>
      <c r="O121">
        <v>119.25000000000017</v>
      </c>
      <c r="P121">
        <v>105.19999999999993</v>
      </c>
      <c r="R121" s="10">
        <v>1.2269999999999932</v>
      </c>
      <c r="S121" s="10">
        <v>2.9795000000000527</v>
      </c>
      <c r="T121" s="10">
        <v>0.98250000000002002</v>
      </c>
      <c r="U121" s="10">
        <v>2.1950000000000105</v>
      </c>
      <c r="V121" s="10">
        <v>1.2075000000000005</v>
      </c>
      <c r="W121" s="10">
        <v>1.1879999999999393</v>
      </c>
      <c r="X121" s="10">
        <v>3.8889999999998377</v>
      </c>
      <c r="Y121" s="10">
        <v>1.0519999999955141</v>
      </c>
      <c r="Z121" s="10">
        <v>0.95000000000001772</v>
      </c>
      <c r="AA121" s="10">
        <v>2.7314999999999823</v>
      </c>
      <c r="AB121" s="10">
        <v>0.98889999999991085</v>
      </c>
      <c r="AC121" s="10">
        <v>3.47099999999987</v>
      </c>
      <c r="AD121" s="10">
        <v>0.94200000000003781</v>
      </c>
      <c r="AE121" s="10">
        <v>0.85000000000001608</v>
      </c>
      <c r="AF121" s="10">
        <v>0.89999999999997626</v>
      </c>
      <c r="AI121" s="10">
        <v>0.76979177570080226</v>
      </c>
      <c r="AJ121" s="10">
        <v>0.52443018691590115</v>
      </c>
      <c r="AK121" s="10">
        <v>0.54439999999996813</v>
      </c>
      <c r="AL121" s="10">
        <v>0.74155420560753815</v>
      </c>
      <c r="AM121" s="10">
        <v>0.68997612148808396</v>
      </c>
      <c r="AN121" s="10">
        <v>0.90633696261678354</v>
      </c>
      <c r="AO121" s="10">
        <v>0.98825135514023987</v>
      </c>
      <c r="AP121" s="10">
        <v>0.92306327102813757</v>
      </c>
      <c r="AQ121" s="10">
        <v>0.89946836448592282</v>
      </c>
      <c r="AR121" s="10">
        <v>0.53853840765820871</v>
      </c>
      <c r="AS121" s="10">
        <v>0.55584766355142967</v>
      </c>
      <c r="AT121" s="10">
        <v>0.77812313084129403</v>
      </c>
      <c r="AU121" s="10">
        <v>0.81405607476636166</v>
      </c>
      <c r="AV121" s="10">
        <v>0.7285165887841647</v>
      </c>
      <c r="AX121" s="10">
        <v>0.79906196261668494</v>
      </c>
      <c r="AY121" s="10">
        <v>0.54437086448599503</v>
      </c>
      <c r="AZ121" s="10">
        <v>0.56509999999996685</v>
      </c>
      <c r="BA121" s="10">
        <v>0.76975070093464326</v>
      </c>
      <c r="BB121" s="10">
        <v>0.7162114369083693</v>
      </c>
      <c r="BC121" s="10">
        <v>0.94079907710276334</v>
      </c>
      <c r="BD121" s="10">
        <v>1.0258281425234193</v>
      </c>
      <c r="BE121" s="10">
        <v>0.95816137850477678</v>
      </c>
      <c r="BF121" s="10">
        <v>0.55912958206866969</v>
      </c>
      <c r="BG121" s="10">
        <v>0.5769829439252625</v>
      </c>
      <c r="BH121" s="10">
        <v>0.8077101051403659</v>
      </c>
      <c r="BI121" s="10">
        <v>0.93366931074760273</v>
      </c>
      <c r="BJ121" s="10">
        <v>0.84500934579439924</v>
      </c>
      <c r="BK121" s="10">
        <v>0.75621734812992547</v>
      </c>
    </row>
    <row r="122" spans="1:63" x14ac:dyDescent="0.25">
      <c r="A122" s="8">
        <v>46252</v>
      </c>
      <c r="B122" s="10">
        <v>1.2850999999999797</v>
      </c>
      <c r="C122" s="10">
        <v>1.029649999999708</v>
      </c>
      <c r="D122" s="10">
        <v>1.2035999999999898</v>
      </c>
      <c r="E122" s="10"/>
      <c r="F122">
        <v>144.65000000000356</v>
      </c>
      <c r="H122" s="10">
        <v>1.3024999999999687</v>
      </c>
      <c r="I122">
        <v>122.50999999999712</v>
      </c>
      <c r="J122" s="10">
        <v>1.2544999999999822</v>
      </c>
      <c r="K122" s="10">
        <v>0.97850000000000381</v>
      </c>
      <c r="L122" s="10">
        <v>1.1754999999996658</v>
      </c>
      <c r="O122">
        <v>118.04999999999799</v>
      </c>
      <c r="P122">
        <v>105.00000000000014</v>
      </c>
      <c r="R122" s="10">
        <v>1.2239999999999871</v>
      </c>
      <c r="S122" s="10">
        <v>2.9704999999999928</v>
      </c>
      <c r="T122" s="10">
        <v>0.97850000000000381</v>
      </c>
      <c r="U122" s="10">
        <v>2.1790000000000034</v>
      </c>
      <c r="V122" s="10">
        <v>1.2069999999999776</v>
      </c>
      <c r="W122" s="10">
        <v>1.1754999999996658</v>
      </c>
      <c r="X122" s="10">
        <v>3.8499999999975199</v>
      </c>
      <c r="Y122" s="10">
        <v>1.0450000000000268</v>
      </c>
      <c r="Z122" s="10">
        <v>0.95949999999458446</v>
      </c>
      <c r="AA122" s="10">
        <v>2.726500000000101</v>
      </c>
      <c r="AB122" s="10">
        <v>0.98779999999990675</v>
      </c>
      <c r="AC122" s="10">
        <v>3.4400000000000457</v>
      </c>
      <c r="AD122" s="10">
        <v>0.93100000000008654</v>
      </c>
      <c r="AE122" s="10">
        <v>0.8499999999999317</v>
      </c>
      <c r="AF122" s="10">
        <v>0.89799999999990265</v>
      </c>
      <c r="AI122" s="10">
        <v>0.75084349881782686</v>
      </c>
      <c r="AJ122" s="10">
        <v>0.51718297872338015</v>
      </c>
      <c r="AK122" s="10">
        <v>0.5359999999999594</v>
      </c>
      <c r="AL122" s="10">
        <v>0.72347328605191363</v>
      </c>
      <c r="AM122" s="10">
        <v>0.67728605199385017</v>
      </c>
      <c r="AN122" s="10">
        <v>0.89770496453904836</v>
      </c>
      <c r="AO122" s="10">
        <v>0.98266666666660829</v>
      </c>
      <c r="AP122" s="10">
        <v>0.90758865248217835</v>
      </c>
      <c r="AQ122" s="10">
        <v>0.88129550827425651</v>
      </c>
      <c r="AR122" s="10">
        <v>0.53130436841486472</v>
      </c>
      <c r="AS122" s="10">
        <v>0.55278959810867934</v>
      </c>
      <c r="AT122" s="10">
        <v>0.76313475177319834</v>
      </c>
      <c r="AU122" s="10">
        <v>0.79766430260054122</v>
      </c>
      <c r="AV122" s="10">
        <v>0.71219574467879154</v>
      </c>
      <c r="AX122" s="10">
        <v>0.78082120567361313</v>
      </c>
      <c r="AY122" s="10">
        <v>0.53783170212763443</v>
      </c>
      <c r="AZ122" s="10">
        <v>0.55739999999995771</v>
      </c>
      <c r="BA122" s="10">
        <v>0.75235822695025489</v>
      </c>
      <c r="BB122" s="10">
        <v>0.70432695033838078</v>
      </c>
      <c r="BC122" s="10">
        <v>0.93354617021280906</v>
      </c>
      <c r="BD122" s="10">
        <v>1.021899999999939</v>
      </c>
      <c r="BE122" s="10">
        <v>0.94382446808501141</v>
      </c>
      <c r="BF122" s="10">
        <v>0.55271514147038903</v>
      </c>
      <c r="BG122" s="10">
        <v>0.57485992907794381</v>
      </c>
      <c r="BH122" s="10">
        <v>0.7936031914895163</v>
      </c>
      <c r="BI122" s="10">
        <v>0.91648156028371364</v>
      </c>
      <c r="BJ122" s="10">
        <v>0.82951134751780164</v>
      </c>
      <c r="BK122" s="10">
        <v>0.7406304255297731</v>
      </c>
    </row>
    <row r="123" spans="1:63" x14ac:dyDescent="0.25">
      <c r="A123" s="8">
        <v>46253</v>
      </c>
      <c r="B123" s="10">
        <v>1.284999999999958</v>
      </c>
      <c r="C123" s="10">
        <v>1.028649999999673</v>
      </c>
      <c r="D123" s="10">
        <v>1.2025000000000057</v>
      </c>
      <c r="E123" s="10"/>
      <c r="F123">
        <v>144.2000000000032</v>
      </c>
      <c r="H123" s="10">
        <v>1.2967000000000104</v>
      </c>
      <c r="I123">
        <v>122.49999999999768</v>
      </c>
      <c r="J123" s="10">
        <v>1.2520000000000104</v>
      </c>
      <c r="K123" s="10">
        <v>0.97399999999999043</v>
      </c>
      <c r="L123" s="10">
        <v>1.1799999999998325</v>
      </c>
      <c r="O123">
        <v>118.64999999999756</v>
      </c>
      <c r="P123">
        <v>104.8999999999951</v>
      </c>
      <c r="R123" s="10">
        <v>1.2200000000000066</v>
      </c>
      <c r="S123" s="10">
        <v>2.9570000000000558</v>
      </c>
      <c r="T123" s="10">
        <v>0.97399999999999043</v>
      </c>
      <c r="U123" s="10">
        <v>2.1724999999998533</v>
      </c>
      <c r="V123" s="10">
        <v>1.1999999999999487</v>
      </c>
      <c r="W123" s="10">
        <v>1.1799999999998325</v>
      </c>
      <c r="X123" s="10">
        <v>3.8404999999960361</v>
      </c>
      <c r="Y123" s="10">
        <v>1.035999999999955</v>
      </c>
      <c r="Z123" s="10">
        <v>0.94199999999997797</v>
      </c>
      <c r="AA123" s="10">
        <v>2.7000000000001929</v>
      </c>
      <c r="AB123" s="10">
        <v>0.98489999999998989</v>
      </c>
      <c r="AC123" s="10">
        <v>3.4274999999996192</v>
      </c>
      <c r="AD123" s="10">
        <v>0.9259999999999069</v>
      </c>
      <c r="AE123" s="10">
        <v>0.83800000000007391</v>
      </c>
      <c r="AF123" s="10">
        <v>0.89089999999995284</v>
      </c>
      <c r="AI123" s="10">
        <v>0.75223568464704071</v>
      </c>
      <c r="AJ123" s="10">
        <v>0.51497751037345973</v>
      </c>
      <c r="AK123" s="10">
        <v>0.53410000000001512</v>
      </c>
      <c r="AL123" s="10">
        <v>0.71962614107879541</v>
      </c>
      <c r="AM123" s="10">
        <v>0.67200987549721547</v>
      </c>
      <c r="AN123" s="10">
        <v>0.89400804979238524</v>
      </c>
      <c r="AO123" s="10">
        <v>0.98322522821570302</v>
      </c>
      <c r="AP123" s="10">
        <v>0.90863485477174366</v>
      </c>
      <c r="AQ123" s="10">
        <v>0.88014107883806059</v>
      </c>
      <c r="AR123" s="10">
        <v>0.5374722097022594</v>
      </c>
      <c r="AS123" s="10">
        <v>0.55214605809121731</v>
      </c>
      <c r="AT123" s="10">
        <v>0.76489958506244748</v>
      </c>
      <c r="AU123" s="10">
        <v>0.79978863070543982</v>
      </c>
      <c r="AV123" s="10">
        <v>0.7129775933591691</v>
      </c>
      <c r="AX123" s="10">
        <v>0.7804040308236756</v>
      </c>
      <c r="AY123" s="10">
        <v>0.53426144635449158</v>
      </c>
      <c r="AZ123" s="10">
        <v>0.55410000000001558</v>
      </c>
      <c r="BA123" s="10">
        <v>0.74657338470653523</v>
      </c>
      <c r="BB123" s="10">
        <v>0.69717407229546335</v>
      </c>
      <c r="BC123" s="10">
        <v>0.92748522821561608</v>
      </c>
      <c r="BD123" s="10">
        <v>1.0200432483698201</v>
      </c>
      <c r="BE123" s="10">
        <v>0.94265975103730204</v>
      </c>
      <c r="BF123" s="10">
        <v>0.55740842130230572</v>
      </c>
      <c r="BG123" s="10">
        <v>0.57282181387070474</v>
      </c>
      <c r="BH123" s="10">
        <v>0.79354214582119842</v>
      </c>
      <c r="BI123" s="10">
        <v>0.91309899229389491</v>
      </c>
      <c r="BJ123" s="10">
        <v>0.82973765263786559</v>
      </c>
      <c r="BK123" s="10">
        <v>0.73967587433124038</v>
      </c>
    </row>
    <row r="124" spans="1:63" x14ac:dyDescent="0.25">
      <c r="A124" s="8">
        <v>46254</v>
      </c>
      <c r="B124" s="10">
        <v>1.2881399999999985</v>
      </c>
      <c r="C124" s="10">
        <v>1.0333999999998253</v>
      </c>
      <c r="D124" s="10">
        <v>1.2097999999999922</v>
      </c>
      <c r="E124" s="10"/>
      <c r="F124">
        <v>145.10000000000193</v>
      </c>
      <c r="H124" s="10">
        <v>1.3154000000000408</v>
      </c>
      <c r="I124">
        <v>124.09999999999457</v>
      </c>
      <c r="J124" s="10">
        <v>1.2580000000000051</v>
      </c>
      <c r="K124" s="10">
        <v>0.98149999999999382</v>
      </c>
      <c r="L124" s="10">
        <v>1.1839999999999185</v>
      </c>
      <c r="O124">
        <v>119.44999999999813</v>
      </c>
      <c r="P124">
        <v>105.19999999999841</v>
      </c>
      <c r="R124" s="10">
        <v>1.2234999999999907</v>
      </c>
      <c r="S124" s="10">
        <v>2.9690000000000509</v>
      </c>
      <c r="T124" s="10">
        <v>0.98149999999999382</v>
      </c>
      <c r="U124" s="10">
        <v>2.1834999999999933</v>
      </c>
      <c r="V124" s="10">
        <v>1.2049999999999526</v>
      </c>
      <c r="W124" s="10">
        <v>1.1839999999999185</v>
      </c>
      <c r="X124" s="10">
        <v>3.8509999999971267</v>
      </c>
      <c r="Y124" s="10">
        <v>1.0435000000000303</v>
      </c>
      <c r="Z124" s="10">
        <v>0.95200000000000817</v>
      </c>
      <c r="AA124" s="10">
        <v>2.7099999999999307</v>
      </c>
      <c r="AB124" s="10">
        <v>0.9840000000000364</v>
      </c>
      <c r="AC124" s="10">
        <v>3.4420000000003093</v>
      </c>
      <c r="AD124" s="10">
        <v>0.93499999999995753</v>
      </c>
      <c r="AE124" s="10">
        <v>0.8374999999999363</v>
      </c>
      <c r="AF124" s="10">
        <v>0.88989999999992464</v>
      </c>
      <c r="AI124" s="10">
        <v>0.74418753567986318</v>
      </c>
      <c r="AJ124" s="10">
        <v>0.51185366317792402</v>
      </c>
      <c r="AK124" s="10">
        <v>0.53040000000004006</v>
      </c>
      <c r="AL124" s="10">
        <v>0.7122045670790933</v>
      </c>
      <c r="AM124" s="10">
        <v>0.66268458607120206</v>
      </c>
      <c r="AN124" s="10">
        <v>0.88505137963832947</v>
      </c>
      <c r="AO124" s="10">
        <v>0.97904471931487469</v>
      </c>
      <c r="AP124" s="10">
        <v>0.90208372978106066</v>
      </c>
      <c r="AQ124" s="10">
        <v>0.87319181731693873</v>
      </c>
      <c r="AR124" s="10">
        <v>0.53625423406283668</v>
      </c>
      <c r="AS124" s="10">
        <v>0.54970333016173678</v>
      </c>
      <c r="AT124" s="10">
        <v>0.7564255946719608</v>
      </c>
      <c r="AU124" s="10">
        <v>0.79553691722155973</v>
      </c>
      <c r="AV124" s="10">
        <v>0.70406688867400102</v>
      </c>
      <c r="AX124" s="10">
        <v>0.77379228116034038</v>
      </c>
      <c r="AY124" s="10">
        <v>0.53221586584205349</v>
      </c>
      <c r="AZ124" s="10">
        <v>0.55150000000004173</v>
      </c>
      <c r="BA124" s="10">
        <v>0.74053698858242845</v>
      </c>
      <c r="BB124" s="10">
        <v>0.68904703849598037</v>
      </c>
      <c r="BC124" s="10">
        <v>0.92025987155078948</v>
      </c>
      <c r="BD124" s="10">
        <v>1.0179923882016466</v>
      </c>
      <c r="BE124" s="10">
        <v>0.93796979067544317</v>
      </c>
      <c r="BF124" s="10">
        <v>0.55654548049480779</v>
      </c>
      <c r="BG124" s="10">
        <v>0.57157124167458118</v>
      </c>
      <c r="BH124" s="10">
        <v>0.78651718601354903</v>
      </c>
      <c r="BI124" s="10">
        <v>0.9079285204568095</v>
      </c>
      <c r="BJ124" s="10">
        <v>0.82718440770680657</v>
      </c>
      <c r="BK124" s="10">
        <v>0.73207558277472029</v>
      </c>
    </row>
    <row r="125" spans="1:63" x14ac:dyDescent="0.25">
      <c r="A125" s="8">
        <v>46255</v>
      </c>
      <c r="B125" s="10">
        <v>1.2930599999999937</v>
      </c>
      <c r="C125" s="10">
        <v>1.0355999999999101</v>
      </c>
      <c r="D125" s="10">
        <v>1.21434999999999</v>
      </c>
      <c r="E125" s="10"/>
      <c r="F125">
        <v>145.70000000000258</v>
      </c>
      <c r="H125" s="10">
        <v>1.3193999999999864</v>
      </c>
      <c r="I125">
        <v>124.34999999999815</v>
      </c>
      <c r="J125" s="10">
        <v>1.2599999999999409</v>
      </c>
      <c r="K125" s="10">
        <v>0.98299999999999865</v>
      </c>
      <c r="L125" s="10">
        <v>1.1900000000000273</v>
      </c>
      <c r="O125">
        <v>120.0000000000025</v>
      </c>
      <c r="P125">
        <v>105.44999999999209</v>
      </c>
      <c r="R125" s="10">
        <v>1.2264999999999853</v>
      </c>
      <c r="S125" s="10">
        <v>2.9790000000000014</v>
      </c>
      <c r="T125" s="10">
        <v>0.98299999999999865</v>
      </c>
      <c r="U125" s="10">
        <v>2.1910000000000109</v>
      </c>
      <c r="V125" s="10">
        <v>1.2094999999999694</v>
      </c>
      <c r="W125" s="10">
        <v>1.1900000000000273</v>
      </c>
      <c r="X125" s="10">
        <v>3.8624999999979792</v>
      </c>
      <c r="Y125" s="10">
        <v>1.0494999999923462</v>
      </c>
      <c r="Z125" s="10">
        <v>0.95100000000003204</v>
      </c>
      <c r="AA125" s="10">
        <v>2.7225000000000215</v>
      </c>
      <c r="AB125" s="10">
        <v>0.96460000000008816</v>
      </c>
      <c r="AC125" s="10">
        <v>3.4589999999999104</v>
      </c>
      <c r="AD125" s="10">
        <v>0.93860000000002886</v>
      </c>
      <c r="AE125" s="10">
        <v>0.83849999999998914</v>
      </c>
      <c r="AF125" s="10">
        <v>0.89250000000000151</v>
      </c>
      <c r="AI125" s="10">
        <v>0.75251716788990963</v>
      </c>
      <c r="AJ125" s="10">
        <v>0.51368458441866471</v>
      </c>
      <c r="AK125" s="10">
        <v>0.5300000000000098</v>
      </c>
      <c r="AL125" s="10">
        <v>0.72352592943422822</v>
      </c>
      <c r="AM125" s="10">
        <v>0.67150485434404805</v>
      </c>
      <c r="AN125" s="10">
        <v>0.89128522377461905</v>
      </c>
      <c r="AO125" s="10">
        <v>0.98080748283208496</v>
      </c>
      <c r="AP125" s="10">
        <v>0.91052569263560845</v>
      </c>
      <c r="AQ125" s="10">
        <v>0.87350224958553813</v>
      </c>
      <c r="AR125" s="10">
        <v>0.53796945299549281</v>
      </c>
      <c r="AS125" s="10">
        <v>0.55284158181383258</v>
      </c>
      <c r="AT125" s="10">
        <v>0.76651077433092796</v>
      </c>
      <c r="AU125" s="10">
        <v>0.80378522377436668</v>
      </c>
      <c r="AV125" s="10">
        <v>0.71541498934211478</v>
      </c>
      <c r="AX125" s="10">
        <v>0.78119801089250629</v>
      </c>
      <c r="AY125" s="10">
        <v>0.53326275159839509</v>
      </c>
      <c r="AZ125" s="10">
        <v>0.55020000000001024</v>
      </c>
      <c r="BA125" s="10">
        <v>0.75110182334851383</v>
      </c>
      <c r="BB125" s="10">
        <v>0.69709805822659476</v>
      </c>
      <c r="BC125" s="10">
        <v>0.92455091167421855</v>
      </c>
      <c r="BD125" s="10">
        <v>1.0181892019890817</v>
      </c>
      <c r="BE125" s="10">
        <v>0.94522874733605988</v>
      </c>
      <c r="BF125" s="10">
        <v>0.55847319441154741</v>
      </c>
      <c r="BG125" s="10">
        <v>0.57391214776220889</v>
      </c>
      <c r="BH125" s="10">
        <v>0.79572495856014447</v>
      </c>
      <c r="BI125" s="10">
        <v>0.90679422211691163</v>
      </c>
      <c r="BJ125" s="10">
        <v>0.8344200568314275</v>
      </c>
      <c r="BK125" s="10">
        <v>0.74211662325158489</v>
      </c>
    </row>
    <row r="126" spans="1:63" x14ac:dyDescent="0.25">
      <c r="A126" s="8">
        <v>46258</v>
      </c>
      <c r="B126" s="10">
        <v>1.2939999999999867</v>
      </c>
      <c r="C126" s="10">
        <v>1.0371699999999426</v>
      </c>
      <c r="D126" s="10">
        <v>1.2152000000000056</v>
      </c>
      <c r="E126" s="10"/>
      <c r="F126">
        <v>146.07999999999939</v>
      </c>
      <c r="H126" s="10">
        <v>1.3234000000000601</v>
      </c>
      <c r="I126">
        <v>124.62999999999937</v>
      </c>
      <c r="J126" s="10">
        <v>1.259999999999976</v>
      </c>
      <c r="K126" s="10">
        <v>0.98449999999997362</v>
      </c>
      <c r="L126" s="10">
        <v>1.1899999999999828</v>
      </c>
      <c r="O126">
        <v>120.24999999999876</v>
      </c>
      <c r="P126">
        <v>105.24999999999255</v>
      </c>
      <c r="R126" s="10">
        <v>1.2280000000000046</v>
      </c>
      <c r="S126" s="10">
        <v>2.9814999999999823</v>
      </c>
      <c r="T126" s="10">
        <v>0.98449999999997362</v>
      </c>
      <c r="U126" s="10">
        <v>2.1920000000000033</v>
      </c>
      <c r="V126" s="10">
        <v>1.2109999999999512</v>
      </c>
      <c r="W126" s="10">
        <v>1.1899999999999828</v>
      </c>
      <c r="X126" s="10">
        <v>3.8749999999983853</v>
      </c>
      <c r="Y126" s="10">
        <v>1.0500000000000065</v>
      </c>
      <c r="Z126" s="10">
        <v>0.95299999999993579</v>
      </c>
      <c r="AA126" s="10">
        <v>2.7244999999999875</v>
      </c>
      <c r="AB126" s="10">
        <v>0.98349999999993865</v>
      </c>
      <c r="AC126" s="10">
        <v>3.457000000000189</v>
      </c>
      <c r="AD126" s="10">
        <v>0.93840000000002433</v>
      </c>
      <c r="AE126" s="10">
        <v>0.8429999999999428</v>
      </c>
      <c r="AF126" s="10">
        <v>0.89199999999994972</v>
      </c>
      <c r="AI126" s="10">
        <v>0.75296111242034358</v>
      </c>
      <c r="AJ126" s="10">
        <v>0.51751220087233019</v>
      </c>
      <c r="AK126" s="10">
        <v>0.53069999999999729</v>
      </c>
      <c r="AL126" s="10">
        <v>0.722692576007673</v>
      </c>
      <c r="AM126" s="10">
        <v>0.67416285644698615</v>
      </c>
      <c r="AN126" s="10">
        <v>0.89210882630229105</v>
      </c>
      <c r="AO126" s="10">
        <v>0.983102050435954</v>
      </c>
      <c r="AP126" s="10">
        <v>0.90986970304028614</v>
      </c>
      <c r="AQ126" s="10">
        <v>0.87641171341023982</v>
      </c>
      <c r="AR126" s="10">
        <v>0.53820106007064894</v>
      </c>
      <c r="AS126" s="10">
        <v>0.55064971718126299</v>
      </c>
      <c r="AT126" s="10">
        <v>0.7674074593446274</v>
      </c>
      <c r="AU126" s="10">
        <v>0.80493043836921596</v>
      </c>
      <c r="AV126" s="10">
        <v>0.71668889936174607</v>
      </c>
      <c r="AX126" s="10">
        <v>0.78261418807435756</v>
      </c>
      <c r="AY126" s="10">
        <v>0.53849770128491981</v>
      </c>
      <c r="AZ126" s="10">
        <v>0.55159999999999731</v>
      </c>
      <c r="BA126" s="10">
        <v>0.75115361772344547</v>
      </c>
      <c r="BB126" s="10">
        <v>0.70071270325260526</v>
      </c>
      <c r="BC126" s="10">
        <v>0.92724181004021833</v>
      </c>
      <c r="BD126" s="10">
        <v>1.0218185246287401</v>
      </c>
      <c r="BE126" s="10">
        <v>0.94570214470891645</v>
      </c>
      <c r="BF126" s="10">
        <v>0.55970070671375749</v>
      </c>
      <c r="BG126" s="10">
        <v>0.5723353759132932</v>
      </c>
      <c r="BH126" s="10">
        <v>0.79762946028734971</v>
      </c>
      <c r="BI126" s="10">
        <v>0.91092651425869287</v>
      </c>
      <c r="BJ126" s="10">
        <v>0.83663016733457629</v>
      </c>
      <c r="BK126" s="10">
        <v>0.74491350459381811</v>
      </c>
    </row>
    <row r="127" spans="1:63" x14ac:dyDescent="0.25">
      <c r="A127" s="8">
        <v>46259</v>
      </c>
      <c r="B127" s="10">
        <v>1.2930999999999875</v>
      </c>
      <c r="C127" s="10">
        <v>1.0371999999999284</v>
      </c>
      <c r="D127" s="10">
        <v>1.2143999999999908</v>
      </c>
      <c r="E127" s="10"/>
      <c r="F127">
        <v>145.65199999999894</v>
      </c>
      <c r="H127" s="10">
        <v>1.3219000000000027</v>
      </c>
      <c r="I127">
        <v>124.54999999999868</v>
      </c>
      <c r="J127" s="10">
        <v>1.2533999999999761</v>
      </c>
      <c r="K127" s="10">
        <v>0.98380000000002654</v>
      </c>
      <c r="L127" s="10">
        <v>1.1964999999999462</v>
      </c>
      <c r="O127">
        <v>120.14999999999768</v>
      </c>
      <c r="P127">
        <v>105.29999999999787</v>
      </c>
      <c r="R127" s="10">
        <v>1.2279999999999969</v>
      </c>
      <c r="S127" s="10">
        <v>2.9815000000000746</v>
      </c>
      <c r="T127" s="10">
        <v>0.98380000000002654</v>
      </c>
      <c r="U127" s="10">
        <v>2.1940000000000155</v>
      </c>
      <c r="V127" s="10">
        <v>1.2174999999999614</v>
      </c>
      <c r="W127" s="10">
        <v>1.1964999999999462</v>
      </c>
      <c r="X127" s="10">
        <v>3.8814999999987094</v>
      </c>
      <c r="Y127" s="10">
        <v>1.0494999999999208</v>
      </c>
      <c r="Z127" s="10">
        <v>0.9524999999999646</v>
      </c>
      <c r="AA127" s="10">
        <v>2.7250000000001533</v>
      </c>
      <c r="AB127" s="10">
        <v>0.98249999999995796</v>
      </c>
      <c r="AC127" s="10">
        <v>3.4539999999995636</v>
      </c>
      <c r="AD127" s="10">
        <v>0.93939999999988888</v>
      </c>
      <c r="AE127" s="10">
        <v>0.84119999999993145</v>
      </c>
      <c r="AF127" s="10">
        <v>0.89129999999995935</v>
      </c>
      <c r="AI127" s="10">
        <v>0.75238396226386417</v>
      </c>
      <c r="AJ127" s="10">
        <v>0.51652849056600603</v>
      </c>
      <c r="AK127" s="10">
        <v>0.5308000000000237</v>
      </c>
      <c r="AL127" s="10">
        <v>0.72202570754723017</v>
      </c>
      <c r="AM127" s="10">
        <v>0.67345249997620893</v>
      </c>
      <c r="AN127" s="10">
        <v>0.89444178647176753</v>
      </c>
      <c r="AO127" s="10">
        <v>0.98705014150934489</v>
      </c>
      <c r="AP127" s="10">
        <v>0.90980872641520083</v>
      </c>
      <c r="AQ127" s="10">
        <v>0.87688410377350667</v>
      </c>
      <c r="AR127" s="10">
        <v>0.53887466981138687</v>
      </c>
      <c r="AS127" s="10">
        <v>0.55395990566035014</v>
      </c>
      <c r="AT127" s="10">
        <v>0.76840811320771518</v>
      </c>
      <c r="AU127" s="10">
        <v>0.80546396226391503</v>
      </c>
      <c r="AV127" s="10">
        <v>0.71576627358275602</v>
      </c>
      <c r="AX127" s="10">
        <v>0.78115825471668354</v>
      </c>
      <c r="AY127" s="10">
        <v>0.53628268867921247</v>
      </c>
      <c r="AZ127" s="10">
        <v>0.55110000000002468</v>
      </c>
      <c r="BA127" s="10">
        <v>0.74963897405666668</v>
      </c>
      <c r="BB127" s="10">
        <v>0.69920812497529927</v>
      </c>
      <c r="BC127" s="10">
        <v>0.92984185717645462</v>
      </c>
      <c r="BD127" s="10">
        <v>1.0247990448112285</v>
      </c>
      <c r="BE127" s="10">
        <v>0.94460359669822391</v>
      </c>
      <c r="BF127" s="10">
        <v>0.55948347877365368</v>
      </c>
      <c r="BG127" s="10">
        <v>0.57514563679242481</v>
      </c>
      <c r="BH127" s="10">
        <v>0.79779523584923129</v>
      </c>
      <c r="BI127" s="10">
        <v>0.91041979952822094</v>
      </c>
      <c r="BJ127" s="10">
        <v>0.8362682547167366</v>
      </c>
      <c r="BK127" s="10">
        <v>0.7431401532996551</v>
      </c>
    </row>
    <row r="128" spans="1:63" x14ac:dyDescent="0.25">
      <c r="A128" s="8">
        <v>46260</v>
      </c>
      <c r="B128" s="10">
        <v>1.2949999999999939</v>
      </c>
      <c r="C128" s="10">
        <v>1.0386899999999522</v>
      </c>
      <c r="D128" s="10">
        <v>1.21475000000001</v>
      </c>
      <c r="E128" s="10"/>
      <c r="F128">
        <v>145.45000000000346</v>
      </c>
      <c r="H128" s="10">
        <v>1.3194500000000289</v>
      </c>
      <c r="I128">
        <v>124.15000000000636</v>
      </c>
      <c r="J128" s="10">
        <v>1.2534500000000188</v>
      </c>
      <c r="K128" s="10">
        <v>0.98299999999999654</v>
      </c>
      <c r="L128" s="10">
        <v>1.1809999999997101</v>
      </c>
      <c r="O128">
        <v>120.35000000000178</v>
      </c>
      <c r="P128">
        <v>105.39999999999398</v>
      </c>
      <c r="R128" s="10">
        <v>1.2275000000000063</v>
      </c>
      <c r="S128" s="10">
        <v>2.9815000000000031</v>
      </c>
      <c r="T128" s="10">
        <v>0.98299999999999654</v>
      </c>
      <c r="U128" s="10">
        <v>2.1924999999999297</v>
      </c>
      <c r="V128" s="10">
        <v>1.2145000000000008</v>
      </c>
      <c r="W128" s="10">
        <v>1.1809999999997101</v>
      </c>
      <c r="X128" s="10">
        <v>3.8804999999984648</v>
      </c>
      <c r="Y128" s="10">
        <v>1.0519999999918261</v>
      </c>
      <c r="Z128" s="10">
        <v>0.95250000000001689</v>
      </c>
      <c r="AA128" s="10">
        <v>2.7259999999999125</v>
      </c>
      <c r="AB128" s="10">
        <v>0.98449999999991689</v>
      </c>
      <c r="AC128" s="10">
        <v>3.459499999999851</v>
      </c>
      <c r="AD128" s="10">
        <v>0.93999999999995465</v>
      </c>
      <c r="AE128" s="10">
        <v>0.84740000000003068</v>
      </c>
      <c r="AF128" s="10">
        <v>0.889899999999889</v>
      </c>
      <c r="AI128" s="10">
        <v>0.74961024252382547</v>
      </c>
      <c r="AJ128" s="10">
        <v>0.51439931716505638</v>
      </c>
      <c r="AK128" s="10">
        <v>0.52909999999999269</v>
      </c>
      <c r="AL128" s="10">
        <v>0.71883847421702218</v>
      </c>
      <c r="AM128" s="10">
        <v>0.67180874732380846</v>
      </c>
      <c r="AN128" s="10">
        <v>0.88683737932666828</v>
      </c>
      <c r="AO128" s="10">
        <v>0.98575553331759536</v>
      </c>
      <c r="AP128" s="10">
        <v>0.90627218036251156</v>
      </c>
      <c r="AQ128" s="10">
        <v>0.87450375559213878</v>
      </c>
      <c r="AR128" s="10">
        <v>0.53507993878030402</v>
      </c>
      <c r="AS128" s="10">
        <v>0.55320662820814959</v>
      </c>
      <c r="AT128" s="10">
        <v>0.76524529079362713</v>
      </c>
      <c r="AU128" s="10">
        <v>0.80230845302578624</v>
      </c>
      <c r="AV128" s="10">
        <v>0.71335686366583095</v>
      </c>
      <c r="AX128" s="10">
        <v>0.77992900871171011</v>
      </c>
      <c r="AY128" s="10">
        <v>0.53520473275252967</v>
      </c>
      <c r="AZ128" s="10">
        <v>0.55049999999999233</v>
      </c>
      <c r="BA128" s="10">
        <v>0.74791264421937376</v>
      </c>
      <c r="BB128" s="10">
        <v>0.69898075109007096</v>
      </c>
      <c r="BC128" s="10">
        <v>0.92270643983997502</v>
      </c>
      <c r="BD128" s="10">
        <v>1.0256254414880668</v>
      </c>
      <c r="BE128" s="10">
        <v>0.94292730162457472</v>
      </c>
      <c r="BF128" s="10">
        <v>0.55672180362607704</v>
      </c>
      <c r="BG128" s="10">
        <v>0.57558164586767402</v>
      </c>
      <c r="BH128" s="10">
        <v>0.79619643277620811</v>
      </c>
      <c r="BI128" s="10">
        <v>0.90987396986103264</v>
      </c>
      <c r="BJ128" s="10">
        <v>0.83475865316706732</v>
      </c>
      <c r="BK128" s="10">
        <v>0.74220932422611952</v>
      </c>
    </row>
    <row r="129" spans="1:63" x14ac:dyDescent="0.25">
      <c r="A129" s="8">
        <v>46261</v>
      </c>
      <c r="B129" s="10">
        <v>1.2960000000000074</v>
      </c>
      <c r="C129" s="10">
        <v>1.0391399999999595</v>
      </c>
      <c r="D129" s="10">
        <v>1.2157000000000182</v>
      </c>
      <c r="E129" s="10"/>
      <c r="F129">
        <v>145.74999999999631</v>
      </c>
      <c r="H129" s="10">
        <v>1.3192999999999682</v>
      </c>
      <c r="I129">
        <v>123.99000000000112</v>
      </c>
      <c r="J129" s="10">
        <v>1.254199999999956</v>
      </c>
      <c r="K129" s="10">
        <v>0.98299999999998022</v>
      </c>
      <c r="L129" s="10">
        <v>1.1819999999997413</v>
      </c>
      <c r="O129">
        <v>120.59999999999744</v>
      </c>
      <c r="P129">
        <v>105.44999999999767</v>
      </c>
      <c r="R129" s="10">
        <v>1.2311999999999819</v>
      </c>
      <c r="S129" s="10">
        <v>2.9840000000000053</v>
      </c>
      <c r="T129" s="10">
        <v>0.98299999999998022</v>
      </c>
      <c r="U129" s="10">
        <v>2.1949999999999998</v>
      </c>
      <c r="V129" s="10">
        <v>1.2189999999999714</v>
      </c>
      <c r="W129" s="10">
        <v>1.1819999999997413</v>
      </c>
      <c r="X129" s="10">
        <v>3.8879999999988515</v>
      </c>
      <c r="Y129" s="10">
        <v>1.0509999999999955</v>
      </c>
      <c r="Z129" s="10">
        <v>0.95239999999998848</v>
      </c>
      <c r="AA129" s="10">
        <v>2.7274999999999352</v>
      </c>
      <c r="AB129" s="10">
        <v>0.98500000000008248</v>
      </c>
      <c r="AC129" s="10">
        <v>3.4595000000000584</v>
      </c>
      <c r="AD129" s="10">
        <v>0.94000000000005035</v>
      </c>
      <c r="AE129" s="10">
        <v>0.84689999999993593</v>
      </c>
      <c r="AF129" s="10">
        <v>0.89150000000003149</v>
      </c>
      <c r="AI129" s="10">
        <v>0.75378389482298414</v>
      </c>
      <c r="AJ129" s="10">
        <v>0.51550703134175324</v>
      </c>
      <c r="AK129" s="10">
        <v>0.53179999999999705</v>
      </c>
      <c r="AL129" s="10">
        <v>0.72556771921596908</v>
      </c>
      <c r="AM129" s="10">
        <v>0.6791858199131694</v>
      </c>
      <c r="AN129" s="10">
        <v>0.88924650780602899</v>
      </c>
      <c r="AO129" s="10">
        <v>0.98681704425404282</v>
      </c>
      <c r="AP129" s="10">
        <v>0.90953468716980268</v>
      </c>
      <c r="AQ129" s="10">
        <v>0.87332809015142976</v>
      </c>
      <c r="AR129" s="10">
        <v>0.53186242516730742</v>
      </c>
      <c r="AS129" s="10">
        <v>0.55377365888007635</v>
      </c>
      <c r="AT129" s="10">
        <v>0.76595680244131781</v>
      </c>
      <c r="AU129" s="10">
        <v>0.80472283131817957</v>
      </c>
      <c r="AV129" s="10">
        <v>0.71426876393728378</v>
      </c>
      <c r="AX129" s="10">
        <v>0.78595932621162978</v>
      </c>
      <c r="AY129" s="10">
        <v>0.53751156239000031</v>
      </c>
      <c r="AZ129" s="10">
        <v>0.55449999999999688</v>
      </c>
      <c r="BA129" s="10">
        <v>0.75653873694105822</v>
      </c>
      <c r="BB129" s="10">
        <v>0.708177016062152</v>
      </c>
      <c r="BC129" s="10">
        <v>0.92720419063264958</v>
      </c>
      <c r="BD129" s="10">
        <v>1.0289395468951985</v>
      </c>
      <c r="BE129" s="10">
        <v>0.948358375396118</v>
      </c>
      <c r="BF129" s="10">
        <v>0.55456508979930785</v>
      </c>
      <c r="BG129" s="10">
        <v>0.57741160934374247</v>
      </c>
      <c r="BH129" s="10">
        <v>0.79865183706978315</v>
      </c>
      <c r="BI129" s="10">
        <v>0.910606291818292</v>
      </c>
      <c r="BJ129" s="10">
        <v>0.83907260241807169</v>
      </c>
      <c r="BK129" s="10">
        <v>0.74475748327044711</v>
      </c>
    </row>
    <row r="130" spans="1:63" x14ac:dyDescent="0.25">
      <c r="A130" s="8">
        <v>46262</v>
      </c>
      <c r="B130" s="10">
        <v>1.3002200000000022</v>
      </c>
      <c r="C130" s="10">
        <v>1.0419999999999801</v>
      </c>
      <c r="D130" s="10">
        <v>1.2187999999995287</v>
      </c>
      <c r="E130" s="10"/>
      <c r="F130">
        <v>146.45000000000482</v>
      </c>
      <c r="H130" s="10">
        <v>1.3258999999999705</v>
      </c>
      <c r="I130">
        <v>124.45000000000319</v>
      </c>
      <c r="J130" s="10">
        <v>1.2609999999999904</v>
      </c>
      <c r="K130" s="10">
        <v>0.98550000000001736</v>
      </c>
      <c r="L130" s="10">
        <v>1.1899999999998689</v>
      </c>
      <c r="O130">
        <v>120.80000000000022</v>
      </c>
      <c r="P130">
        <v>105.79999999999833</v>
      </c>
      <c r="R130" s="10">
        <v>1.2334999999999865</v>
      </c>
      <c r="S130" s="10">
        <v>2.9934999999999388</v>
      </c>
      <c r="T130" s="10">
        <v>0.98550000000001736</v>
      </c>
      <c r="U130" s="10">
        <v>2.2025000000000192</v>
      </c>
      <c r="V130" s="10">
        <v>1.2165000000000041</v>
      </c>
      <c r="W130" s="10">
        <v>1.1899999999998689</v>
      </c>
      <c r="X130" s="10">
        <v>3.8949999999989853</v>
      </c>
      <c r="Y130" s="10">
        <v>1.0514999999999792</v>
      </c>
      <c r="Z130" s="10">
        <v>0.95199999999995344</v>
      </c>
      <c r="AA130" s="10">
        <v>2.7299999999999134</v>
      </c>
      <c r="AB130" s="10">
        <v>0.98449999999992432</v>
      </c>
      <c r="AC130" s="10">
        <v>3.4595000000003364</v>
      </c>
      <c r="AD130" s="10">
        <v>0.94000000000002293</v>
      </c>
      <c r="AE130" s="10">
        <v>0.84150000000000291</v>
      </c>
      <c r="AF130" s="10">
        <v>0.88999999999983936</v>
      </c>
      <c r="AI130" s="10">
        <v>0.75130270270239163</v>
      </c>
      <c r="AJ130" s="10">
        <v>0.51740893066981297</v>
      </c>
      <c r="AK130" s="10">
        <v>0.53050000000000208</v>
      </c>
      <c r="AL130" s="10">
        <v>0.72911022326675523</v>
      </c>
      <c r="AM130" s="10">
        <v>0.67406539362747186</v>
      </c>
      <c r="AN130" s="10">
        <v>0.88489394829627344</v>
      </c>
      <c r="AO130" s="10">
        <v>0.98058343125725633</v>
      </c>
      <c r="AP130" s="10">
        <v>0.90552796709764694</v>
      </c>
      <c r="AQ130" s="10">
        <v>0.86457162162165835</v>
      </c>
      <c r="AR130" s="10">
        <v>0.53681889319703657</v>
      </c>
      <c r="AS130" s="10">
        <v>0.55375223266741391</v>
      </c>
      <c r="AT130" s="10">
        <v>0.76458078730897294</v>
      </c>
      <c r="AU130" s="10">
        <v>0.80416568742638272</v>
      </c>
      <c r="AV130" s="10">
        <v>0.71346327849289337</v>
      </c>
      <c r="AX130" s="10">
        <v>0.7838756756753511</v>
      </c>
      <c r="AY130" s="10">
        <v>0.53984136310224606</v>
      </c>
      <c r="AZ130" s="10">
        <v>0.55350000000000221</v>
      </c>
      <c r="BA130" s="10">
        <v>0.76072103407756653</v>
      </c>
      <c r="BB130" s="10">
        <v>0.70328971795062334</v>
      </c>
      <c r="BC130" s="10">
        <v>0.923258813161145</v>
      </c>
      <c r="BD130" s="10">
        <v>1.0230969447707661</v>
      </c>
      <c r="BE130" s="10">
        <v>0.94478742655711145</v>
      </c>
      <c r="BF130" s="10">
        <v>0.55999602866877896</v>
      </c>
      <c r="BG130" s="10">
        <v>0.57776034077552041</v>
      </c>
      <c r="BH130" s="10">
        <v>0.79772943595761847</v>
      </c>
      <c r="BI130" s="10">
        <v>0.90205540540544371</v>
      </c>
      <c r="BJ130" s="10">
        <v>0.83903055229124024</v>
      </c>
      <c r="BK130" s="10">
        <v>0.74439571092519619</v>
      </c>
    </row>
    <row r="131" spans="1:63" x14ac:dyDescent="0.25">
      <c r="A131" s="4">
        <v>46265</v>
      </c>
      <c r="B131" s="10">
        <v>1.302369999999996</v>
      </c>
      <c r="C131" s="10">
        <v>1.0438999999999812</v>
      </c>
      <c r="D131" s="10">
        <v>1.2211999999996819</v>
      </c>
      <c r="E131" s="10"/>
      <c r="F131">
        <v>146.94000000000119</v>
      </c>
      <c r="G131" s="10"/>
      <c r="H131" s="10">
        <v>1.3277000000000525</v>
      </c>
      <c r="I131">
        <v>124.85000000000053</v>
      </c>
      <c r="J131" s="10">
        <v>1.2639999999999953</v>
      </c>
      <c r="K131" s="10">
        <v>0.9874999999999805</v>
      </c>
      <c r="L131" s="10">
        <v>1.2035000000000065</v>
      </c>
      <c r="O131">
        <v>121.15</v>
      </c>
      <c r="P131">
        <v>106.84999999999238</v>
      </c>
      <c r="R131" s="10">
        <v>1.2349999999999923</v>
      </c>
      <c r="S131" s="10">
        <v>2.9979999999999523</v>
      </c>
      <c r="T131" s="10">
        <v>0.9874999999999805</v>
      </c>
      <c r="U131" s="10">
        <v>2.2040000000000082</v>
      </c>
      <c r="V131" s="10">
        <v>1.2210000000000008</v>
      </c>
      <c r="W131" s="10">
        <v>1.2035000000000065</v>
      </c>
      <c r="X131" s="10">
        <v>3.8964999999983876</v>
      </c>
      <c r="Y131" s="10">
        <v>1.0530000000000326</v>
      </c>
      <c r="Z131" s="10">
        <v>0.95399999999997942</v>
      </c>
      <c r="AA131" s="10">
        <v>2.7329999999999655</v>
      </c>
      <c r="AB131" s="10">
        <v>0.98500000000011378</v>
      </c>
      <c r="AC131" s="10">
        <v>3.4659999999998234</v>
      </c>
      <c r="AD131" s="10">
        <v>0.94249999999996159</v>
      </c>
      <c r="AE131" s="10">
        <v>0.84390000000003695</v>
      </c>
      <c r="AF131" s="10">
        <v>0.89499999999994584</v>
      </c>
      <c r="AI131" s="10">
        <v>0.75277125410969403</v>
      </c>
      <c r="AJ131" s="10">
        <v>0.51890250264359694</v>
      </c>
      <c r="AK131" s="10">
        <v>0.53199999999998471</v>
      </c>
      <c r="AL131" s="10">
        <v>0.72690840770313769</v>
      </c>
      <c r="AM131" s="10">
        <v>0.67674448095283135</v>
      </c>
      <c r="AN131" s="10">
        <v>0.88420948802257116</v>
      </c>
      <c r="AO131" s="10">
        <v>0.97816533583833665</v>
      </c>
      <c r="AP131" s="10">
        <v>0.90763597933301265</v>
      </c>
      <c r="AQ131" s="10">
        <v>0.8666552372005234</v>
      </c>
      <c r="AR131" s="10">
        <v>0.53492844554108432</v>
      </c>
      <c r="AS131" s="10">
        <v>0.55473931423203782</v>
      </c>
      <c r="AT131" s="10">
        <v>0.7620793799906117</v>
      </c>
      <c r="AU131" s="10">
        <v>0.80112353217473597</v>
      </c>
      <c r="AV131" s="10">
        <v>0.69979614842008031</v>
      </c>
      <c r="AX131" s="10">
        <v>0.78474988257375244</v>
      </c>
      <c r="AY131" s="10">
        <v>0.54052344025374677</v>
      </c>
      <c r="AZ131" s="10">
        <v>0.55459999999998411</v>
      </c>
      <c r="BA131" s="10">
        <v>0.75778835133864686</v>
      </c>
      <c r="BB131" s="10">
        <v>0.70549340063240651</v>
      </c>
      <c r="BC131" s="10">
        <v>0.92177177078443207</v>
      </c>
      <c r="BD131" s="10">
        <v>1.0197189760450027</v>
      </c>
      <c r="BE131" s="10">
        <v>0.94619344762798663</v>
      </c>
      <c r="BF131" s="10">
        <v>0.55721713077196289</v>
      </c>
      <c r="BG131" s="10">
        <v>0.57830530765618082</v>
      </c>
      <c r="BH131" s="10">
        <v>0.79445342883983694</v>
      </c>
      <c r="BI131" s="10">
        <v>0.90347179426956803</v>
      </c>
      <c r="BJ131" s="10">
        <v>0.83515622357915131</v>
      </c>
      <c r="BK131" s="10">
        <v>0.72952433066499356</v>
      </c>
    </row>
    <row r="132" spans="1:63" x14ac:dyDescent="0.25">
      <c r="A132" s="4">
        <v>46266</v>
      </c>
      <c r="B132" s="10">
        <v>1.3029000000000031</v>
      </c>
      <c r="C132" s="10">
        <v>1.0449799999999987</v>
      </c>
      <c r="D132">
        <v>1.2227816600000001</v>
      </c>
      <c r="F132">
        <v>1.47186796</v>
      </c>
      <c r="G132">
        <v>1.00906037</v>
      </c>
      <c r="H132">
        <v>1.3298810999999999</v>
      </c>
      <c r="I132">
        <v>1.2513122999999999</v>
      </c>
      <c r="J132">
        <v>1.2646346799999999</v>
      </c>
      <c r="K132" s="5">
        <v>0.98939814999999998</v>
      </c>
      <c r="L132" s="10">
        <v>121.6499999999932</v>
      </c>
      <c r="O132" s="5">
        <v>1.2130007899999999</v>
      </c>
      <c r="P132">
        <v>1.06900032</v>
      </c>
      <c r="R132">
        <v>1.2377929000000001</v>
      </c>
      <c r="S132" s="10">
        <v>2.9999999999999796</v>
      </c>
      <c r="T132" s="10">
        <v>0.98989999999999057</v>
      </c>
      <c r="U132" s="10">
        <v>2.208999999999969</v>
      </c>
      <c r="V132">
        <v>1.2169272499999999</v>
      </c>
      <c r="W132" s="10">
        <v>1.216499999999932</v>
      </c>
      <c r="X132">
        <v>3.9192279999999995</v>
      </c>
      <c r="Y132" s="10">
        <v>1.0564999999999569</v>
      </c>
      <c r="Z132" s="10">
        <v>0.95700000000002139</v>
      </c>
      <c r="AA132" s="10">
        <v>2.7399999999998919</v>
      </c>
      <c r="AB132" s="10">
        <v>0.98600000000010002</v>
      </c>
      <c r="AC132" s="10">
        <v>3.4730000000004453</v>
      </c>
      <c r="AD132" s="10">
        <v>0.94290000000002494</v>
      </c>
      <c r="AE132" s="10">
        <v>0.84399999999992059</v>
      </c>
      <c r="AF132" s="10">
        <v>0.89890000000005577</v>
      </c>
      <c r="AI132" s="10">
        <v>0.75352070825491746</v>
      </c>
      <c r="AJ132" s="10">
        <v>0.51883706613510838</v>
      </c>
      <c r="AK132" s="10">
        <v>0.53469999999998707</v>
      </c>
      <c r="AL132" s="10">
        <v>0.72919336303929871</v>
      </c>
      <c r="AM132" s="10">
        <v>0.67803069885147937</v>
      </c>
      <c r="AN132" s="10">
        <v>0.8844369371481523</v>
      </c>
      <c r="AO132" s="10">
        <v>0.98274950750467549</v>
      </c>
      <c r="AP132" s="10">
        <v>0.91014366791751689</v>
      </c>
      <c r="AQ132" s="10">
        <v>0.86882480065657997</v>
      </c>
      <c r="AR132" s="10">
        <v>0.53781314553995907</v>
      </c>
      <c r="AS132" s="10">
        <v>0.55720906425888939</v>
      </c>
      <c r="AT132" s="10">
        <v>0.76361530253268928</v>
      </c>
      <c r="AU132" s="10">
        <v>0.80192460131314236</v>
      </c>
      <c r="AV132" s="10">
        <v>0.71082245543767675</v>
      </c>
      <c r="AX132" s="10">
        <v>0.78410121951194356</v>
      </c>
      <c r="AY132" s="10">
        <v>0.53989329268295183</v>
      </c>
      <c r="AZ132" s="10">
        <v>0.55639999999998668</v>
      </c>
      <c r="BA132" s="10">
        <v>0.75878658536574872</v>
      </c>
      <c r="BB132" s="10">
        <v>0.70554756095186677</v>
      </c>
      <c r="BC132" s="10">
        <v>0.92033048780481008</v>
      </c>
      <c r="BD132" s="10">
        <v>1.0226329268292529</v>
      </c>
      <c r="BE132" s="10">
        <v>0.94708048780494936</v>
      </c>
      <c r="BF132" s="10">
        <v>0.55921314553996104</v>
      </c>
      <c r="BG132" s="10">
        <v>0.57982256097558649</v>
      </c>
      <c r="BH132" s="10">
        <v>0.79460548780472862</v>
      </c>
      <c r="BI132" s="10">
        <v>0.90408475609747752</v>
      </c>
      <c r="BJ132" s="10">
        <v>0.83446951219493626</v>
      </c>
      <c r="BK132" s="10">
        <v>0.73967012194786497</v>
      </c>
    </row>
    <row r="133" spans="1:63" x14ac:dyDescent="0.25">
      <c r="A133" s="4">
        <v>46267</v>
      </c>
      <c r="B133" s="10">
        <v>1.304499999999992</v>
      </c>
      <c r="C133" s="10">
        <v>1.0452999999999957</v>
      </c>
      <c r="D133">
        <v>1.2238402399999999</v>
      </c>
      <c r="F133">
        <v>1.47201179</v>
      </c>
      <c r="G133">
        <v>1.0100603500000001</v>
      </c>
      <c r="H133">
        <v>1.33226589</v>
      </c>
      <c r="I133">
        <v>1.2529571399999999</v>
      </c>
      <c r="J133">
        <v>1.26554419</v>
      </c>
      <c r="K133" s="5">
        <v>0.99174496000000001</v>
      </c>
      <c r="L133" s="5">
        <v>1.2075260000000001</v>
      </c>
      <c r="O133" s="5">
        <v>1.2147051099999999</v>
      </c>
      <c r="P133">
        <v>1.0690074300000001</v>
      </c>
      <c r="R133">
        <v>1.2384295299999999</v>
      </c>
      <c r="S133" s="10">
        <v>3.0050000000000141</v>
      </c>
      <c r="T133" s="10">
        <v>0.99149999999998228</v>
      </c>
      <c r="U133" s="10">
        <v>2.2160000000000051</v>
      </c>
      <c r="V133">
        <v>1.2199578900000001</v>
      </c>
      <c r="W133" s="10">
        <v>1.2049999999999996</v>
      </c>
      <c r="X133">
        <v>3.9397009000000005</v>
      </c>
      <c r="Y133" s="10">
        <v>1.0589999999929522</v>
      </c>
      <c r="Z133" s="10">
        <v>0.96350000000007019</v>
      </c>
      <c r="AA133" s="10">
        <v>2.745000000000211</v>
      </c>
      <c r="AB133" s="10">
        <v>0.99200000000003086</v>
      </c>
      <c r="AC133" s="10">
        <v>3.4830000000000938</v>
      </c>
      <c r="AD133" s="10">
        <v>0.94480000000006414</v>
      </c>
      <c r="AE133" s="10">
        <v>0.84999999999986653</v>
      </c>
      <c r="AF133" s="10">
        <v>0.89949999999993513</v>
      </c>
      <c r="AI133" s="10">
        <v>0.75606566779781437</v>
      </c>
      <c r="AJ133" s="10">
        <v>0.5199323422684613</v>
      </c>
      <c r="AK133" s="10">
        <v>0.53579999999999306</v>
      </c>
      <c r="AL133" s="10">
        <v>0.73191923212002974</v>
      </c>
      <c r="AM133" s="10">
        <v>0.68325005265702121</v>
      </c>
      <c r="AN133" s="10">
        <v>0.8886515509772599</v>
      </c>
      <c r="AO133" s="10">
        <v>0.98448467751367441</v>
      </c>
      <c r="AP133" s="10">
        <v>0.90752967341686475</v>
      </c>
      <c r="AQ133" s="10">
        <v>0.86920896640524059</v>
      </c>
      <c r="AR133" s="10">
        <v>0.54439236802061186</v>
      </c>
      <c r="AS133" s="10">
        <v>0.55681053494090649</v>
      </c>
      <c r="AT133" s="10">
        <v>0.76679044832013199</v>
      </c>
      <c r="AU133" s="10">
        <v>0.80686725974506501</v>
      </c>
      <c r="AV133" s="10">
        <v>0.71360557181028084</v>
      </c>
      <c r="AX133" s="10">
        <v>0.78569870069022585</v>
      </c>
      <c r="AY133" s="10">
        <v>0.5403104295914134</v>
      </c>
      <c r="AZ133" s="10">
        <v>0.55679999999999286</v>
      </c>
      <c r="BA133" s="10">
        <v>0.7606058761560891</v>
      </c>
      <c r="BB133" s="10">
        <v>0.71002917006239163</v>
      </c>
      <c r="BC133" s="10">
        <v>0.92348111904467767</v>
      </c>
      <c r="BD133" s="10">
        <v>1.0230703031721053</v>
      </c>
      <c r="BE133" s="10">
        <v>0.94309914549927254</v>
      </c>
      <c r="BF133" s="10">
        <v>0.56572913496430877</v>
      </c>
      <c r="BG133" s="10">
        <v>0.57863401615359589</v>
      </c>
      <c r="BH133" s="10">
        <v>0.79684382535395581</v>
      </c>
      <c r="BI133" s="10">
        <v>0.90327650708181784</v>
      </c>
      <c r="BJ133" s="10">
        <v>0.83849139646519633</v>
      </c>
      <c r="BK133" s="10">
        <v>0.74157443520710031</v>
      </c>
    </row>
    <row r="134" spans="1:63" x14ac:dyDescent="0.25">
      <c r="A134" s="4">
        <v>46268</v>
      </c>
      <c r="B134" s="10">
        <v>1.3044999999999924</v>
      </c>
      <c r="C134" s="10">
        <v>1.0462999999999953</v>
      </c>
      <c r="D134">
        <v>1.2249302799999999</v>
      </c>
      <c r="F134">
        <v>1.47362075</v>
      </c>
      <c r="G134">
        <v>1.01084299</v>
      </c>
      <c r="H134">
        <v>1.3337051600000001</v>
      </c>
      <c r="I134">
        <v>1.25421118</v>
      </c>
      <c r="J134">
        <v>1.2674897700000001</v>
      </c>
      <c r="K134" s="5">
        <v>0.99424604999999999</v>
      </c>
      <c r="L134" s="5">
        <v>1.20153475</v>
      </c>
      <c r="O134" s="5">
        <v>1.2157256599999999</v>
      </c>
      <c r="P134">
        <v>1.0687348400000001</v>
      </c>
      <c r="R134">
        <v>1.2404261400000001</v>
      </c>
      <c r="S134" s="10">
        <v>3.0139999999999816</v>
      </c>
      <c r="T134" s="10">
        <v>0.99479999999999691</v>
      </c>
      <c r="U134" s="10">
        <v>2.2240000000000131</v>
      </c>
      <c r="V134">
        <v>1.22347926</v>
      </c>
      <c r="W134" s="10">
        <v>1.2009999999999716</v>
      </c>
      <c r="X134">
        <v>3.95347932</v>
      </c>
      <c r="Y134" s="10">
        <v>1.0659999999964804</v>
      </c>
      <c r="Z134" s="10">
        <v>0.96399999999995745</v>
      </c>
      <c r="AA134" s="10">
        <v>2.762500000000029</v>
      </c>
      <c r="AB134" s="10">
        <v>0.997999999999994</v>
      </c>
      <c r="AC134" s="10">
        <v>3.5024999999996709</v>
      </c>
      <c r="AD134" s="10">
        <v>0.95250000000002488</v>
      </c>
      <c r="AE134" s="10">
        <v>0.84699999999998499</v>
      </c>
      <c r="AF134" s="10">
        <v>0.90189999999993675</v>
      </c>
      <c r="AI134" s="10">
        <v>0.76039015240306018</v>
      </c>
      <c r="AJ134" s="10">
        <v>0.52305205158263346</v>
      </c>
      <c r="AK134" s="10">
        <v>0.53799999999999637</v>
      </c>
      <c r="AL134" s="10">
        <v>0.73194490035151816</v>
      </c>
      <c r="AM134" s="10">
        <v>0.68470433761530924</v>
      </c>
      <c r="AN134" s="10">
        <v>0.88854313863473922</v>
      </c>
      <c r="AO134" s="10">
        <v>0.99085345838217043</v>
      </c>
      <c r="AP134" s="10">
        <v>0.91056342321208594</v>
      </c>
      <c r="AQ134" s="10">
        <v>0.87221594372809363</v>
      </c>
      <c r="AR134" s="10">
        <v>0.53797052545152613</v>
      </c>
      <c r="AS134" s="10">
        <v>0.55818288393900417</v>
      </c>
      <c r="AT134" s="10">
        <v>0.77060773739722366</v>
      </c>
      <c r="AU134" s="10">
        <v>0.80744150058605912</v>
      </c>
      <c r="AV134" s="10">
        <v>0.71895216881373902</v>
      </c>
      <c r="AX134" s="10">
        <v>0.78894011723306379</v>
      </c>
      <c r="AY134" s="10">
        <v>0.54269080890971388</v>
      </c>
      <c r="AZ134" s="10">
        <v>0.55819999999999637</v>
      </c>
      <c r="BA134" s="10">
        <v>0.75942684642419622</v>
      </c>
      <c r="BB134" s="10">
        <v>0.71041256739194369</v>
      </c>
      <c r="BC134" s="10">
        <v>0.92431006333565335</v>
      </c>
      <c r="BD134" s="10">
        <v>1.0280565064478209</v>
      </c>
      <c r="BE134" s="10">
        <v>0.94475186400926858</v>
      </c>
      <c r="BF134" s="10">
        <v>0.55931299554300962</v>
      </c>
      <c r="BG134" s="10">
        <v>0.57914067995307084</v>
      </c>
      <c r="BH134" s="10">
        <v>0.79954133645934999</v>
      </c>
      <c r="BI134" s="10">
        <v>0.90496457209855397</v>
      </c>
      <c r="BJ134" s="10">
        <v>0.83775807737386299</v>
      </c>
      <c r="BK134" s="10">
        <v>0.74594628370228477</v>
      </c>
    </row>
    <row r="135" spans="1:63" x14ac:dyDescent="0.25">
      <c r="A135" s="4">
        <v>46269</v>
      </c>
      <c r="B135" s="10">
        <v>1.3070000000000073</v>
      </c>
      <c r="C135" s="10">
        <v>1.0483999999999984</v>
      </c>
      <c r="D135">
        <v>1.2272383499999999</v>
      </c>
      <c r="F135">
        <v>1.4765107900000001</v>
      </c>
      <c r="G135">
        <v>1.0127881299999999</v>
      </c>
      <c r="H135">
        <v>1.33790498</v>
      </c>
      <c r="I135">
        <v>1.2585695299999999</v>
      </c>
      <c r="J135">
        <v>1.2687158999999999</v>
      </c>
      <c r="K135" s="5">
        <v>0.99898215999999995</v>
      </c>
      <c r="L135" s="5">
        <v>1.2075780599999999</v>
      </c>
      <c r="O135" s="5">
        <v>1.2178138199999999</v>
      </c>
      <c r="P135">
        <v>1.0742336400000001</v>
      </c>
      <c r="R135">
        <v>1.24342201</v>
      </c>
      <c r="S135" s="10">
        <v>3.0199999999999938</v>
      </c>
      <c r="T135" s="10">
        <v>0.99789999999999834</v>
      </c>
      <c r="U135" s="10">
        <v>2.2299999999999964</v>
      </c>
      <c r="V135">
        <v>1.229144</v>
      </c>
      <c r="W135" s="10">
        <v>1.2074999999999609</v>
      </c>
      <c r="X135">
        <v>3.9560157</v>
      </c>
      <c r="Y135" s="10">
        <v>1.0684999999965823</v>
      </c>
      <c r="Z135" s="10">
        <v>0.96899999999259367</v>
      </c>
      <c r="AA135" s="10">
        <v>2.7719999999999363</v>
      </c>
      <c r="AB135" s="10">
        <v>0.99900000000000777</v>
      </c>
      <c r="AC135" s="10">
        <v>3.520000000000171</v>
      </c>
      <c r="AD135" s="10">
        <v>0.954899999999959</v>
      </c>
      <c r="AE135" s="10">
        <v>0.85800000000002685</v>
      </c>
      <c r="AF135" s="10">
        <v>0.90530000000007671</v>
      </c>
      <c r="AI135" s="10">
        <v>0.75795203985895399</v>
      </c>
      <c r="AJ135" s="10">
        <v>0.52355944138014021</v>
      </c>
      <c r="AK135" s="10">
        <v>0.53730000000007105</v>
      </c>
      <c r="AL135" s="10">
        <v>0.73382708089090043</v>
      </c>
      <c r="AM135" s="10">
        <v>0.68356150056684495</v>
      </c>
      <c r="AN135" s="10">
        <v>0.89048184056280588</v>
      </c>
      <c r="AO135" s="10">
        <v>0.98887135990617436</v>
      </c>
      <c r="AP135" s="10">
        <v>0.91076444314195637</v>
      </c>
      <c r="AQ135" s="10">
        <v>0.87051418522854929</v>
      </c>
      <c r="AR135" s="10">
        <v>0.53775231780303867</v>
      </c>
      <c r="AS135" s="10">
        <v>0.55751961313017484</v>
      </c>
      <c r="AT135" s="10">
        <v>0.76784138335272845</v>
      </c>
      <c r="AU135" s="10">
        <v>0.80752473622509113</v>
      </c>
      <c r="AV135" s="10">
        <v>0.71556014067706786</v>
      </c>
      <c r="AX135" s="10">
        <v>0.7888456740910611</v>
      </c>
      <c r="AY135" s="10">
        <v>0.54479403825844164</v>
      </c>
      <c r="AZ135" s="10">
        <v>0.55920000000007397</v>
      </c>
      <c r="BA135" s="10">
        <v>0.76373739742079205</v>
      </c>
      <c r="BB135" s="10">
        <v>0.71142302459888285</v>
      </c>
      <c r="BC135" s="10">
        <v>0.92677730363432187</v>
      </c>
      <c r="BD135" s="10">
        <v>1.0291771160609207</v>
      </c>
      <c r="BE135" s="10">
        <v>0.94788661195790458</v>
      </c>
      <c r="BF135" s="10">
        <v>0.55956255134370148</v>
      </c>
      <c r="BG135" s="10">
        <v>0.58024375146546414</v>
      </c>
      <c r="BH135" s="10">
        <v>0.79913810082048353</v>
      </c>
      <c r="BI135" s="10">
        <v>0.90599577960134914</v>
      </c>
      <c r="BJ135" s="10">
        <v>0.84043892145369636</v>
      </c>
      <c r="BK135" s="10">
        <v>0.74472590855502774</v>
      </c>
    </row>
    <row r="136" spans="1:63" x14ac:dyDescent="0.25">
      <c r="A136" s="4">
        <v>46272</v>
      </c>
      <c r="B136" s="10">
        <v>1.3089999999999902</v>
      </c>
      <c r="C136" s="10">
        <v>1.0493000000000112</v>
      </c>
      <c r="D136">
        <v>1.2289346999999999</v>
      </c>
      <c r="F136">
        <v>1.46987329</v>
      </c>
      <c r="G136">
        <v>1.0133567299999999</v>
      </c>
      <c r="H136">
        <v>1.33824331</v>
      </c>
      <c r="I136">
        <v>1.2595068899999999</v>
      </c>
      <c r="J136">
        <v>1.26933221</v>
      </c>
      <c r="K136" s="5">
        <v>0.99773075</v>
      </c>
      <c r="L136" s="5">
        <v>1.2105391999999999</v>
      </c>
      <c r="O136" s="5">
        <v>1.2177763699999999</v>
      </c>
      <c r="P136">
        <v>1.0713623999999999</v>
      </c>
      <c r="R136">
        <v>1.2448657999999999</v>
      </c>
      <c r="S136" s="10">
        <v>3.0230000000000041</v>
      </c>
      <c r="T136" s="10">
        <v>0.99750000000000572</v>
      </c>
      <c r="U136" s="10">
        <v>2.2330000000000272</v>
      </c>
      <c r="V136">
        <v>1.2303535999999999</v>
      </c>
      <c r="W136" s="10">
        <v>1.2100000000000359</v>
      </c>
      <c r="X136">
        <v>3.9592439100000001</v>
      </c>
      <c r="Y136" s="10">
        <v>1.0684999999962936</v>
      </c>
      <c r="Z136" s="10">
        <v>0.96749999999995362</v>
      </c>
      <c r="AA136" s="10">
        <v>2.7735000000000101</v>
      </c>
      <c r="AB136" s="10">
        <v>1.0000000000000455</v>
      </c>
      <c r="AC136" s="10">
        <v>3.5250000000001283</v>
      </c>
      <c r="AD136" s="10">
        <v>0.95450000000000712</v>
      </c>
      <c r="AE136" s="10">
        <v>0.85350000000005122</v>
      </c>
      <c r="AF136" s="10">
        <v>0.90750000000008424</v>
      </c>
      <c r="AI136" s="10">
        <v>0.75564851600805416</v>
      </c>
      <c r="AJ136" s="10">
        <v>0.5201542416452497</v>
      </c>
      <c r="AK136" s="10">
        <v>0.53599999999998982</v>
      </c>
      <c r="AL136" s="10">
        <v>0.73247487730761651</v>
      </c>
      <c r="AM136" s="10">
        <v>0.68268286980858472</v>
      </c>
      <c r="AN136" s="10">
        <v>0.88874035989716449</v>
      </c>
      <c r="AO136" s="10">
        <v>0.98456648749705766</v>
      </c>
      <c r="AP136" s="10">
        <v>0.90690348212197847</v>
      </c>
      <c r="AQ136" s="10">
        <v>0.86807197943444747</v>
      </c>
      <c r="AR136" s="10">
        <v>0.53729685416903228</v>
      </c>
      <c r="AS136" s="10">
        <v>0.55610469735919332</v>
      </c>
      <c r="AT136" s="10">
        <v>0.76191166160306412</v>
      </c>
      <c r="AU136" s="10">
        <v>0.80293526524897441</v>
      </c>
      <c r="AV136" s="10">
        <v>0.71024071044211046</v>
      </c>
      <c r="AX136" s="10">
        <v>0.78948352418751921</v>
      </c>
      <c r="AY136" s="10">
        <v>0.54344473007712646</v>
      </c>
      <c r="AZ136" s="10">
        <v>0.5599999999999894</v>
      </c>
      <c r="BA136" s="10">
        <v>0.76527225987362912</v>
      </c>
      <c r="BB136" s="10">
        <v>0.71325075950150651</v>
      </c>
      <c r="BC136" s="10">
        <v>0.92853470437017183</v>
      </c>
      <c r="BD136" s="10">
        <v>1.0286515541014036</v>
      </c>
      <c r="BE136" s="10">
        <v>0.9475111007244551</v>
      </c>
      <c r="BF136" s="10">
        <v>0.55987571044314943</v>
      </c>
      <c r="BG136" s="10">
        <v>0.58100490768870938</v>
      </c>
      <c r="BH136" s="10">
        <v>0.79602710913752972</v>
      </c>
      <c r="BI136" s="10">
        <v>0.90694087403599</v>
      </c>
      <c r="BJ136" s="10">
        <v>0.83888759055863005</v>
      </c>
      <c r="BK136" s="10">
        <v>0.74204253329772729</v>
      </c>
    </row>
    <row r="137" spans="1:63" x14ac:dyDescent="0.25">
      <c r="A137" s="4">
        <v>46273</v>
      </c>
      <c r="B137" s="10">
        <v>1.3099299999999987</v>
      </c>
      <c r="C137" s="10">
        <v>1.0498100000000048</v>
      </c>
      <c r="D137">
        <v>1.22905825</v>
      </c>
      <c r="F137">
        <v>1.4748975499999999</v>
      </c>
      <c r="G137">
        <v>1.01323655</v>
      </c>
      <c r="H137">
        <v>1.3382574899999999</v>
      </c>
      <c r="I137">
        <v>1.2577613400000001</v>
      </c>
      <c r="J137">
        <v>1.27103747</v>
      </c>
      <c r="K137" s="5">
        <v>0.99844274</v>
      </c>
      <c r="L137" s="5">
        <v>1.2125095699999999</v>
      </c>
      <c r="O137" s="5">
        <v>1.2177810499999999</v>
      </c>
      <c r="P137">
        <v>1.0716682</v>
      </c>
      <c r="R137">
        <v>1.2462282225646</v>
      </c>
      <c r="S137" s="10">
        <v>3.0250000000000159</v>
      </c>
      <c r="T137" s="10">
        <v>0.99819999999997644</v>
      </c>
      <c r="U137" s="10">
        <v>2.2334999999999572</v>
      </c>
      <c r="V137">
        <v>1.23</v>
      </c>
      <c r="W137" s="10">
        <v>1.2104999999999702</v>
      </c>
      <c r="X137">
        <v>3.9737443400000001</v>
      </c>
      <c r="Y137" s="10">
        <v>1.0694999999963644</v>
      </c>
      <c r="Z137" s="10">
        <v>0.96999999999235842</v>
      </c>
      <c r="AA137" s="10">
        <v>2.7760000000000189</v>
      </c>
      <c r="AB137" s="10">
        <v>1.0014999999999605</v>
      </c>
      <c r="AC137" s="10">
        <v>3.5239999999998997</v>
      </c>
      <c r="AD137" s="10">
        <v>0.95450000000009039</v>
      </c>
      <c r="AE137" s="10">
        <v>0.84910000000003027</v>
      </c>
      <c r="AF137" s="10">
        <v>0.90300000000007796</v>
      </c>
      <c r="AI137" s="10">
        <v>0.75814531725573597</v>
      </c>
      <c r="AJ137" s="10">
        <v>0.52178746488762384</v>
      </c>
      <c r="AK137" s="10">
        <v>0.53569999999996709</v>
      </c>
      <c r="AL137" s="10">
        <v>0.73293442987573354</v>
      </c>
      <c r="AM137" s="10">
        <v>0.68357878714890286</v>
      </c>
      <c r="AN137" s="10">
        <v>0.88714729571538131</v>
      </c>
      <c r="AO137" s="10">
        <v>0.98441616717398017</v>
      </c>
      <c r="AP137" s="10">
        <v>0.90897164598458791</v>
      </c>
      <c r="AQ137" s="10">
        <v>0.86914847810808415</v>
      </c>
      <c r="AR137" s="10">
        <v>0.53596272237821396</v>
      </c>
      <c r="AS137" s="10">
        <v>0.55677178646684788</v>
      </c>
      <c r="AT137" s="10">
        <v>0.76824221493812272</v>
      </c>
      <c r="AU137" s="10">
        <v>0.80555683680649848</v>
      </c>
      <c r="AV137" s="10">
        <v>0.71481532512857371</v>
      </c>
      <c r="AX137" s="10">
        <v>0.79126198782468182</v>
      </c>
      <c r="AY137" s="10">
        <v>0.54457124297751069</v>
      </c>
      <c r="AZ137" s="10">
        <v>0.55909999999996562</v>
      </c>
      <c r="BA137" s="10">
        <v>0.76494985951749594</v>
      </c>
      <c r="BB137" s="10">
        <v>0.71343830482537174</v>
      </c>
      <c r="BC137" s="10">
        <v>0.92589892296895582</v>
      </c>
      <c r="BD137" s="10">
        <v>1.0274166120346693</v>
      </c>
      <c r="BE137" s="10">
        <v>0.9486765862796025</v>
      </c>
      <c r="BF137" s="10">
        <v>0.55936546114225605</v>
      </c>
      <c r="BG137" s="10">
        <v>0.58109222664479121</v>
      </c>
      <c r="BH137" s="10">
        <v>0.80179992975901515</v>
      </c>
      <c r="BI137" s="10">
        <v>0.9071138960429902</v>
      </c>
      <c r="BJ137" s="10">
        <v>0.84074449777583227</v>
      </c>
      <c r="BK137" s="10">
        <v>0.74547121265040317</v>
      </c>
    </row>
    <row r="138" spans="1:63" x14ac:dyDescent="0.25">
      <c r="A138" s="4">
        <v>46274</v>
      </c>
      <c r="B138" s="10">
        <v>1.3104900000000006</v>
      </c>
      <c r="C138" s="10">
        <v>1.0499999999999945</v>
      </c>
      <c r="D138">
        <v>1.2284157899999999</v>
      </c>
      <c r="F138">
        <v>1.4749056899999999</v>
      </c>
      <c r="G138">
        <v>1.0115057599999999</v>
      </c>
      <c r="H138">
        <v>1.3364771</v>
      </c>
      <c r="I138">
        <v>1.25681132</v>
      </c>
      <c r="J138">
        <v>1.2679330499999999</v>
      </c>
      <c r="K138" s="5">
        <v>0.99758399999999992</v>
      </c>
      <c r="L138" s="5">
        <v>1.2110000000000001</v>
      </c>
      <c r="O138" s="5">
        <v>1.21875841</v>
      </c>
      <c r="P138">
        <v>1.0749949999999999</v>
      </c>
      <c r="R138">
        <v>1.2453557799999999</v>
      </c>
      <c r="S138" s="10">
        <v>3.0219999999999754</v>
      </c>
      <c r="T138" s="10">
        <v>0.99650000000000272</v>
      </c>
      <c r="U138" s="10">
        <v>2.2325000000000044</v>
      </c>
      <c r="V138">
        <v>1.2315876800000001</v>
      </c>
      <c r="W138" s="10">
        <v>1.2109999999999201</v>
      </c>
      <c r="X138">
        <v>3.9671134600000006</v>
      </c>
      <c r="Y138" s="10">
        <v>1.0699999999962682</v>
      </c>
      <c r="Z138" s="10">
        <v>0.96849999999997105</v>
      </c>
      <c r="AA138" s="10">
        <v>2.7754999999999983</v>
      </c>
      <c r="AB138" s="10">
        <v>0.99900000000003064</v>
      </c>
      <c r="AC138" s="10">
        <v>3.5230000000001986</v>
      </c>
      <c r="AD138" s="10">
        <v>0.95449999999996238</v>
      </c>
      <c r="AE138" s="10">
        <v>0.85750000000002236</v>
      </c>
      <c r="AF138" s="10">
        <v>0.90499999999995651</v>
      </c>
      <c r="AI138" s="10">
        <v>0.75987230303688291</v>
      </c>
      <c r="AJ138" s="10">
        <v>0.52586303411338209</v>
      </c>
      <c r="AK138" s="10">
        <v>0.5387000000000387</v>
      </c>
      <c r="AL138" s="10">
        <v>0.73467069707907573</v>
      </c>
      <c r="AM138" s="10">
        <v>0.68326443614748855</v>
      </c>
      <c r="AN138" s="10">
        <v>0.88939100430570805</v>
      </c>
      <c r="AO138" s="10">
        <v>0.9874390434074074</v>
      </c>
      <c r="AP138" s="10">
        <v>0.91283727452577379</v>
      </c>
      <c r="AQ138" s="10">
        <v>0.87252724310475682</v>
      </c>
      <c r="AR138" s="10">
        <v>0.53870000000002793</v>
      </c>
      <c r="AS138" s="10">
        <v>0.55901174211569093</v>
      </c>
      <c r="AT138" s="10">
        <v>0.76783400442222738</v>
      </c>
      <c r="AU138" s="10">
        <v>0.80680518466739115</v>
      </c>
      <c r="AV138" s="10">
        <v>0.71686657744350468</v>
      </c>
      <c r="AX138" s="10">
        <v>0.79090477132500514</v>
      </c>
      <c r="AY138" s="10">
        <v>0.54783910816158254</v>
      </c>
      <c r="AZ138" s="10">
        <v>0.56070000000004017</v>
      </c>
      <c r="BA138" s="10">
        <v>0.7646739555452714</v>
      </c>
      <c r="BB138" s="10">
        <v>0.71116831139390546</v>
      </c>
      <c r="BC138" s="10">
        <v>0.92571289421609526</v>
      </c>
      <c r="BD138" s="10">
        <v>1.0277651227743332</v>
      </c>
      <c r="BE138" s="10">
        <v>0.95011668800185889</v>
      </c>
      <c r="BF138" s="10">
        <v>0.56090000000002915</v>
      </c>
      <c r="BG138" s="10">
        <v>0.58184125450950053</v>
      </c>
      <c r="BH138" s="10">
        <v>0.79919162108695541</v>
      </c>
      <c r="BI138" s="10">
        <v>0.9081604329104086</v>
      </c>
      <c r="BJ138" s="10">
        <v>0.8402408947920571</v>
      </c>
      <c r="BK138" s="10">
        <v>0.74614273245326357</v>
      </c>
    </row>
    <row r="139" spans="1:63" x14ac:dyDescent="0.25">
      <c r="A139" s="4">
        <v>46275</v>
      </c>
      <c r="B139" s="10">
        <v>1.3116999999999934</v>
      </c>
      <c r="C139" s="10">
        <v>1.0504999999999891</v>
      </c>
      <c r="D139">
        <v>1.2302787399999999</v>
      </c>
      <c r="F139">
        <v>1.47846571</v>
      </c>
      <c r="G139">
        <v>1.0156021799999999</v>
      </c>
      <c r="H139">
        <v>1.3407502899999999</v>
      </c>
      <c r="I139">
        <v>1.2607528299999999</v>
      </c>
      <c r="J139">
        <v>1.2725215599999999</v>
      </c>
      <c r="K139" s="5">
        <v>0.99770473999999998</v>
      </c>
      <c r="L139" s="5">
        <v>1.2090000000000001</v>
      </c>
      <c r="O139" s="5">
        <v>1.2171409900000001</v>
      </c>
      <c r="P139">
        <v>1.07449996</v>
      </c>
      <c r="R139">
        <v>1.2462244</v>
      </c>
      <c r="S139" s="10">
        <v>3.0250000000000083</v>
      </c>
      <c r="T139" s="10">
        <v>0.99709999999999865</v>
      </c>
      <c r="U139" s="10">
        <v>2.2325000000000643</v>
      </c>
      <c r="V139">
        <v>1.2250563999999999</v>
      </c>
      <c r="W139" s="10">
        <v>1.209000000000042</v>
      </c>
      <c r="X139">
        <v>3.9624615599999995</v>
      </c>
      <c r="Y139" s="10">
        <v>1.0714999999966215</v>
      </c>
      <c r="Z139" s="10">
        <v>0.97249999999336922</v>
      </c>
      <c r="AA139" s="10">
        <v>2.7790000000000292</v>
      </c>
      <c r="AB139" s="10">
        <v>0.99800000000001565</v>
      </c>
      <c r="AC139" s="10">
        <v>3.5249999999998893</v>
      </c>
      <c r="AD139" s="10">
        <v>0.95549999999993984</v>
      </c>
      <c r="AE139" s="10">
        <v>0.85510000000010511</v>
      </c>
      <c r="AF139" s="10">
        <v>0.90000000000009384</v>
      </c>
      <c r="AI139" s="10">
        <v>0.75280805134141271</v>
      </c>
      <c r="AJ139" s="10">
        <v>0.52245215869309836</v>
      </c>
      <c r="AK139" s="10">
        <v>0.53500000000002845</v>
      </c>
      <c r="AL139" s="10">
        <v>0.72590198366388337</v>
      </c>
      <c r="AM139" s="10">
        <v>0.6710910151248729</v>
      </c>
      <c r="AN139" s="10">
        <v>0.88771295215888268</v>
      </c>
      <c r="AO139" s="10">
        <v>0.98675666977615339</v>
      </c>
      <c r="AP139" s="10">
        <v>0.90800175029163865</v>
      </c>
      <c r="AQ139" s="10">
        <v>0.86761143523917061</v>
      </c>
      <c r="AR139" s="10">
        <v>0.53736191697762314</v>
      </c>
      <c r="AS139" s="10">
        <v>0.55622520420067501</v>
      </c>
      <c r="AT139" s="10">
        <v>0.76273395565942037</v>
      </c>
      <c r="AU139" s="10">
        <v>0.79944107351223215</v>
      </c>
      <c r="AV139" s="10">
        <v>0.70854725787167283</v>
      </c>
      <c r="AX139" s="10">
        <v>0.78489033838923372</v>
      </c>
      <c r="AY139" s="10">
        <v>0.54471740956824355</v>
      </c>
      <c r="AZ139" s="10">
        <v>0.55780000000002972</v>
      </c>
      <c r="BA139" s="10">
        <v>0.75683761960320395</v>
      </c>
      <c r="BB139" s="10">
        <v>0.69969078175075528</v>
      </c>
      <c r="BC139" s="10">
        <v>0.92554445740976599</v>
      </c>
      <c r="BD139" s="10">
        <v>1.0272729944030203</v>
      </c>
      <c r="BE139" s="10">
        <v>0.94669789964986184</v>
      </c>
      <c r="BF139" s="10">
        <v>0.55942604944031038</v>
      </c>
      <c r="BG139" s="10">
        <v>0.57992975495913368</v>
      </c>
      <c r="BH139" s="10">
        <v>0.79523925320901812</v>
      </c>
      <c r="BI139" s="10">
        <v>0.90458627771291455</v>
      </c>
      <c r="BJ139" s="10">
        <v>0.8335107117852768</v>
      </c>
      <c r="BK139" s="10">
        <v>0.73874329054358712</v>
      </c>
    </row>
    <row r="140" spans="1:63" x14ac:dyDescent="0.25">
      <c r="A140" s="4">
        <v>46276</v>
      </c>
      <c r="B140" s="10">
        <v>1.3135000000000026</v>
      </c>
      <c r="C140" s="10">
        <v>1.0527999999999988</v>
      </c>
      <c r="D140">
        <v>1.23192268</v>
      </c>
      <c r="F140">
        <v>1.48303425</v>
      </c>
      <c r="G140">
        <v>1.0171820300000001</v>
      </c>
      <c r="H140">
        <v>1.3419946</v>
      </c>
      <c r="I140">
        <v>1.2616848199999999</v>
      </c>
      <c r="J140">
        <v>1.2753461699999999</v>
      </c>
      <c r="K140" s="5">
        <v>1.00047303</v>
      </c>
      <c r="L140" s="5">
        <v>1.2105345000000001</v>
      </c>
      <c r="O140" s="5">
        <v>1.22005713</v>
      </c>
      <c r="P140">
        <v>1.0730103600000001</v>
      </c>
      <c r="R140">
        <v>1.24903546</v>
      </c>
      <c r="S140" s="10">
        <v>3.0425000000000058</v>
      </c>
      <c r="T140" s="10">
        <v>0.9991999999999841</v>
      </c>
      <c r="U140" s="10">
        <v>2.2330000000000059</v>
      </c>
      <c r="V140">
        <v>1.23002079</v>
      </c>
      <c r="W140" s="10">
        <v>1.2104999999999722</v>
      </c>
      <c r="X140">
        <v>3.9727677400000001</v>
      </c>
      <c r="Y140" s="10">
        <v>1.072499999996146</v>
      </c>
      <c r="Z140" s="10">
        <v>0.97299999999211417</v>
      </c>
      <c r="AA140" s="10">
        <v>2.7835000000000605</v>
      </c>
      <c r="AB140" s="10">
        <v>1.0039999999999558</v>
      </c>
      <c r="AC140" s="10">
        <v>3.5280000000001173</v>
      </c>
      <c r="AD140" s="10">
        <v>0.95700000000003682</v>
      </c>
      <c r="AE140" s="10">
        <v>0.86200000000003341</v>
      </c>
      <c r="AF140" s="10">
        <v>0.90320000000008605</v>
      </c>
      <c r="AI140" s="10">
        <v>0.75298826756913839</v>
      </c>
      <c r="AJ140" s="10">
        <v>0.52337216904038131</v>
      </c>
      <c r="AK140" s="10">
        <v>0.53549999999997022</v>
      </c>
      <c r="AL140" s="10">
        <v>0.72523178846588854</v>
      </c>
      <c r="AM140" s="10">
        <v>0.6712816950251127</v>
      </c>
      <c r="AN140" s="10">
        <v>0.88520663086622919</v>
      </c>
      <c r="AO140" s="10">
        <v>0.98704290217138346</v>
      </c>
      <c r="AP140" s="10">
        <v>0.90939977819297502</v>
      </c>
      <c r="AQ140" s="10">
        <v>0.8684527200559663</v>
      </c>
      <c r="AR140" s="10">
        <v>0.54057019286968366</v>
      </c>
      <c r="AS140" s="10">
        <v>0.55700501984595341</v>
      </c>
      <c r="AT140" s="10">
        <v>0.76361574830716639</v>
      </c>
      <c r="AU140" s="10">
        <v>0.80081193088936165</v>
      </c>
      <c r="AV140" s="10">
        <v>0.70854039224334353</v>
      </c>
      <c r="AX140" s="10">
        <v>0.78307967546079027</v>
      </c>
      <c r="AY140" s="10">
        <v>0.54428750875553389</v>
      </c>
      <c r="AZ140" s="10">
        <v>0.55689999999996909</v>
      </c>
      <c r="BA140" s="10">
        <v>0.75421397384995936</v>
      </c>
      <c r="BB140" s="10">
        <v>0.69810789161435149</v>
      </c>
      <c r="BC140" s="10">
        <v>0.92058183516228398</v>
      </c>
      <c r="BD140" s="10">
        <v>1.0264877539108188</v>
      </c>
      <c r="BE140" s="10">
        <v>0.94574180480983716</v>
      </c>
      <c r="BF140" s="10">
        <v>0.56277849210989483</v>
      </c>
      <c r="BG140" s="10">
        <v>0.57926441746444712</v>
      </c>
      <c r="BH140" s="10">
        <v>0.79413185851029122</v>
      </c>
      <c r="BI140" s="10">
        <v>0.90315839364923933</v>
      </c>
      <c r="BJ140" s="10">
        <v>0.83281449918260586</v>
      </c>
      <c r="BK140" s="10">
        <v>0.73685554517332963</v>
      </c>
    </row>
    <row r="141" spans="1:63" x14ac:dyDescent="0.25">
      <c r="A141" s="4">
        <v>46279</v>
      </c>
      <c r="B141" s="10">
        <v>1.316069999999993</v>
      </c>
      <c r="C141" s="10">
        <v>1.0550000000000055</v>
      </c>
      <c r="D141">
        <v>1.2354439699999999</v>
      </c>
      <c r="F141">
        <v>1.48588655</v>
      </c>
      <c r="G141">
        <v>1.0194176500000001</v>
      </c>
      <c r="H141">
        <v>1.34450995</v>
      </c>
      <c r="I141">
        <v>1.2666343</v>
      </c>
      <c r="J141">
        <v>1.27760388</v>
      </c>
      <c r="K141" s="5">
        <v>1.0060696</v>
      </c>
      <c r="L141" s="5">
        <v>1.2153985300000001</v>
      </c>
      <c r="O141" s="5">
        <v>1.22405823</v>
      </c>
      <c r="P141">
        <v>1.0804226100000001</v>
      </c>
      <c r="R141">
        <v>1.25289889</v>
      </c>
      <c r="S141" s="10">
        <v>3.0449999999999813</v>
      </c>
      <c r="T141" s="10">
        <v>1.0064899999999881</v>
      </c>
      <c r="U141" s="10">
        <v>2.2495000000000811</v>
      </c>
      <c r="V141">
        <v>1.24151338</v>
      </c>
      <c r="W141" s="10">
        <v>1.2154999999999696</v>
      </c>
      <c r="X141">
        <v>3.9954636000000003</v>
      </c>
      <c r="Y141" s="10">
        <v>1.0794999999981763</v>
      </c>
      <c r="Z141" s="10">
        <v>0.9798999999961745</v>
      </c>
      <c r="AA141" s="10">
        <v>2.7950000000000643</v>
      </c>
      <c r="AB141" s="10">
        <v>1.010499999999956</v>
      </c>
      <c r="AC141" s="10">
        <v>3.5425000000000115</v>
      </c>
      <c r="AD141" s="10">
        <v>0.95999999999996788</v>
      </c>
      <c r="AE141" s="10">
        <v>0.86500000000014976</v>
      </c>
      <c r="AF141" s="10">
        <v>0.9084000000000978</v>
      </c>
      <c r="AI141" s="10">
        <v>0.74891777126044579</v>
      </c>
      <c r="AJ141" s="10">
        <v>0.52421114369501964</v>
      </c>
      <c r="AK141" s="10">
        <v>0.5336000000000316</v>
      </c>
      <c r="AL141" s="10">
        <v>0.7222534193550616</v>
      </c>
      <c r="AM141" s="10">
        <v>0.66660879758905534</v>
      </c>
      <c r="AN141" s="10">
        <v>0.88724618634109897</v>
      </c>
      <c r="AO141" s="10">
        <v>0.98576731964802877</v>
      </c>
      <c r="AP141" s="10">
        <v>0.91034350733125891</v>
      </c>
      <c r="AQ141" s="10">
        <v>0.86627847507325451</v>
      </c>
      <c r="AR141" s="10">
        <v>0.5382340100926859</v>
      </c>
      <c r="AS141" s="10">
        <v>0.55613325513193201</v>
      </c>
      <c r="AT141" s="10">
        <v>0.75874477419374931</v>
      </c>
      <c r="AU141" s="10">
        <v>0.79730167741935243</v>
      </c>
      <c r="AV141" s="10">
        <v>0.7053534779990922</v>
      </c>
      <c r="AX141" s="10">
        <v>0.77993554252141994</v>
      </c>
      <c r="AY141" s="10">
        <v>0.54592228739003468</v>
      </c>
      <c r="AZ141" s="10">
        <v>0.55570000000003306</v>
      </c>
      <c r="BA141" s="10">
        <v>0.75216683870990964</v>
      </c>
      <c r="BB141" s="10">
        <v>0.69421759524032622</v>
      </c>
      <c r="BC141" s="10">
        <v>0.92382680122022975</v>
      </c>
      <c r="BD141" s="10">
        <v>1.02659463929612</v>
      </c>
      <c r="BE141" s="10">
        <v>0.94804701466263241</v>
      </c>
      <c r="BF141" s="10">
        <v>0.56075842235001372</v>
      </c>
      <c r="BG141" s="10">
        <v>0.57916651026389543</v>
      </c>
      <c r="BH141" s="10">
        <v>0.79016954838730602</v>
      </c>
      <c r="BI141" s="10">
        <v>0.90215695014656594</v>
      </c>
      <c r="BJ141" s="10">
        <v>0.83032335483870723</v>
      </c>
      <c r="BK141" s="10">
        <v>0.73456695600467681</v>
      </c>
    </row>
    <row r="142" spans="1:63" x14ac:dyDescent="0.25">
      <c r="A142" s="4">
        <v>46280</v>
      </c>
      <c r="B142" s="10">
        <v>1.3173000000000048</v>
      </c>
      <c r="C142" s="10">
        <v>1.055950000000009</v>
      </c>
      <c r="D142">
        <v>1.2365159999999999</v>
      </c>
      <c r="F142">
        <v>1.48790837</v>
      </c>
      <c r="G142">
        <v>1.02044128</v>
      </c>
      <c r="H142">
        <v>1.34564097</v>
      </c>
      <c r="I142">
        <v>1.26531796</v>
      </c>
      <c r="J142">
        <v>1.2780193399999999</v>
      </c>
      <c r="K142" s="5">
        <v>1.0074688599999999</v>
      </c>
      <c r="L142" s="5">
        <v>1.22277905</v>
      </c>
      <c r="O142" s="5">
        <v>1.2258720400000001</v>
      </c>
      <c r="P142">
        <v>1.0821337499999999</v>
      </c>
      <c r="R142">
        <v>1.2540483200000001</v>
      </c>
      <c r="S142" s="10">
        <v>3.047000000000037</v>
      </c>
      <c r="T142" s="10">
        <v>1.0075000000000081</v>
      </c>
      <c r="U142" s="10">
        <v>2.2529999999999681</v>
      </c>
      <c r="V142">
        <v>1.24550297</v>
      </c>
      <c r="W142" s="10">
        <v>1.2220000000000029</v>
      </c>
      <c r="X142">
        <v>4.0055003100000004</v>
      </c>
      <c r="Y142" s="10">
        <v>1.0844999999989762</v>
      </c>
      <c r="Z142" s="10">
        <v>0.98499999999783905</v>
      </c>
      <c r="AA142" s="10">
        <v>2.8039999999999963</v>
      </c>
      <c r="AB142" s="10">
        <v>1.0115000000000631</v>
      </c>
      <c r="AC142" s="10">
        <v>3.5484999999998235</v>
      </c>
      <c r="AD142" s="10">
        <v>0.96099999999999541</v>
      </c>
      <c r="AE142" s="10">
        <v>0.86389999999996803</v>
      </c>
      <c r="AF142" s="10">
        <v>0.91119999999991008</v>
      </c>
      <c r="AI142" s="10">
        <v>0.74299779472045269</v>
      </c>
      <c r="AJ142" s="10">
        <v>0.52265748973605097</v>
      </c>
      <c r="AK142" s="10">
        <v>0.53470000000001816</v>
      </c>
      <c r="AL142" s="10">
        <v>0.71941454545481354</v>
      </c>
      <c r="AM142" s="10">
        <v>0.67030368323017075</v>
      </c>
      <c r="AN142" s="10">
        <v>0.88794696774184789</v>
      </c>
      <c r="AO142" s="10">
        <v>0.98723495601176847</v>
      </c>
      <c r="AP142" s="10">
        <v>0.90933496774193912</v>
      </c>
      <c r="AQ142" s="10">
        <v>0.86806428152497517</v>
      </c>
      <c r="AR142" s="10">
        <v>0.54046833958728047</v>
      </c>
      <c r="AS142" s="10">
        <v>0.55608800000000291</v>
      </c>
      <c r="AT142" s="10">
        <v>0.75654561876828741</v>
      </c>
      <c r="AU142" s="10">
        <v>0.79399029912034425</v>
      </c>
      <c r="AV142" s="10">
        <v>0.70743475659244337</v>
      </c>
      <c r="AX142" s="10">
        <v>0.77301229325413856</v>
      </c>
      <c r="AY142" s="10">
        <v>0.54377101466273658</v>
      </c>
      <c r="AZ142" s="10">
        <v>0.55630000000001889</v>
      </c>
      <c r="BA142" s="10">
        <v>0.74847636363664249</v>
      </c>
      <c r="BB142" s="10">
        <v>0.69738159525143817</v>
      </c>
      <c r="BC142" s="10">
        <v>0.9238169032257153</v>
      </c>
      <c r="BD142" s="10">
        <v>1.0271157771261397</v>
      </c>
      <c r="BE142" s="10">
        <v>0.94606890322581028</v>
      </c>
      <c r="BF142" s="10">
        <v>0.56240243902443021</v>
      </c>
      <c r="BG142" s="10">
        <v>0.57855200000000306</v>
      </c>
      <c r="BH142" s="10">
        <v>0.78710740175948812</v>
      </c>
      <c r="BI142" s="10">
        <v>0.90313102639301246</v>
      </c>
      <c r="BJ142" s="10">
        <v>0.82606471554263605</v>
      </c>
      <c r="BK142" s="10">
        <v>0.73601263342505385</v>
      </c>
    </row>
    <row r="143" spans="1:63" x14ac:dyDescent="0.25">
      <c r="A143" s="4">
        <v>46281</v>
      </c>
      <c r="B143" s="10">
        <v>1.3188500000000039</v>
      </c>
      <c r="C143" s="10">
        <v>1.0568500000000096</v>
      </c>
      <c r="D143">
        <v>1.2379524099999999</v>
      </c>
      <c r="F143">
        <v>1.4886435099999999</v>
      </c>
      <c r="G143">
        <v>1.02140539</v>
      </c>
      <c r="H143">
        <v>1.3460999</v>
      </c>
      <c r="I143">
        <v>1.2667624900000001</v>
      </c>
      <c r="J143">
        <v>1.2794401099999999</v>
      </c>
      <c r="K143" s="5">
        <v>1.0089119499999999</v>
      </c>
      <c r="L143" s="5">
        <v>1.22891895</v>
      </c>
      <c r="O143" s="5">
        <v>1.22719931</v>
      </c>
      <c r="P143">
        <v>1.08499287</v>
      </c>
      <c r="R143">
        <v>1.25687583</v>
      </c>
      <c r="S143" s="10">
        <v>3.0500000000000047</v>
      </c>
      <c r="T143" s="10">
        <v>1.0089999999999808</v>
      </c>
      <c r="U143" s="10">
        <v>2.2595000000000058</v>
      </c>
      <c r="V143">
        <v>1.2507881199999999</v>
      </c>
      <c r="W143" s="10">
        <v>1.2374999999999945</v>
      </c>
      <c r="X143">
        <v>4.0296776000000003</v>
      </c>
      <c r="Y143" s="10">
        <v>1.0869999999992119</v>
      </c>
      <c r="Z143" s="10">
        <v>0.98849999999848026</v>
      </c>
      <c r="AA143" s="10">
        <v>2.8100000000000529</v>
      </c>
      <c r="AB143" s="10">
        <v>1.0094999999999192</v>
      </c>
      <c r="AC143" s="10">
        <v>3.548500000000069</v>
      </c>
      <c r="AD143" s="10">
        <v>0.96130000000001614</v>
      </c>
      <c r="AE143" s="10">
        <v>0.86499999999993671</v>
      </c>
      <c r="AF143" s="10">
        <v>0.90700000000004455</v>
      </c>
      <c r="AI143" s="10">
        <v>0.74426393673019542</v>
      </c>
      <c r="AJ143" s="10">
        <v>0.5207155711775342</v>
      </c>
      <c r="AK143" s="10">
        <v>0.53429999999998545</v>
      </c>
      <c r="AL143" s="10">
        <v>0.7167820738137588</v>
      </c>
      <c r="AM143" s="10">
        <v>0.66532400695566773</v>
      </c>
      <c r="AN143" s="10">
        <v>0.88680653778581042</v>
      </c>
      <c r="AO143" s="10">
        <v>0.98534059753949288</v>
      </c>
      <c r="AP143" s="10">
        <v>0.90902991212666295</v>
      </c>
      <c r="AQ143" s="10">
        <v>0.86452056239004083</v>
      </c>
      <c r="AR143" s="10">
        <v>0.5390205086136618</v>
      </c>
      <c r="AS143" s="10">
        <v>0.55452014059749077</v>
      </c>
      <c r="AT143" s="10">
        <v>0.75647114235498802</v>
      </c>
      <c r="AU143" s="10">
        <v>0.79237892886434491</v>
      </c>
      <c r="AV143" s="10">
        <v>0.70520087872732429</v>
      </c>
      <c r="AX143" s="10">
        <v>0.77323771528903507</v>
      </c>
      <c r="AY143" s="10">
        <v>0.5409867369654674</v>
      </c>
      <c r="AZ143" s="10">
        <v>0.55509999999998461</v>
      </c>
      <c r="BA143" s="10">
        <v>0.74468599882840636</v>
      </c>
      <c r="BB143" s="10">
        <v>0.69122469822401489</v>
      </c>
      <c r="BC143" s="10">
        <v>0.92132942003537965</v>
      </c>
      <c r="BD143" s="10">
        <v>1.0236993555945582</v>
      </c>
      <c r="BE143" s="10">
        <v>0.9444179379028832</v>
      </c>
      <c r="BF143" s="10">
        <v>0.56051271534048874</v>
      </c>
      <c r="BG143" s="10">
        <v>0.57610729935554372</v>
      </c>
      <c r="BH143" s="10">
        <v>0.78592014059751791</v>
      </c>
      <c r="BI143" s="10">
        <v>0.89817586408892292</v>
      </c>
      <c r="BJ143" s="10">
        <v>0.82397322161015263</v>
      </c>
      <c r="BK143" s="10">
        <v>0.73265395429821767</v>
      </c>
    </row>
    <row r="144" spans="1:63" x14ac:dyDescent="0.25">
      <c r="A144" s="4">
        <v>46282</v>
      </c>
      <c r="B144" s="10">
        <v>1.3215999999999994</v>
      </c>
      <c r="C144" s="10">
        <v>1.0587999999999993</v>
      </c>
      <c r="D144">
        <v>1.2397538800000001</v>
      </c>
      <c r="F144">
        <v>1.49184129</v>
      </c>
      <c r="G144">
        <v>1.0235362400000001</v>
      </c>
      <c r="H144">
        <v>1.3498274699999999</v>
      </c>
      <c r="I144">
        <v>1.26914003</v>
      </c>
      <c r="J144">
        <v>1.28144792</v>
      </c>
      <c r="K144" s="5">
        <v>1.01114254</v>
      </c>
      <c r="L144" s="5">
        <v>1.23183869</v>
      </c>
      <c r="O144" s="5">
        <v>1.22855866</v>
      </c>
      <c r="P144">
        <v>1.08743849</v>
      </c>
      <c r="R144">
        <v>1.25794154</v>
      </c>
      <c r="S144" s="10">
        <v>3.0559999999999494</v>
      </c>
      <c r="T144" s="10">
        <v>1.0119999999999989</v>
      </c>
      <c r="U144" s="10">
        <v>2.2655000000000269</v>
      </c>
      <c r="V144">
        <v>1.2501676100000001</v>
      </c>
      <c r="W144" s="10">
        <v>1.2324999999999775</v>
      </c>
      <c r="X144">
        <v>4.04088227</v>
      </c>
      <c r="Y144" s="10">
        <v>1.0899999999994114</v>
      </c>
      <c r="Z144" s="10">
        <v>0.994999999999303</v>
      </c>
      <c r="AA144" s="10">
        <v>2.8165000000001545</v>
      </c>
      <c r="AB144" s="10">
        <v>1.0125000000000073</v>
      </c>
      <c r="AC144" s="10">
        <v>3.5529999999999831</v>
      </c>
      <c r="AD144" s="10">
        <v>0.96549999999992053</v>
      </c>
      <c r="AE144" s="10">
        <v>0.86050000000003546</v>
      </c>
      <c r="AF144" s="10">
        <v>0.91000000000006009</v>
      </c>
      <c r="AI144" s="10">
        <v>0.74661524926616396</v>
      </c>
      <c r="AJ144" s="10">
        <v>0.5215073313783074</v>
      </c>
      <c r="AK144" s="10">
        <v>0.53499999999999681</v>
      </c>
      <c r="AL144" s="10">
        <v>0.71746056338024855</v>
      </c>
      <c r="AM144" s="10">
        <v>0.6623958943381214</v>
      </c>
      <c r="AN144" s="10">
        <v>0.88769208211135076</v>
      </c>
      <c r="AO144" s="10">
        <v>0.98647096774199139</v>
      </c>
      <c r="AP144" s="10">
        <v>0.91122580645147411</v>
      </c>
      <c r="AQ144" s="10">
        <v>0.86855131964816001</v>
      </c>
      <c r="AR144" s="10">
        <v>0.54284457478008052</v>
      </c>
      <c r="AS144" s="10">
        <v>0.55570967741929167</v>
      </c>
      <c r="AT144" s="10">
        <v>0.75370674486808953</v>
      </c>
      <c r="AU144" s="10">
        <v>0.7950633431084887</v>
      </c>
      <c r="AV144" s="10">
        <v>0.70454225351352873</v>
      </c>
      <c r="AX144" s="10">
        <v>0.7756425337236148</v>
      </c>
      <c r="AY144" s="10">
        <v>0.54178275659824904</v>
      </c>
      <c r="AZ144" s="10">
        <v>0.55579999999999663</v>
      </c>
      <c r="BA144" s="10">
        <v>0.74657218309855711</v>
      </c>
      <c r="BB144" s="10">
        <v>0.68814885621145394</v>
      </c>
      <c r="BC144" s="10">
        <v>0.92220422287381065</v>
      </c>
      <c r="BD144" s="10">
        <v>1.0248234838710257</v>
      </c>
      <c r="BE144" s="10">
        <v>0.9466529032256622</v>
      </c>
      <c r="BF144" s="10">
        <v>0.56394956011732467</v>
      </c>
      <c r="BG144" s="10">
        <v>0.57731483870961176</v>
      </c>
      <c r="BH144" s="10">
        <v>0.78300973607043756</v>
      </c>
      <c r="BI144" s="10">
        <v>0.90231929618775197</v>
      </c>
      <c r="BJ144" s="10">
        <v>0.82597421700878126</v>
      </c>
      <c r="BK144" s="10">
        <v>0.7328556337949137</v>
      </c>
    </row>
    <row r="145" spans="1:63" x14ac:dyDescent="0.25">
      <c r="A145" s="4">
        <v>46283</v>
      </c>
      <c r="B145" s="10">
        <v>1.3229999999999915</v>
      </c>
      <c r="C145" s="10">
        <v>1.0596999999999936</v>
      </c>
      <c r="D145">
        <v>1.2423725800000001</v>
      </c>
      <c r="F145">
        <v>1.49517514</v>
      </c>
      <c r="G145">
        <v>1.0260089699999999</v>
      </c>
      <c r="H145">
        <v>1.35145396</v>
      </c>
      <c r="I145">
        <v>1.2733092399999999</v>
      </c>
      <c r="J145">
        <v>1.28285122</v>
      </c>
      <c r="K145" s="5">
        <v>1.0129376000000001</v>
      </c>
      <c r="L145" s="5">
        <v>1.2382925</v>
      </c>
      <c r="O145" s="5">
        <v>1.23204487</v>
      </c>
      <c r="P145">
        <v>1.09631334</v>
      </c>
      <c r="R145">
        <v>1.2604560199999999</v>
      </c>
      <c r="S145" s="10">
        <v>3.0619999999999896</v>
      </c>
      <c r="T145" s="10">
        <v>1.0129900000000052</v>
      </c>
      <c r="U145" s="10">
        <v>2.2689999999999717</v>
      </c>
      <c r="V145">
        <v>1.2505011100000001</v>
      </c>
      <c r="W145" s="10">
        <v>1.2304999999999611</v>
      </c>
      <c r="X145">
        <v>4.06846934</v>
      </c>
      <c r="Y145" s="10">
        <v>1.0924999999994582</v>
      </c>
      <c r="Z145" s="10">
        <v>0.99449999999906813</v>
      </c>
      <c r="AA145" s="10">
        <v>2.8230000000000439</v>
      </c>
      <c r="AB145" s="10">
        <v>1.0119999999999667</v>
      </c>
      <c r="AC145" s="10">
        <v>3.5565000000000593</v>
      </c>
      <c r="AD145" s="10">
        <v>0.96450000000004321</v>
      </c>
      <c r="AE145" s="10">
        <v>0.86299999999993471</v>
      </c>
      <c r="AF145" s="10">
        <v>0.91549999999991882</v>
      </c>
      <c r="AI145" s="10">
        <v>0.73939472450031074</v>
      </c>
      <c r="AJ145" s="10">
        <v>0.51991433262960063</v>
      </c>
      <c r="AK145" s="10">
        <v>0.53349999999994335</v>
      </c>
      <c r="AL145" s="10">
        <v>0.71106230949603966</v>
      </c>
      <c r="AM145" s="10">
        <v>0.65802502918197914</v>
      </c>
      <c r="AN145" s="10">
        <v>0.88812426729197258</v>
      </c>
      <c r="AO145" s="10">
        <v>0.98769425556859713</v>
      </c>
      <c r="AP145" s="10">
        <v>0.91007719812425891</v>
      </c>
      <c r="AQ145" s="10">
        <v>0.866233880422146</v>
      </c>
      <c r="AR145" s="10">
        <v>0.53600175849939002</v>
      </c>
      <c r="AS145" s="10">
        <v>0.55226318874560454</v>
      </c>
      <c r="AT145" s="10">
        <v>0.75052754982416037</v>
      </c>
      <c r="AU145" s="10">
        <v>0.79055568581469926</v>
      </c>
      <c r="AV145" s="10">
        <v>0.70049237982512769</v>
      </c>
      <c r="AX145" s="10">
        <v>0.76849929659872984</v>
      </c>
      <c r="AY145" s="10">
        <v>0.54077719915552114</v>
      </c>
      <c r="AZ145" s="10">
        <v>0.55449999999994115</v>
      </c>
      <c r="BA145" s="10">
        <v>0.7390516412662681</v>
      </c>
      <c r="BB145" s="10">
        <v>0.68392667044312561</v>
      </c>
      <c r="BC145" s="10">
        <v>0.92308323563898564</v>
      </c>
      <c r="BD145" s="10">
        <v>1.0265725674091606</v>
      </c>
      <c r="BE145" s="10">
        <v>0.94590029308322698</v>
      </c>
      <c r="BF145" s="10">
        <v>0.55710023446656376</v>
      </c>
      <c r="BG145" s="10">
        <v>0.57400175849941482</v>
      </c>
      <c r="BH145" s="10">
        <v>0.78007033997656405</v>
      </c>
      <c r="BI145" s="10">
        <v>0.90033118405638235</v>
      </c>
      <c r="BJ145" s="10">
        <v>0.82167409144189463</v>
      </c>
      <c r="BK145" s="10">
        <v>0.7280656506336145</v>
      </c>
    </row>
    <row r="146" spans="1:63" x14ac:dyDescent="0.25">
      <c r="A146" s="4">
        <v>46286</v>
      </c>
      <c r="B146" s="10">
        <v>1.3244999999999971</v>
      </c>
      <c r="C146" s="10">
        <v>1.0604000000000007</v>
      </c>
      <c r="D146">
        <v>1.24243803</v>
      </c>
      <c r="F146">
        <v>1.49389584</v>
      </c>
      <c r="G146">
        <v>1.0249857200000001</v>
      </c>
      <c r="H146">
        <v>1.3505734700000001</v>
      </c>
      <c r="I146">
        <v>1.2723530999999999</v>
      </c>
      <c r="J146">
        <v>1.28300897</v>
      </c>
      <c r="K146" s="5">
        <v>1.0114465399999999</v>
      </c>
      <c r="L146" s="5">
        <v>1.2340932099999999</v>
      </c>
      <c r="O146" s="5">
        <v>1.2316546799999999</v>
      </c>
      <c r="P146">
        <v>1.0946988600000001</v>
      </c>
      <c r="R146">
        <v>1.26070404</v>
      </c>
      <c r="S146" s="10">
        <v>3.06099999999998</v>
      </c>
      <c r="T146" s="10">
        <v>1.0114999999999863</v>
      </c>
      <c r="U146" s="10">
        <v>2.2669999999999919</v>
      </c>
      <c r="V146">
        <v>1.2535023700000001</v>
      </c>
      <c r="W146" s="10">
        <v>1.2349999999999519</v>
      </c>
      <c r="X146">
        <v>4.0488869200000002</v>
      </c>
      <c r="Y146" s="10">
        <v>1.0894999999990755</v>
      </c>
      <c r="Z146" s="10">
        <v>0.98749999999740767</v>
      </c>
      <c r="AA146" s="10">
        <v>2.8189999999999218</v>
      </c>
      <c r="AB146" s="10">
        <v>1.0099999999999976</v>
      </c>
      <c r="AC146" s="10">
        <v>3.5524999999998057</v>
      </c>
      <c r="AD146" s="10">
        <v>0.96199999999991304</v>
      </c>
      <c r="AE146" s="10">
        <v>0.8585999999999594</v>
      </c>
      <c r="AF146" s="10">
        <v>0.90869999999988105</v>
      </c>
      <c r="AI146" s="10">
        <v>0.73548989423987665</v>
      </c>
      <c r="AJ146" s="10">
        <v>0.51922091656878122</v>
      </c>
      <c r="AK146" s="10">
        <v>0.5329999999999544</v>
      </c>
      <c r="AL146" s="10">
        <v>0.70655381903631498</v>
      </c>
      <c r="AM146" s="10">
        <v>0.65406803744047193</v>
      </c>
      <c r="AN146" s="10">
        <v>0.88286345475897443</v>
      </c>
      <c r="AO146" s="10">
        <v>0.98770975323145493</v>
      </c>
      <c r="AP146" s="10">
        <v>0.90822949471209358</v>
      </c>
      <c r="AQ146" s="10">
        <v>0.86313431257360884</v>
      </c>
      <c r="AR146" s="10">
        <v>0.53400270429153507</v>
      </c>
      <c r="AS146" s="10">
        <v>0.55147649823742062</v>
      </c>
      <c r="AT146" s="10">
        <v>0.74782843713274172</v>
      </c>
      <c r="AU146" s="10">
        <v>0.78666039952985645</v>
      </c>
      <c r="AV146" s="10">
        <v>0.69540528788166522</v>
      </c>
      <c r="AX146" s="10">
        <v>0.76529586368749647</v>
      </c>
      <c r="AY146" s="10">
        <v>0.54026251468864184</v>
      </c>
      <c r="AZ146" s="10">
        <v>0.55459999999995269</v>
      </c>
      <c r="BA146" s="10">
        <v>0.73518714453572298</v>
      </c>
      <c r="BB146" s="10">
        <v>0.68057435940804101</v>
      </c>
      <c r="BC146" s="10">
        <v>0.91864178613382241</v>
      </c>
      <c r="BD146" s="10">
        <v>1.0277370152761069</v>
      </c>
      <c r="BE146" s="10">
        <v>0.94503579318447872</v>
      </c>
      <c r="BF146" s="10">
        <v>0.55614427983533044</v>
      </c>
      <c r="BG146" s="10">
        <v>0.57382526439488457</v>
      </c>
      <c r="BH146" s="10">
        <v>0.77813443008221139</v>
      </c>
      <c r="BI146" s="10">
        <v>0.89811311398372151</v>
      </c>
      <c r="BJ146" s="10">
        <v>0.81854007050517541</v>
      </c>
      <c r="BK146" s="10">
        <v>0.72358681549563153</v>
      </c>
    </row>
    <row r="147" spans="1:63" x14ac:dyDescent="0.25">
      <c r="A147" s="4">
        <v>46287</v>
      </c>
      <c r="B147" s="10">
        <v>1.3240999999999901</v>
      </c>
      <c r="C147" s="10">
        <v>1.0606699999999867</v>
      </c>
      <c r="D147">
        <v>1.2424581299999999</v>
      </c>
      <c r="F147">
        <v>1.4940571</v>
      </c>
      <c r="G147">
        <v>1.0253491100000001</v>
      </c>
      <c r="H147">
        <v>1.3507939900000001</v>
      </c>
      <c r="I147">
        <v>1.2718339400000001</v>
      </c>
      <c r="J147">
        <v>1.28149376</v>
      </c>
      <c r="K147" s="5">
        <v>1.01226349</v>
      </c>
      <c r="L147" s="5">
        <v>1.2315646899999999</v>
      </c>
      <c r="O147" s="5">
        <v>1.2316048500000001</v>
      </c>
      <c r="P147">
        <v>1.08999808</v>
      </c>
      <c r="R147">
        <v>1.2606395699999999</v>
      </c>
      <c r="S147" s="10">
        <v>3.0625000000000107</v>
      </c>
      <c r="T147" s="10">
        <v>1.0115000000000116</v>
      </c>
      <c r="U147" s="10">
        <v>2.2669999999999391</v>
      </c>
      <c r="V147">
        <v>1.25192474</v>
      </c>
      <c r="W147" s="10">
        <v>1.2425000000000168</v>
      </c>
      <c r="X147">
        <v>4.0369820399999998</v>
      </c>
      <c r="Y147" s="10">
        <v>1.0899999999990058</v>
      </c>
      <c r="Z147" s="10">
        <v>0.98499999999608112</v>
      </c>
      <c r="AA147" s="10">
        <v>2.8129999999999864</v>
      </c>
      <c r="AB147" s="10">
        <v>1.0089999999999579</v>
      </c>
      <c r="AC147" s="10">
        <v>3.5450000000001927</v>
      </c>
      <c r="AD147" s="10">
        <v>0.9594999999999978</v>
      </c>
      <c r="AE147" s="10">
        <v>0.85999999999994314</v>
      </c>
      <c r="AF147" s="10">
        <v>0.90749999999993436</v>
      </c>
      <c r="AI147" s="10">
        <v>0.72431603773075426</v>
      </c>
      <c r="AJ147" s="10">
        <v>0.51620005896225041</v>
      </c>
      <c r="AK147" s="10">
        <v>0.52949999999999131</v>
      </c>
      <c r="AL147" s="10">
        <v>0.69521851415101421</v>
      </c>
      <c r="AM147" s="10">
        <v>0.64564032992239062</v>
      </c>
      <c r="AN147" s="10">
        <v>0.86986609669799475</v>
      </c>
      <c r="AO147" s="10">
        <v>0.98344634433959099</v>
      </c>
      <c r="AP147" s="10">
        <v>0.90221055424522933</v>
      </c>
      <c r="AQ147" s="10">
        <v>0.84963520047172625</v>
      </c>
      <c r="AR147" s="10">
        <v>0.54011497641503925</v>
      </c>
      <c r="AS147" s="10">
        <v>0.54873183962265981</v>
      </c>
      <c r="AT147" s="10">
        <v>0.73842771226395199</v>
      </c>
      <c r="AU147" s="10">
        <v>0.77620454009419437</v>
      </c>
      <c r="AV147" s="10">
        <v>0.6896612617705048</v>
      </c>
      <c r="AX147" s="10">
        <v>0.75495754716450081</v>
      </c>
      <c r="AY147" s="10">
        <v>0.53803741745281575</v>
      </c>
      <c r="AZ147" s="10">
        <v>0.55189999999999073</v>
      </c>
      <c r="BA147" s="10">
        <v>0.72462908018875294</v>
      </c>
      <c r="BB147" s="10">
        <v>0.67295353745829511</v>
      </c>
      <c r="BC147" s="10">
        <v>0.90666496462251789</v>
      </c>
      <c r="BD147" s="10">
        <v>1.0250501179244951</v>
      </c>
      <c r="BE147" s="10">
        <v>0.94037772405654763</v>
      </c>
      <c r="BF147" s="10">
        <v>0.56296403301881037</v>
      </c>
      <c r="BG147" s="10">
        <v>0.57194542452832087</v>
      </c>
      <c r="BH147" s="10">
        <v>0.76966620282998111</v>
      </c>
      <c r="BI147" s="10">
        <v>0.88557821933965175</v>
      </c>
      <c r="BJ147" s="10">
        <v>0.80904114386777293</v>
      </c>
      <c r="BK147" s="10">
        <v>0.71883673346768928</v>
      </c>
    </row>
    <row r="148" spans="1:63" x14ac:dyDescent="0.25">
      <c r="A148" s="4">
        <v>46288</v>
      </c>
      <c r="B148" s="10">
        <v>1.3243999999999927</v>
      </c>
      <c r="C148" s="10">
        <v>1.0609999999999979</v>
      </c>
      <c r="D148">
        <v>1.2429414299999999</v>
      </c>
      <c r="F148">
        <v>1.4939936199999999</v>
      </c>
      <c r="G148">
        <v>1.0240504800000001</v>
      </c>
      <c r="H148">
        <v>1.3492921600000001</v>
      </c>
      <c r="I148">
        <v>1.26972865</v>
      </c>
      <c r="J148">
        <v>1.2815449699999999</v>
      </c>
      <c r="K148" s="5">
        <v>1.0113740099999999</v>
      </c>
      <c r="L148" s="5">
        <v>1.2301632499999999</v>
      </c>
      <c r="O148" s="5">
        <v>1.2308570400000001</v>
      </c>
      <c r="P148">
        <v>1.09026702</v>
      </c>
      <c r="R148">
        <v>1.26129709</v>
      </c>
      <c r="S148" s="10">
        <v>3.0625000000000013</v>
      </c>
      <c r="T148" s="10">
        <v>1.0125000000000015</v>
      </c>
      <c r="U148" s="10">
        <v>2.2659999999999672</v>
      </c>
      <c r="V148">
        <v>1.2503633599999999</v>
      </c>
      <c r="W148" s="10">
        <v>1.2400000000000349</v>
      </c>
      <c r="X148">
        <v>4.03251793</v>
      </c>
      <c r="Y148" s="10">
        <v>1.0869999999983242</v>
      </c>
      <c r="Z148" s="10">
        <v>0.98499999999575338</v>
      </c>
      <c r="AA148" s="10">
        <v>2.7990000000000146</v>
      </c>
      <c r="AB148" s="10">
        <v>1.0059999999999585</v>
      </c>
      <c r="AC148" s="10">
        <v>3.5314999999999919</v>
      </c>
      <c r="AD148" s="10">
        <v>0.95499999999999874</v>
      </c>
      <c r="AE148" s="10">
        <v>0.85399999999998955</v>
      </c>
      <c r="AF148" s="10">
        <v>0.90300000000001757</v>
      </c>
      <c r="AI148" s="10">
        <v>0.71248755200268254</v>
      </c>
      <c r="AJ148" s="10">
        <v>0.51261462544592129</v>
      </c>
      <c r="AK148" s="10">
        <v>0.52320000000002953</v>
      </c>
      <c r="AL148" s="10">
        <v>0.68082558554265449</v>
      </c>
      <c r="AM148" s="10">
        <v>0.63927314192605988</v>
      </c>
      <c r="AN148" s="10">
        <v>0.85313137557940588</v>
      </c>
      <c r="AO148" s="10">
        <v>0.98220520746644524</v>
      </c>
      <c r="AP148" s="10">
        <v>0.88889882296992095</v>
      </c>
      <c r="AQ148" s="10">
        <v>0.83913541790506807</v>
      </c>
      <c r="AR148" s="10">
        <v>0.5307112960761059</v>
      </c>
      <c r="AS148" s="10">
        <v>0.54434944715249256</v>
      </c>
      <c r="AT148" s="10">
        <v>0.72903388419936266</v>
      </c>
      <c r="AU148" s="10">
        <v>0.76828476994399797</v>
      </c>
      <c r="AV148" s="10">
        <v>0.68076338124857638</v>
      </c>
      <c r="AX148" s="10">
        <v>0.74285542740340849</v>
      </c>
      <c r="AY148" s="10">
        <v>0.53466783590965594</v>
      </c>
      <c r="AZ148" s="10">
        <v>0.54550000000003074</v>
      </c>
      <c r="BA148" s="10">
        <v>0.70984395434540903</v>
      </c>
      <c r="BB148" s="10">
        <v>0.6665204490073886</v>
      </c>
      <c r="BC148" s="10">
        <v>0.88949381761958324</v>
      </c>
      <c r="BD148" s="10">
        <v>1.0240690762097591</v>
      </c>
      <c r="BE148" s="10">
        <v>0.92678575674711761</v>
      </c>
      <c r="BF148" s="10">
        <v>0.55344156956005397</v>
      </c>
      <c r="BG148" s="10">
        <v>0.56755088574481027</v>
      </c>
      <c r="BH148" s="10">
        <v>0.7601070027346184</v>
      </c>
      <c r="BI148" s="10">
        <v>0.87490131970033391</v>
      </c>
      <c r="BJ148" s="10">
        <v>0.80103085245499017</v>
      </c>
      <c r="BK148" s="10">
        <v>0.70977909875974476</v>
      </c>
    </row>
    <row r="149" spans="1:63" x14ac:dyDescent="0.25">
      <c r="A149" s="4">
        <v>46289</v>
      </c>
      <c r="B149" s="10">
        <v>1.3241999999999892</v>
      </c>
      <c r="C149" s="10">
        <v>1.0620999999999947</v>
      </c>
      <c r="D149">
        <v>1.2441817799999999</v>
      </c>
      <c r="F149">
        <v>1.49460317</v>
      </c>
      <c r="G149">
        <v>1.02456668</v>
      </c>
      <c r="H149">
        <v>1.3479110400000001</v>
      </c>
      <c r="I149">
        <v>1.2679350199999999</v>
      </c>
      <c r="J149">
        <v>1.2796838800000001</v>
      </c>
      <c r="K149" s="5">
        <v>1.01355576</v>
      </c>
      <c r="L149" s="5">
        <v>1.2290459600000001</v>
      </c>
      <c r="O149" s="5">
        <v>1.23299767</v>
      </c>
      <c r="P149">
        <v>1.0917816499999999</v>
      </c>
      <c r="R149">
        <v>1.2624856600000001</v>
      </c>
      <c r="S149" s="10">
        <v>3.0664999999999965</v>
      </c>
      <c r="T149" s="10">
        <v>1.0148999999999895</v>
      </c>
      <c r="U149" s="10">
        <v>2.2664999999999433</v>
      </c>
      <c r="V149">
        <v>1.2430008400000001</v>
      </c>
      <c r="W149" s="10">
        <v>1.2219999999999676</v>
      </c>
      <c r="X149">
        <v>4.0260275500000002</v>
      </c>
      <c r="Y149" s="10">
        <v>1.084999999997734</v>
      </c>
      <c r="Z149" s="10">
        <v>0.98349999999456572</v>
      </c>
      <c r="AA149" s="10">
        <v>2.8020000000000977</v>
      </c>
      <c r="AB149" s="10">
        <v>1.0079999999999665</v>
      </c>
      <c r="AC149" s="10">
        <v>3.5280000000003597</v>
      </c>
      <c r="AD149" s="10">
        <v>0.9530000000000165</v>
      </c>
      <c r="AE149" s="10">
        <v>0.85300000000004061</v>
      </c>
      <c r="AF149" s="10">
        <v>0.90290000000004189</v>
      </c>
      <c r="AI149" s="10">
        <v>0.70499678913224118</v>
      </c>
      <c r="AJ149" s="10">
        <v>0.51247128077053983</v>
      </c>
      <c r="AK149" s="10">
        <v>0.52139999999997955</v>
      </c>
      <c r="AL149" s="10">
        <v>0.67467634677143085</v>
      </c>
      <c r="AM149" s="10">
        <v>0.62990874063511948</v>
      </c>
      <c r="AN149" s="10">
        <v>0.84974535935246709</v>
      </c>
      <c r="AO149" s="10">
        <v>0.98153906528710277</v>
      </c>
      <c r="AP149" s="10">
        <v>0.88586535854433979</v>
      </c>
      <c r="AQ149" s="10">
        <v>0.82516246878348265</v>
      </c>
      <c r="AR149" s="10">
        <v>0.53133024639924198</v>
      </c>
      <c r="AS149" s="10">
        <v>0.54198565822335054</v>
      </c>
      <c r="AT149" s="10">
        <v>0.72217217267224532</v>
      </c>
      <c r="AU149" s="10">
        <v>0.76359150909728879</v>
      </c>
      <c r="AV149" s="10">
        <v>0.67647449156602457</v>
      </c>
      <c r="AX149" s="10">
        <v>0.73623082409379603</v>
      </c>
      <c r="AY149" s="10">
        <v>0.53517570460214581</v>
      </c>
      <c r="AZ149" s="10">
        <v>0.54449999999997845</v>
      </c>
      <c r="BA149" s="10">
        <v>0.70456707099548155</v>
      </c>
      <c r="BB149" s="10">
        <v>0.65781608990376383</v>
      </c>
      <c r="BC149" s="10">
        <v>0.88892670157044829</v>
      </c>
      <c r="BD149" s="10">
        <v>1.0250249732428605</v>
      </c>
      <c r="BE149" s="10">
        <v>0.92511255797351932</v>
      </c>
      <c r="BF149" s="10">
        <v>0.5549720985596992</v>
      </c>
      <c r="BG149" s="10">
        <v>0.56599768105603054</v>
      </c>
      <c r="BH149" s="10">
        <v>0.75416714234759785</v>
      </c>
      <c r="BI149" s="10">
        <v>0.86172029967895336</v>
      </c>
      <c r="BJ149" s="10">
        <v>0.79742151266489014</v>
      </c>
      <c r="BK149" s="10">
        <v>0.70644488043287368</v>
      </c>
    </row>
    <row r="150" spans="1:63" x14ac:dyDescent="0.25">
      <c r="A150" s="4">
        <v>46290</v>
      </c>
      <c r="B150" s="10">
        <v>1.3270999999999993</v>
      </c>
      <c r="C150" s="10">
        <v>1.0641999999999954</v>
      </c>
      <c r="D150">
        <v>1.24693685</v>
      </c>
      <c r="F150">
        <v>1.4954674699999999</v>
      </c>
      <c r="G150">
        <v>1.0266372500000001</v>
      </c>
      <c r="H150">
        <v>1.3493975899999999</v>
      </c>
      <c r="I150">
        <v>1.26970279</v>
      </c>
      <c r="J150">
        <v>1.2844502499999999</v>
      </c>
      <c r="K150" s="5">
        <v>1.0173794300000001</v>
      </c>
      <c r="L150" s="5">
        <v>1.22755076</v>
      </c>
      <c r="O150" s="5">
        <v>1.23756672</v>
      </c>
      <c r="P150">
        <v>1.09202855</v>
      </c>
      <c r="R150">
        <v>1.2646537799999999</v>
      </c>
      <c r="S150" s="10">
        <v>3.07400000000003</v>
      </c>
      <c r="T150" s="10">
        <v>1.0155999999999883</v>
      </c>
      <c r="U150" s="10">
        <v>2.2685000000000088</v>
      </c>
      <c r="V150">
        <v>1.2490924465058999</v>
      </c>
      <c r="W150" s="10">
        <v>1.2280000000000222</v>
      </c>
      <c r="X150">
        <v>4.0183252899999999</v>
      </c>
      <c r="Y150" s="10">
        <v>1.0869999999976541</v>
      </c>
      <c r="Z150" s="10">
        <v>0.98599999999493604</v>
      </c>
      <c r="AA150" s="10">
        <v>2.8030000000001389</v>
      </c>
      <c r="AB150" s="10">
        <v>1.0075000000000152</v>
      </c>
      <c r="AC150" s="10">
        <v>3.522499999999781</v>
      </c>
      <c r="AD150" s="10">
        <v>0.95149999999997692</v>
      </c>
      <c r="AE150" s="10">
        <v>0.8524999999999533</v>
      </c>
      <c r="AF150" s="10">
        <v>0.90000000000007818</v>
      </c>
      <c r="AI150" s="10">
        <v>0.69565089737163677</v>
      </c>
      <c r="AJ150" s="10">
        <v>0.5101645667419642</v>
      </c>
      <c r="AK150" s="10">
        <v>0.51929999999999843</v>
      </c>
      <c r="AL150" s="10">
        <v>0.66478794701396748</v>
      </c>
      <c r="AM150" s="10">
        <v>0.6184935219303469</v>
      </c>
      <c r="AN150" s="10">
        <v>0.83558351360974514</v>
      </c>
      <c r="AO150" s="10">
        <v>0.98057765363127269</v>
      </c>
      <c r="AP150" s="10">
        <v>0.87928545108764</v>
      </c>
      <c r="AQ150" s="10">
        <v>0.81478188517763284</v>
      </c>
      <c r="AR150" s="10">
        <v>0.5284365192582291</v>
      </c>
      <c r="AS150" s="10">
        <v>0.54318792345174882</v>
      </c>
      <c r="AT150" s="10">
        <v>0.71848948056576689</v>
      </c>
      <c r="AU150" s="10">
        <v>0.75644398478322517</v>
      </c>
      <c r="AV150" s="10">
        <v>0.66546693202523333</v>
      </c>
      <c r="AX150" s="10">
        <v>0.72592571015923335</v>
      </c>
      <c r="AY150" s="10">
        <v>0.53236699156069778</v>
      </c>
      <c r="AZ150" s="10">
        <v>0.54189999999999827</v>
      </c>
      <c r="BA150" s="10">
        <v>0.69371960039836111</v>
      </c>
      <c r="BB150" s="10">
        <v>0.64541043622964556</v>
      </c>
      <c r="BC150" s="10">
        <v>0.8719482111017155</v>
      </c>
      <c r="BD150" s="10">
        <v>1.0232525139664674</v>
      </c>
      <c r="BE150" s="10">
        <v>0.91755206228459851</v>
      </c>
      <c r="BF150" s="10">
        <v>0.55184117926774068</v>
      </c>
      <c r="BG150" s="10">
        <v>0.56682752882438403</v>
      </c>
      <c r="BH150" s="10">
        <v>0.74975823130866359</v>
      </c>
      <c r="BI150" s="10">
        <v>0.85024129323658615</v>
      </c>
      <c r="BJ150" s="10">
        <v>0.78904807417930811</v>
      </c>
      <c r="BK150" s="10">
        <v>0.6944281349209972</v>
      </c>
    </row>
    <row r="151" spans="1:63" x14ac:dyDescent="0.25">
      <c r="A151" s="4">
        <f>+WORKDAY(A150,1,Feriados!$A$2:$A$38)</f>
        <v>46293</v>
      </c>
      <c r="B151" s="10">
        <v>1.3280099999999964</v>
      </c>
      <c r="C151" s="10">
        <v>1.0649999999999995</v>
      </c>
      <c r="D151">
        <v>1.2469439899999999</v>
      </c>
      <c r="F151">
        <v>1.4964230700000001</v>
      </c>
      <c r="G151">
        <v>1.0268137500000001</v>
      </c>
      <c r="H151">
        <v>1.3470452900000001</v>
      </c>
      <c r="I151">
        <v>1.2672363799999999</v>
      </c>
      <c r="J151">
        <v>1.2805150000000001</v>
      </c>
      <c r="K151" s="5">
        <v>1.01737356</v>
      </c>
      <c r="L151" s="5">
        <v>1.23092727</v>
      </c>
      <c r="O151" s="5">
        <v>1.2389035100000001</v>
      </c>
      <c r="P151">
        <v>1.0912433500000001</v>
      </c>
      <c r="R151">
        <v>1.26614878</v>
      </c>
      <c r="S151" s="10">
        <v>3.0765000000000113</v>
      </c>
      <c r="T151" s="10">
        <v>1.017499999999997</v>
      </c>
      <c r="U151" s="10">
        <v>2.2729999999999593</v>
      </c>
      <c r="V151">
        <v>1.25957461</v>
      </c>
      <c r="W151" s="10">
        <v>1.2360000000000495</v>
      </c>
      <c r="X151">
        <v>4.0270874499999998</v>
      </c>
      <c r="Y151" s="10">
        <v>1.0874999999976174</v>
      </c>
      <c r="Z151" s="10">
        <v>0.98649999999477211</v>
      </c>
      <c r="AA151" s="10">
        <v>2.8100000000002066</v>
      </c>
      <c r="AB151" s="10">
        <v>1.0060000000000164</v>
      </c>
      <c r="AC151" s="10">
        <v>3.4984999999999569</v>
      </c>
      <c r="AD151" s="10">
        <v>0.95099999999997764</v>
      </c>
      <c r="AE151" s="10">
        <v>0.84510000000002394</v>
      </c>
      <c r="AF151" s="10">
        <v>0.89299999999991853</v>
      </c>
      <c r="AI151" s="10">
        <v>0.68808881335091865</v>
      </c>
      <c r="AJ151" s="10">
        <v>0.50997855611149889</v>
      </c>
      <c r="AK151" s="10">
        <v>0.51749999999997653</v>
      </c>
      <c r="AL151" s="10">
        <v>0.65787973536656874</v>
      </c>
      <c r="AM151" s="10">
        <v>0.61373749106503583</v>
      </c>
      <c r="AN151" s="10">
        <v>0.82211847748374334</v>
      </c>
      <c r="AO151" s="10">
        <v>0.98074696211575851</v>
      </c>
      <c r="AP151" s="10">
        <v>0.86866511794148527</v>
      </c>
      <c r="AQ151" s="10">
        <v>0.80664403145092056</v>
      </c>
      <c r="AR151" s="10">
        <v>0.52652583452551416</v>
      </c>
      <c r="AS151" s="10">
        <v>0.53642691208009263</v>
      </c>
      <c r="AT151" s="10">
        <v>0.70960507505342174</v>
      </c>
      <c r="AU151" s="10">
        <v>0.74962545887861542</v>
      </c>
      <c r="AV151" s="10">
        <v>0.66133220143765126</v>
      </c>
      <c r="AX151" s="10">
        <v>0.71760682621350891</v>
      </c>
      <c r="AY151" s="10">
        <v>0.53185589706932557</v>
      </c>
      <c r="AZ151" s="10">
        <v>0.53969999999997564</v>
      </c>
      <c r="BA151" s="10">
        <v>0.68610182256490271</v>
      </c>
      <c r="BB151" s="10">
        <v>0.64006593995710115</v>
      </c>
      <c r="BC151" s="10">
        <v>0.85738616869174167</v>
      </c>
      <c r="BD151" s="10">
        <v>1.0228195854181157</v>
      </c>
      <c r="BE151" s="10">
        <v>0.90592959256622141</v>
      </c>
      <c r="BF151" s="10">
        <v>0.55042646638054504</v>
      </c>
      <c r="BG151" s="10">
        <v>0.55943884917802134</v>
      </c>
      <c r="BH151" s="10">
        <v>0.74004610436006146</v>
      </c>
      <c r="BI151" s="10">
        <v>0.8412478913508441</v>
      </c>
      <c r="BJ151" s="10">
        <v>0.78452880810383707</v>
      </c>
      <c r="BK151" s="10">
        <v>0.68970239442686077</v>
      </c>
    </row>
    <row r="152" spans="1:63" x14ac:dyDescent="0.25">
      <c r="A152" s="4">
        <f>+WORKDAY(A151,1,Feriados!$A$2:$A$38)</f>
        <v>46294</v>
      </c>
      <c r="B152" s="10">
        <v>1.3305300000000013</v>
      </c>
      <c r="C152" s="10">
        <v>1.0657300000000109</v>
      </c>
      <c r="D152">
        <v>1.2482832399999999</v>
      </c>
      <c r="F152">
        <v>1.49537925</v>
      </c>
      <c r="G152">
        <v>1.02808225</v>
      </c>
      <c r="H152">
        <v>1.34858872</v>
      </c>
      <c r="I152">
        <v>1.2681650499999999</v>
      </c>
      <c r="J152">
        <v>1.2803557299999999</v>
      </c>
      <c r="K152" s="5">
        <v>1.01798637</v>
      </c>
      <c r="L152" s="5">
        <v>1.22842539</v>
      </c>
      <c r="O152" s="5">
        <v>1.2374037200000001</v>
      </c>
      <c r="P152">
        <v>1.08950003</v>
      </c>
      <c r="R152">
        <v>1.2669357299999999</v>
      </c>
      <c r="S152" s="10">
        <v>3.0775000000000134</v>
      </c>
      <c r="T152" s="10">
        <v>1.0181900000000019</v>
      </c>
      <c r="U152" s="10">
        <v>2.2774999999999714</v>
      </c>
      <c r="V152">
        <v>1.2490000000000001</v>
      </c>
      <c r="W152" s="10">
        <v>1.2284999999999571</v>
      </c>
      <c r="X152">
        <v>4.0389832800000001</v>
      </c>
      <c r="Y152" s="10">
        <v>1.0879999999975303</v>
      </c>
      <c r="Z152" s="10">
        <v>0.98899999999582644</v>
      </c>
      <c r="AA152" s="10">
        <v>2.8035000000000241</v>
      </c>
      <c r="AB152" s="10">
        <v>1.0049999999999328</v>
      </c>
      <c r="AC152" s="10">
        <v>3.5045000000001187</v>
      </c>
      <c r="AD152" s="10">
        <v>0.94600000000004614</v>
      </c>
      <c r="AE152" s="10">
        <v>0.8470000000000083</v>
      </c>
      <c r="AF152" s="10">
        <v>0.89789999999993853</v>
      </c>
      <c r="AI152" s="10">
        <v>0.69264475360560729</v>
      </c>
      <c r="AJ152" s="10">
        <v>0.51321753554501326</v>
      </c>
      <c r="AK152" s="10">
        <v>0.52029999999996701</v>
      </c>
      <c r="AL152" s="10">
        <v>0.66245207227913538</v>
      </c>
      <c r="AM152" s="10">
        <v>0.61697819753659244</v>
      </c>
      <c r="AN152" s="10">
        <v>0.82753080568706949</v>
      </c>
      <c r="AO152" s="10">
        <v>0.97232756987174596</v>
      </c>
      <c r="AP152" s="10">
        <v>0.86757745144474796</v>
      </c>
      <c r="AQ152" s="10">
        <v>0.80534355755549625</v>
      </c>
      <c r="AR152" s="10">
        <v>0.52861777251189113</v>
      </c>
      <c r="AS152" s="10">
        <v>0.53970958076744513</v>
      </c>
      <c r="AT152" s="10">
        <v>0.71273212932261398</v>
      </c>
      <c r="AU152" s="10">
        <v>0.75412128970997161</v>
      </c>
      <c r="AV152" s="10">
        <v>0.66626609757151445</v>
      </c>
      <c r="AX152" s="10">
        <v>0.72552640921594458</v>
      </c>
      <c r="AY152" s="10">
        <v>0.53622383886254843</v>
      </c>
      <c r="AZ152" s="10">
        <v>0.54499999999996551</v>
      </c>
      <c r="BA152" s="10">
        <v>0.69390040244499107</v>
      </c>
      <c r="BB152" s="10">
        <v>0.64626776409272135</v>
      </c>
      <c r="BC152" s="10">
        <v>0.86478554502355631</v>
      </c>
      <c r="BD152" s="10">
        <v>1.0184864992890672</v>
      </c>
      <c r="BE152" s="10">
        <v>0.90876361913778159</v>
      </c>
      <c r="BF152" s="10">
        <v>0.55231443127966562</v>
      </c>
      <c r="BG152" s="10">
        <v>0.56533100426342053</v>
      </c>
      <c r="BH152" s="10">
        <v>0.74656738512555199</v>
      </c>
      <c r="BI152" s="10">
        <v>0.84357531975349898</v>
      </c>
      <c r="BJ152" s="10">
        <v>0.78928082029314939</v>
      </c>
      <c r="BK152" s="10">
        <v>0.69732953995637204</v>
      </c>
    </row>
    <row r="153" spans="1:63" x14ac:dyDescent="0.25">
      <c r="A153" s="4">
        <f>+WORKDAY(A152,1,Feriados!$A$2:$A$38)</f>
        <v>46295</v>
      </c>
      <c r="B153" s="10">
        <v>1.3315000000000026</v>
      </c>
      <c r="C153" s="10">
        <v>1.0670000000000064</v>
      </c>
      <c r="D153">
        <v>1.2495673300000001</v>
      </c>
      <c r="F153">
        <v>1.4983319500000001</v>
      </c>
      <c r="G153">
        <v>1.0294134500000001</v>
      </c>
      <c r="H153">
        <v>1.3505428799999999</v>
      </c>
      <c r="I153">
        <v>1.2717833300000001</v>
      </c>
      <c r="J153">
        <v>1.2849759700000001</v>
      </c>
      <c r="K153" s="5">
        <v>1.0209493199999999</v>
      </c>
      <c r="L153" s="5">
        <v>1.2336243200000001</v>
      </c>
      <c r="O153" s="5">
        <v>1.2382487799999999</v>
      </c>
      <c r="P153">
        <v>1.09140441</v>
      </c>
      <c r="R153">
        <v>1.2695935</v>
      </c>
      <c r="S153" s="10">
        <v>3.0840000000000094</v>
      </c>
      <c r="T153" s="10">
        <v>1.0214999999999983</v>
      </c>
      <c r="U153" s="10">
        <v>2.284000000000022</v>
      </c>
      <c r="V153">
        <v>1.2612042400000001</v>
      </c>
      <c r="W153" s="10">
        <v>1.2354999999999752</v>
      </c>
      <c r="X153">
        <v>4.0563561100000003</v>
      </c>
      <c r="Y153" s="10">
        <v>1.0979999999992185</v>
      </c>
      <c r="Z153" s="10">
        <v>0.99399999999758448</v>
      </c>
      <c r="AA153" s="10">
        <v>2.8175000000001278</v>
      </c>
      <c r="AB153" s="10">
        <v>1.0099999999999962</v>
      </c>
      <c r="AC153" s="10">
        <v>3.5274999999999306</v>
      </c>
      <c r="AD153" s="10">
        <v>0.95399999999991392</v>
      </c>
      <c r="AE153" s="10">
        <v>0.84799999999988562</v>
      </c>
      <c r="AF153" s="10">
        <v>0.89800000000002722</v>
      </c>
      <c r="AI153" s="10">
        <v>0.70360966363568966</v>
      </c>
      <c r="AJ153" s="10">
        <v>0.51482425390811937</v>
      </c>
      <c r="AK153" s="10">
        <v>0.5229999999999998</v>
      </c>
      <c r="AL153" s="10">
        <v>0.66954405495032598</v>
      </c>
      <c r="AM153" s="10">
        <v>0.62148057792533806</v>
      </c>
      <c r="AN153" s="10">
        <v>0.82469741828500587</v>
      </c>
      <c r="AO153" s="10">
        <v>0.97582484604443964</v>
      </c>
      <c r="AP153" s="10">
        <v>0.87393770724764774</v>
      </c>
      <c r="AQ153" s="10">
        <v>0.81150473709127768</v>
      </c>
      <c r="AR153" s="10">
        <v>0.52560044986385257</v>
      </c>
      <c r="AS153" s="10">
        <v>0.54195286594033865</v>
      </c>
      <c r="AT153" s="10">
        <v>0.71723590715295826</v>
      </c>
      <c r="AU153" s="10">
        <v>0.75520357650348924</v>
      </c>
      <c r="AV153" s="10">
        <v>0.66805755556274737</v>
      </c>
      <c r="AX153" s="10">
        <v>0.73643581237892253</v>
      </c>
      <c r="AY153" s="10">
        <v>0.53884282330650968</v>
      </c>
      <c r="AZ153" s="10">
        <v>0.54739999999999989</v>
      </c>
      <c r="BA153" s="10">
        <v>0.70078090952162231</v>
      </c>
      <c r="BB153" s="10">
        <v>0.65047508289929268</v>
      </c>
      <c r="BC153" s="10">
        <v>0.86317278540958353</v>
      </c>
      <c r="BD153" s="10">
        <v>1.0213509000472776</v>
      </c>
      <c r="BE153" s="10">
        <v>0.91471032685920151</v>
      </c>
      <c r="BF153" s="10">
        <v>0.54951878773528584</v>
      </c>
      <c r="BG153" s="10">
        <v>0.56723709142589163</v>
      </c>
      <c r="BH153" s="10">
        <v>0.75069777356697776</v>
      </c>
      <c r="BI153" s="10">
        <v>0.84936461392689355</v>
      </c>
      <c r="BJ153" s="10">
        <v>0.79043678351435942</v>
      </c>
      <c r="BK153" s="10">
        <v>0.6992250591109902</v>
      </c>
    </row>
    <row r="154" spans="1:63" x14ac:dyDescent="0.25">
      <c r="A154" s="4">
        <f>+WORKDAY(A153,1,Feriados!$A$2:$A$38)</f>
        <v>46296</v>
      </c>
      <c r="B154" s="10">
        <v>1.331499999999995</v>
      </c>
      <c r="C154" s="10">
        <v>1.0676999999999981</v>
      </c>
      <c r="D154">
        <v>1.25193624</v>
      </c>
      <c r="F154">
        <v>1.5004969800000001</v>
      </c>
      <c r="G154">
        <v>1.03125109</v>
      </c>
      <c r="H154">
        <v>1.35353996</v>
      </c>
      <c r="I154">
        <v>1.2719944599999999</v>
      </c>
      <c r="J154">
        <v>1.28608604</v>
      </c>
      <c r="K154" s="5">
        <v>1.0234993400000001</v>
      </c>
      <c r="L154" s="5">
        <v>1.2413334300000001</v>
      </c>
      <c r="O154" s="5">
        <v>1.2417132399999999</v>
      </c>
      <c r="P154">
        <v>1.093718</v>
      </c>
      <c r="R154">
        <v>1.2704156900000001</v>
      </c>
      <c r="S154" s="10">
        <v>3.0890000000000075</v>
      </c>
      <c r="T154" s="10">
        <v>1.0245000000000111</v>
      </c>
      <c r="U154" s="10">
        <v>2.289499999999995</v>
      </c>
      <c r="V154">
        <v>1.26743049</v>
      </c>
      <c r="W154" s="10">
        <v>1.2404999999999948</v>
      </c>
      <c r="X154">
        <v>4.0714517199999998</v>
      </c>
      <c r="Y154" s="10">
        <v>1.0994999999993618</v>
      </c>
      <c r="Z154" s="10">
        <v>0.99899999999868005</v>
      </c>
      <c r="AA154" s="10">
        <v>2.8249999999997555</v>
      </c>
      <c r="AB154" s="10">
        <v>1.0090000000000532</v>
      </c>
      <c r="AC154" s="10">
        <v>3.5464999999998539</v>
      </c>
      <c r="AD154" s="10">
        <v>0.95600000000004082</v>
      </c>
      <c r="AE154" s="10">
        <v>0.85389999999995481</v>
      </c>
      <c r="AF154" s="10">
        <v>0.90100000000006841</v>
      </c>
      <c r="AI154" s="10">
        <v>0.69067549267563411</v>
      </c>
      <c r="AJ154" s="10">
        <v>0.51095199477559927</v>
      </c>
      <c r="AK154" s="10">
        <v>0.51890000000000325</v>
      </c>
      <c r="AL154" s="10">
        <v>0.65931475878478008</v>
      </c>
      <c r="AM154" s="10">
        <v>0.61298220137741111</v>
      </c>
      <c r="AN154" s="10">
        <v>0.82554513179762967</v>
      </c>
      <c r="AO154" s="10">
        <v>0.97440079553524239</v>
      </c>
      <c r="AP154" s="10">
        <v>0.8692283543102225</v>
      </c>
      <c r="AQ154" s="10">
        <v>0.80712301116115459</v>
      </c>
      <c r="AR154" s="10">
        <v>0.52801864165280499</v>
      </c>
      <c r="AS154" s="10">
        <v>0.53732212063648643</v>
      </c>
      <c r="AT154" s="10">
        <v>0.70423023034911258</v>
      </c>
      <c r="AU154" s="10">
        <v>0.74064318451494104</v>
      </c>
      <c r="AV154" s="10">
        <v>0.65167481570291652</v>
      </c>
      <c r="AX154" s="10">
        <v>0.72208798376668226</v>
      </c>
      <c r="AY154" s="10">
        <v>0.53419051294230602</v>
      </c>
      <c r="AZ154" s="10">
        <v>0.54250000000000342</v>
      </c>
      <c r="BA154" s="10">
        <v>0.68930093783145741</v>
      </c>
      <c r="BB154" s="10">
        <v>0.64086113749710083</v>
      </c>
      <c r="BC154" s="10">
        <v>0.86309160531935647</v>
      </c>
      <c r="BD154" s="10">
        <v>1.0187173474231432</v>
      </c>
      <c r="BE154" s="10">
        <v>0.90876157682269354</v>
      </c>
      <c r="BF154" s="10">
        <v>0.55203336499642841</v>
      </c>
      <c r="BG154" s="10">
        <v>0.56175997387799936</v>
      </c>
      <c r="BH154" s="10">
        <v>0.7362592020897929</v>
      </c>
      <c r="BI154" s="10">
        <v>0.84383163144136886</v>
      </c>
      <c r="BJ154" s="10">
        <v>0.77432824744527951</v>
      </c>
      <c r="BK154" s="10">
        <v>0.68131352383663957</v>
      </c>
    </row>
    <row r="155" spans="1:63" x14ac:dyDescent="0.25">
      <c r="A155" s="4">
        <f>+WORKDAY(A154,1,Feriados!$A$2:$A$38)</f>
        <v>46297</v>
      </c>
      <c r="B155" s="10">
        <v>1.3343899999999951</v>
      </c>
      <c r="C155" s="10">
        <v>1.0702099999999941</v>
      </c>
      <c r="D155">
        <v>1.2542973500000001</v>
      </c>
      <c r="F155">
        <v>1.50454106</v>
      </c>
      <c r="G155">
        <v>1.034098</v>
      </c>
      <c r="H155">
        <v>1.3561210500000001</v>
      </c>
      <c r="I155">
        <v>1.2774154</v>
      </c>
      <c r="J155">
        <v>1.2912119900000001</v>
      </c>
      <c r="K155" s="5">
        <v>1.0262334500000001</v>
      </c>
      <c r="L155" s="5">
        <v>1.2449642299999999</v>
      </c>
      <c r="O155" s="5">
        <v>1.24830782</v>
      </c>
      <c r="P155">
        <v>1.09451115</v>
      </c>
      <c r="R155">
        <v>1.27322231</v>
      </c>
      <c r="S155" s="10">
        <v>3.0950000000000113</v>
      </c>
      <c r="T155" s="10">
        <v>1.0261999999999947</v>
      </c>
      <c r="U155" s="10">
        <v>2.2974999999999945</v>
      </c>
      <c r="V155">
        <v>1.2653342400000001</v>
      </c>
      <c r="W155" s="10">
        <v>1.24400000000001</v>
      </c>
      <c r="X155">
        <v>4.0712235899999998</v>
      </c>
      <c r="Y155" s="10">
        <v>1.1044999999996183</v>
      </c>
      <c r="Z155" s="10">
        <v>1.0019999999988549</v>
      </c>
      <c r="AA155" s="10">
        <v>2.834499999999839</v>
      </c>
      <c r="AB155" s="10">
        <v>1.019499999999943</v>
      </c>
      <c r="AC155" s="10">
        <v>3.5674999999999026</v>
      </c>
      <c r="AD155" s="10">
        <v>0.96499999999992836</v>
      </c>
      <c r="AE155" s="10">
        <v>0.86000000000001986</v>
      </c>
      <c r="AF155" s="10">
        <v>0.91100000000004666</v>
      </c>
      <c r="AI155" s="10">
        <v>0.6876593249313564</v>
      </c>
      <c r="AJ155" s="10">
        <v>0.51282024866781162</v>
      </c>
      <c r="AK155" s="10">
        <v>0.51989999999999248</v>
      </c>
      <c r="AL155" s="10">
        <v>0.65903250425183046</v>
      </c>
      <c r="AM155" s="10">
        <v>0.61563055062173555</v>
      </c>
      <c r="AN155" s="10">
        <v>0.824329307282201</v>
      </c>
      <c r="AO155" s="10">
        <v>0.97472785079914681</v>
      </c>
      <c r="AP155" s="10">
        <v>0.86797751332151707</v>
      </c>
      <c r="AQ155" s="10">
        <v>0.80678383658952102</v>
      </c>
      <c r="AR155" s="10">
        <v>0.52728132102276182</v>
      </c>
      <c r="AS155" s="10">
        <v>0.53830735346365033</v>
      </c>
      <c r="AT155" s="10">
        <v>0.6984944227355967</v>
      </c>
      <c r="AU155" s="10">
        <v>0.7427582593233214</v>
      </c>
      <c r="AV155" s="10">
        <v>0.65102930699098438</v>
      </c>
      <c r="AX155" s="10">
        <v>0.72099076364701364</v>
      </c>
      <c r="AY155" s="10">
        <v>0.53767708703370676</v>
      </c>
      <c r="AZ155" s="10">
        <v>0.54509999999999215</v>
      </c>
      <c r="BA155" s="10">
        <v>0.69097637635636233</v>
      </c>
      <c r="BB155" s="10">
        <v>0.64547069271765356</v>
      </c>
      <c r="BC155" s="10">
        <v>0.86428525754862051</v>
      </c>
      <c r="BD155" s="10">
        <v>1.0219737477796018</v>
      </c>
      <c r="BE155" s="10">
        <v>0.91004912966254836</v>
      </c>
      <c r="BF155" s="10">
        <v>0.55262163825761201</v>
      </c>
      <c r="BG155" s="10">
        <v>0.56439957371232119</v>
      </c>
      <c r="BH155" s="10">
        <v>0.73235104795763373</v>
      </c>
      <c r="BI155" s="10">
        <v>0.84588934280620875</v>
      </c>
      <c r="BJ155" s="10">
        <v>0.77876039076195891</v>
      </c>
      <c r="BK155" s="10">
        <v>0.68258525724328833</v>
      </c>
    </row>
    <row r="156" spans="1:63" x14ac:dyDescent="0.25">
      <c r="A156" s="4">
        <f>+WORKDAY(A155,1,Feriados!$A$2:$A$38)</f>
        <v>46300</v>
      </c>
      <c r="B156" s="10">
        <v>1.3348699999999922</v>
      </c>
      <c r="C156" s="10">
        <v>1.0708400000000036</v>
      </c>
      <c r="D156">
        <v>1.2550632399999999</v>
      </c>
      <c r="F156">
        <v>1.5063051999999999</v>
      </c>
      <c r="G156">
        <v>1.0356566199999999</v>
      </c>
      <c r="H156">
        <v>1.3539822399999999</v>
      </c>
      <c r="I156">
        <v>1.2804176300000001</v>
      </c>
      <c r="J156">
        <v>1.2890465900000001</v>
      </c>
      <c r="K156">
        <v>1.0272334599999999</v>
      </c>
      <c r="L156">
        <v>1.24899917</v>
      </c>
      <c r="O156" s="5">
        <v>1.2505858299999999</v>
      </c>
      <c r="P156">
        <v>1.0940564699999999</v>
      </c>
      <c r="R156">
        <v>1.27487241</v>
      </c>
      <c r="S156" s="10">
        <v>3.099499999999979</v>
      </c>
      <c r="T156" s="10">
        <v>1.0275000000000238</v>
      </c>
      <c r="U156" s="10">
        <v>2.3025000000000082</v>
      </c>
      <c r="V156">
        <v>1.2798166900000001</v>
      </c>
      <c r="W156" s="10">
        <v>1.249000000000025</v>
      </c>
      <c r="X156">
        <v>4.0846097800000001</v>
      </c>
      <c r="Y156" s="10">
        <v>1.1069999999996711</v>
      </c>
      <c r="Z156" s="10">
        <v>1.0044999999991753</v>
      </c>
      <c r="AA156" s="10">
        <v>2.8399999999999386</v>
      </c>
      <c r="AB156" s="10">
        <v>1.0230000000000696</v>
      </c>
      <c r="AC156" s="10">
        <v>3.5899999999999643</v>
      </c>
      <c r="AD156" s="10">
        <v>0.97449999999998671</v>
      </c>
      <c r="AE156" s="10">
        <v>0.86400000000007759</v>
      </c>
      <c r="AF156" s="10">
        <v>0.91230000000009159</v>
      </c>
      <c r="AI156" s="10">
        <v>0.70598892791265344</v>
      </c>
      <c r="AJ156" s="10">
        <v>0.52029086115987666</v>
      </c>
      <c r="AK156" s="10">
        <v>0.53149999999999553</v>
      </c>
      <c r="AL156" s="10">
        <v>0.67715653192744218</v>
      </c>
      <c r="AM156" s="10">
        <v>0.62957996485047329</v>
      </c>
      <c r="AN156" s="10">
        <v>0.83825676625652035</v>
      </c>
      <c r="AO156" s="10">
        <v>0.98335284124195455</v>
      </c>
      <c r="AP156" s="10">
        <v>0.88707879320448346</v>
      </c>
      <c r="AQ156" s="10">
        <v>0.8277949033391766</v>
      </c>
      <c r="AR156" s="10">
        <v>0.53361728178094514</v>
      </c>
      <c r="AS156" s="10">
        <v>0.54551142355013638</v>
      </c>
      <c r="AT156" s="10">
        <v>0.71943989455213453</v>
      </c>
      <c r="AU156" s="10">
        <v>0.75910779144620333</v>
      </c>
      <c r="AV156" s="10">
        <v>0.66818922074157716</v>
      </c>
      <c r="AX156" s="10">
        <v>0.73693820734889959</v>
      </c>
      <c r="AY156" s="10">
        <v>0.54309947275917136</v>
      </c>
      <c r="AZ156" s="10">
        <v>0.5547999999999953</v>
      </c>
      <c r="BA156" s="10">
        <v>0.70684185120102527</v>
      </c>
      <c r="BB156" s="10">
        <v>0.65717961335661845</v>
      </c>
      <c r="BC156" s="10">
        <v>0.87500442882242235</v>
      </c>
      <c r="BD156" s="10">
        <v>1.0264612536614042</v>
      </c>
      <c r="BE156" s="10">
        <v>0.92596672524900736</v>
      </c>
      <c r="BF156" s="10">
        <v>0.55701009958996872</v>
      </c>
      <c r="BG156" s="10">
        <v>0.56942565905101727</v>
      </c>
      <c r="BH156" s="10">
        <v>0.75097884007060078</v>
      </c>
      <c r="BI156" s="10">
        <v>0.86408393673109174</v>
      </c>
      <c r="BJ156" s="10">
        <v>0.79238570591599933</v>
      </c>
      <c r="BK156" s="10">
        <v>0.69748142928960855</v>
      </c>
    </row>
    <row r="157" spans="1:63" x14ac:dyDescent="0.25">
      <c r="A157" s="4">
        <f>+WORKDAY(A156,1,Feriados!$A$2:$A$38)</f>
        <v>46301</v>
      </c>
      <c r="B157" s="10">
        <v>1.3348099999999952</v>
      </c>
      <c r="C157" s="10">
        <v>1.0716399999999937</v>
      </c>
      <c r="D157">
        <v>1.2552875400000001</v>
      </c>
      <c r="F157">
        <v>1.5070904899999999</v>
      </c>
      <c r="G157">
        <v>1.03645627</v>
      </c>
      <c r="H157">
        <v>1.3604319</v>
      </c>
      <c r="I157">
        <v>1.2822477234033001</v>
      </c>
      <c r="J157">
        <v>1.29508263</v>
      </c>
      <c r="K157">
        <v>1.0288155000000001</v>
      </c>
      <c r="L157">
        <v>1.2497534400000001</v>
      </c>
      <c r="O157">
        <v>1.2508325600000001</v>
      </c>
      <c r="P157">
        <v>1.09775508</v>
      </c>
      <c r="R157">
        <v>1.2755211200000001</v>
      </c>
      <c r="S157" s="10">
        <v>3.1009999999999827</v>
      </c>
      <c r="T157" s="10">
        <v>1.028300000000006</v>
      </c>
      <c r="U157" s="10">
        <v>2.3064999999999718</v>
      </c>
      <c r="V157">
        <v>1.2722120800000001</v>
      </c>
      <c r="W157" s="10">
        <v>1.2500000000000144</v>
      </c>
      <c r="X157">
        <v>4.0900729399999998</v>
      </c>
      <c r="Y157" s="10">
        <v>1.1084999999996585</v>
      </c>
      <c r="Z157" s="10">
        <v>1.0059999999992468</v>
      </c>
      <c r="AA157" s="10">
        <v>2.8480000000000762</v>
      </c>
      <c r="AB157" s="10">
        <v>1.0244999999999529</v>
      </c>
      <c r="AC157" s="10">
        <v>3.6080000000003758</v>
      </c>
      <c r="AD157" s="10">
        <v>0.97700000000001941</v>
      </c>
      <c r="AE157" s="10">
        <v>0.86990000000000933</v>
      </c>
      <c r="AF157" s="10">
        <v>0.9195000000000213</v>
      </c>
      <c r="AI157" s="10">
        <v>0.71387476699039365</v>
      </c>
      <c r="AJ157" s="10">
        <v>0.51890505591797553</v>
      </c>
      <c r="AK157" s="10">
        <v>0.53299999999998737</v>
      </c>
      <c r="AL157" s="10">
        <v>0.683077003727807</v>
      </c>
      <c r="AM157" s="10">
        <v>0.63886731127702379</v>
      </c>
      <c r="AN157" s="10">
        <v>0.84954636533081473</v>
      </c>
      <c r="AO157" s="10">
        <v>0.98167870456663375</v>
      </c>
      <c r="AP157" s="10">
        <v>0.89027889095985113</v>
      </c>
      <c r="AQ157" s="10">
        <v>0.82862127213418912</v>
      </c>
      <c r="AR157" s="10">
        <v>0.53088886300091787</v>
      </c>
      <c r="AS157" s="10">
        <v>0.54895771202237931</v>
      </c>
      <c r="AT157" s="10">
        <v>0.72647949673799317</v>
      </c>
      <c r="AU157" s="10">
        <v>0.77460100186384762</v>
      </c>
      <c r="AV157" s="10">
        <v>0.67463245565131336</v>
      </c>
      <c r="AX157" s="10">
        <v>0.74601922178921076</v>
      </c>
      <c r="AY157" s="10">
        <v>0.54227038676606465</v>
      </c>
      <c r="AZ157" s="10">
        <v>0.55699999999998673</v>
      </c>
      <c r="BA157" s="10">
        <v>0.71383469245101039</v>
      </c>
      <c r="BB157" s="10">
        <v>0.66763431966473219</v>
      </c>
      <c r="BC157" s="10">
        <v>0.8877998602049979</v>
      </c>
      <c r="BD157" s="10">
        <v>1.0258818732525612</v>
      </c>
      <c r="BE157" s="10">
        <v>0.93036649580607345</v>
      </c>
      <c r="BF157" s="10">
        <v>0.55479380242309806</v>
      </c>
      <c r="BG157" s="10">
        <v>0.57367625815471923</v>
      </c>
      <c r="BH157" s="10">
        <v>0.75919151910518257</v>
      </c>
      <c r="BI157" s="10">
        <v>0.86593254892822402</v>
      </c>
      <c r="BJ157" s="10">
        <v>0.809479846225447</v>
      </c>
      <c r="BK157" s="10">
        <v>0.70500990205962766</v>
      </c>
    </row>
    <row r="158" spans="1:63" x14ac:dyDescent="0.25">
      <c r="A158" s="4">
        <f>+WORKDAY(A157,1,Feriados!$A$2:$A$38)</f>
        <v>46302</v>
      </c>
      <c r="B158" s="10">
        <v>1.3366099999999894</v>
      </c>
      <c r="C158" s="10">
        <v>1.0721999999999978</v>
      </c>
      <c r="D158">
        <v>1.2563465</v>
      </c>
      <c r="F158">
        <v>1.5086614</v>
      </c>
      <c r="G158">
        <v>1.0368340300000001</v>
      </c>
      <c r="H158">
        <v>1.3638211099999999</v>
      </c>
      <c r="I158">
        <v>1.2838353899999999</v>
      </c>
      <c r="J158">
        <v>1.2972002300000001</v>
      </c>
      <c r="K158">
        <v>1.0285748800000001</v>
      </c>
      <c r="L158">
        <v>1.2525073600000001</v>
      </c>
      <c r="O158">
        <v>1.24982745</v>
      </c>
      <c r="P158">
        <v>1.10071407</v>
      </c>
      <c r="R158">
        <v>1.27552815</v>
      </c>
      <c r="S158" s="10">
        <v>3.1020000000000074</v>
      </c>
      <c r="T158" s="10">
        <v>1.0290000000000004</v>
      </c>
      <c r="U158" s="10">
        <v>2.3124999999999303</v>
      </c>
      <c r="V158">
        <v>1.2782489500000001</v>
      </c>
      <c r="W158" s="10">
        <v>1.2514999999999803</v>
      </c>
      <c r="X158">
        <v>4.0877081000000004</v>
      </c>
      <c r="Y158" s="10">
        <v>1.1099999999997709</v>
      </c>
      <c r="Z158" s="10">
        <v>1.0084999999994002</v>
      </c>
      <c r="AA158" s="10">
        <v>2.8544999999999807</v>
      </c>
      <c r="AB158" s="10">
        <v>1.0264999999999538</v>
      </c>
      <c r="AC158" s="10">
        <v>3.6099999999998236</v>
      </c>
      <c r="AD158" s="10">
        <v>0.9790000000000656</v>
      </c>
      <c r="AE158" s="10">
        <v>0.87399999999993616</v>
      </c>
      <c r="AF158" s="10">
        <v>0.92600000000009997</v>
      </c>
      <c r="AI158" s="10">
        <v>0.71466200464438556</v>
      </c>
      <c r="AJ158" s="10">
        <v>0.52294615384615262</v>
      </c>
      <c r="AK158" s="10">
        <v>0.53320000000000889</v>
      </c>
      <c r="AL158" s="10">
        <v>0.68607552447546982</v>
      </c>
      <c r="AM158" s="10">
        <v>0.63617347319346484</v>
      </c>
      <c r="AN158" s="10">
        <v>0.84789986013994223</v>
      </c>
      <c r="AO158" s="10">
        <v>0.98380993006993878</v>
      </c>
      <c r="AP158" s="10">
        <v>0.88792093240086301</v>
      </c>
      <c r="AQ158" s="10">
        <v>0.82335277389267181</v>
      </c>
      <c r="AR158" s="10">
        <v>0.53424242424240898</v>
      </c>
      <c r="AS158" s="10">
        <v>0.54811468531468077</v>
      </c>
      <c r="AT158" s="10">
        <v>0.72149790209792131</v>
      </c>
      <c r="AU158" s="10">
        <v>0.76655268065250071</v>
      </c>
      <c r="AV158" s="10">
        <v>0.66960722599587441</v>
      </c>
      <c r="AX158" s="10">
        <v>0.74723193471351268</v>
      </c>
      <c r="AY158" s="10">
        <v>0.54677884615384498</v>
      </c>
      <c r="AZ158" s="10">
        <v>0.55750000000000954</v>
      </c>
      <c r="BA158" s="10">
        <v>0.71734265734260039</v>
      </c>
      <c r="BB158" s="10">
        <v>0.66516637529136657</v>
      </c>
      <c r="BC158" s="10">
        <v>0.88654195804204394</v>
      </c>
      <c r="BD158" s="10">
        <v>1.0286459790209883</v>
      </c>
      <c r="BE158" s="10">
        <v>0.92838694638687402</v>
      </c>
      <c r="BF158" s="10">
        <v>0.55889976689975085</v>
      </c>
      <c r="BG158" s="10">
        <v>0.57309440559440095</v>
      </c>
      <c r="BH158" s="10">
        <v>0.75437937062939087</v>
      </c>
      <c r="BI158" s="10">
        <v>0.86087616550105894</v>
      </c>
      <c r="BJ158" s="10">
        <v>0.80148747086228278</v>
      </c>
      <c r="BK158" s="10">
        <v>0.70012383438240822</v>
      </c>
    </row>
    <row r="159" spans="1:63" x14ac:dyDescent="0.25">
      <c r="A159" s="4">
        <f>+WORKDAY(A158,1,Feriados!$A$2:$A$38)</f>
        <v>46303</v>
      </c>
      <c r="B159" s="10">
        <v>1.3363999999999887</v>
      </c>
      <c r="C159" s="10">
        <v>1.0728000000000002</v>
      </c>
      <c r="D159">
        <v>1.2574978000000001</v>
      </c>
      <c r="F159">
        <v>1.5098224</v>
      </c>
      <c r="G159">
        <v>1.0378953</v>
      </c>
      <c r="H159">
        <v>1.3664060499999999</v>
      </c>
      <c r="I159">
        <v>1.284648</v>
      </c>
      <c r="J159">
        <v>1.30047062</v>
      </c>
      <c r="K159">
        <v>1.0286919000000001</v>
      </c>
      <c r="L159">
        <v>1.2515807800000001</v>
      </c>
      <c r="O159">
        <v>1.25065581</v>
      </c>
      <c r="P159">
        <v>1.1008573500000001</v>
      </c>
      <c r="R159">
        <v>1.2763398500000001</v>
      </c>
      <c r="S159" s="10">
        <v>3.1040000000000192</v>
      </c>
      <c r="T159" s="10">
        <v>1.0286500000000023</v>
      </c>
      <c r="U159" s="10">
        <v>2.3115000000000387</v>
      </c>
      <c r="V159">
        <v>1.277136</v>
      </c>
      <c r="W159" s="10">
        <v>1.251500000000012</v>
      </c>
      <c r="X159">
        <v>4.0897800000000002</v>
      </c>
      <c r="Y159" s="10">
        <v>1.111999999999757</v>
      </c>
      <c r="Z159" s="10">
        <v>1.0074999999993017</v>
      </c>
      <c r="AA159" s="10">
        <v>2.8550000000000346</v>
      </c>
      <c r="AB159" s="10">
        <v>1.0270000000000137</v>
      </c>
      <c r="AC159" s="10">
        <v>3.609000000000318</v>
      </c>
      <c r="AD159" s="10">
        <v>0.97849999999997128</v>
      </c>
      <c r="AE159" s="10">
        <v>0.87399999999991962</v>
      </c>
      <c r="AF159" s="10">
        <v>0.93400000000007966</v>
      </c>
      <c r="AI159" s="10">
        <v>0.71463639524976796</v>
      </c>
      <c r="AJ159" s="10">
        <v>0.52347596988999212</v>
      </c>
      <c r="AK159" s="10">
        <v>0.53499999999999148</v>
      </c>
      <c r="AL159" s="10">
        <v>0.68466597077252378</v>
      </c>
      <c r="AM159" s="10">
        <v>0.6366388308976475</v>
      </c>
      <c r="AN159" s="10">
        <v>0.84885177453018001</v>
      </c>
      <c r="AO159" s="10">
        <v>0.98592147993507695</v>
      </c>
      <c r="AP159" s="10">
        <v>0.89073590814186032</v>
      </c>
      <c r="AQ159" s="10">
        <v>0.82527255857106607</v>
      </c>
      <c r="AR159" s="10">
        <v>0.53591519925852271</v>
      </c>
      <c r="AS159" s="10">
        <v>0.55063674321506595</v>
      </c>
      <c r="AT159" s="10">
        <v>0.72270296914892862</v>
      </c>
      <c r="AU159" s="10">
        <v>0.76632451867254747</v>
      </c>
      <c r="AV159" s="10">
        <v>0.67076664336289638</v>
      </c>
      <c r="AX159" s="10">
        <v>0.74869850380840175</v>
      </c>
      <c r="AY159" s="10">
        <v>0.54803530978576542</v>
      </c>
      <c r="AZ159" s="10">
        <v>0.56049999999999112</v>
      </c>
      <c r="BA159" s="10">
        <v>0.71729958246355052</v>
      </c>
      <c r="BB159" s="10">
        <v>0.66698329853856331</v>
      </c>
      <c r="BC159" s="10">
        <v>0.88931106471806698</v>
      </c>
      <c r="BD159" s="10">
        <v>1.0329139990721692</v>
      </c>
      <c r="BE159" s="10">
        <v>0.9331915448850705</v>
      </c>
      <c r="BF159" s="10">
        <v>0.56156858202033677</v>
      </c>
      <c r="BG159" s="10">
        <v>0.57688204592905512</v>
      </c>
      <c r="BH159" s="10">
        <v>0.75714955926724203</v>
      </c>
      <c r="BI159" s="10">
        <v>0.86460797958707014</v>
      </c>
      <c r="BJ159" s="10">
        <v>0.80285026675880899</v>
      </c>
      <c r="BK159" s="10">
        <v>0.70273776374748309</v>
      </c>
    </row>
    <row r="160" spans="1:63" x14ac:dyDescent="0.25">
      <c r="A160" s="4">
        <f>+WORKDAY(A159,1,Feriados!$A$2:$A$38)</f>
        <v>46304</v>
      </c>
      <c r="B160" s="10">
        <v>1.3407499999999908</v>
      </c>
      <c r="C160" s="10">
        <v>1.0754900000000014</v>
      </c>
      <c r="D160">
        <v>1.26211111</v>
      </c>
      <c r="F160">
        <v>1.51388945</v>
      </c>
      <c r="G160">
        <v>1.0415968799999999</v>
      </c>
      <c r="H160">
        <v>1.36954767</v>
      </c>
      <c r="I160">
        <v>1.2905880999999999</v>
      </c>
      <c r="J160">
        <v>1.3063048799999999</v>
      </c>
      <c r="K160">
        <v>1.0299231099999999</v>
      </c>
      <c r="L160">
        <v>1.25329863</v>
      </c>
      <c r="O160">
        <v>1.2552227199999999</v>
      </c>
      <c r="P160">
        <v>1.10295125</v>
      </c>
      <c r="R160">
        <v>1.27997136</v>
      </c>
      <c r="S160" s="10">
        <v>3.1109999999999638</v>
      </c>
      <c r="T160" s="10">
        <v>1.0299999999999943</v>
      </c>
      <c r="U160" s="10">
        <v>2.3154999999999548</v>
      </c>
      <c r="V160">
        <v>1.27508665</v>
      </c>
      <c r="W160" s="10">
        <v>1.2529999999999786</v>
      </c>
      <c r="X160">
        <v>4.0949929899999997</v>
      </c>
      <c r="Y160" s="10">
        <v>1.1134999999998496</v>
      </c>
      <c r="Z160" s="10">
        <v>1.011499999999532</v>
      </c>
      <c r="AA160" s="10">
        <v>2.865999999999933</v>
      </c>
      <c r="AB160" s="10">
        <v>1.0309999999999553</v>
      </c>
      <c r="AC160" s="10">
        <v>3.6205000000001544</v>
      </c>
      <c r="AD160" s="10">
        <v>0.98099999999994925</v>
      </c>
      <c r="AE160" s="10">
        <v>0.8770000000000947</v>
      </c>
      <c r="AF160" s="10">
        <v>0.92899999999987859</v>
      </c>
      <c r="AI160" s="10">
        <v>0.71569428404532698</v>
      </c>
      <c r="AJ160" s="10">
        <v>0.52310046189374138</v>
      </c>
      <c r="AK160" s="10">
        <v>0.53749999999999243</v>
      </c>
      <c r="AL160" s="10">
        <v>0.68335739030009823</v>
      </c>
      <c r="AM160" s="10">
        <v>0.63575202078527981</v>
      </c>
      <c r="AN160" s="10">
        <v>0.84721420323313945</v>
      </c>
      <c r="AO160" s="10">
        <v>0.98673554939983876</v>
      </c>
      <c r="AP160" s="10">
        <v>0.8937023672055292</v>
      </c>
      <c r="AQ160" s="10">
        <v>0.82549076212470607</v>
      </c>
      <c r="AR160" s="10">
        <v>0.53351587209972784</v>
      </c>
      <c r="AS160" s="10">
        <v>0.55084439953809849</v>
      </c>
      <c r="AT160" s="10">
        <v>0.72214924942272507</v>
      </c>
      <c r="AU160" s="10">
        <v>0.76737056446945384</v>
      </c>
      <c r="AV160" s="10">
        <v>0.67144053106112556</v>
      </c>
      <c r="AX160" s="10">
        <v>0.74911554270493197</v>
      </c>
      <c r="AY160" s="10">
        <v>0.54752803695147689</v>
      </c>
      <c r="AZ160" s="10">
        <v>0.562599999999992</v>
      </c>
      <c r="BA160" s="10">
        <v>0.71526859122387942</v>
      </c>
      <c r="BB160" s="10">
        <v>0.66544016166288078</v>
      </c>
      <c r="BC160" s="10">
        <v>0.88677713625853816</v>
      </c>
      <c r="BD160" s="10">
        <v>1.0347120729455461</v>
      </c>
      <c r="BE160" s="10">
        <v>0.93543618937642914</v>
      </c>
      <c r="BF160" s="10">
        <v>0.55915802839662243</v>
      </c>
      <c r="BG160" s="10">
        <v>0.57656755196304033</v>
      </c>
      <c r="BH160" s="10">
        <v>0.75587193995390711</v>
      </c>
      <c r="BI160" s="10">
        <v>0.86403926096997141</v>
      </c>
      <c r="BJ160" s="10">
        <v>0.80425238370066088</v>
      </c>
      <c r="BK160" s="10">
        <v>0.7027952423720728</v>
      </c>
    </row>
    <row r="161" spans="1:63" x14ac:dyDescent="0.25">
      <c r="A161" s="4">
        <f>+WORKDAY(A160,1,Feriados!$A$2:$A$38)</f>
        <v>46308</v>
      </c>
      <c r="B161" s="10">
        <v>1.3396799999999911</v>
      </c>
      <c r="C161" s="10">
        <v>1.0757599999999916</v>
      </c>
      <c r="D161">
        <v>1.2606297799999999</v>
      </c>
      <c r="F161">
        <v>1.51469338</v>
      </c>
      <c r="G161">
        <v>1.0406137799999999</v>
      </c>
      <c r="H161">
        <v>1.3711843500000001</v>
      </c>
      <c r="I161">
        <v>1.2911038800000001</v>
      </c>
      <c r="J161">
        <v>1.3084733</v>
      </c>
      <c r="K161">
        <v>1.0300585799999999</v>
      </c>
      <c r="L161">
        <v>1.25503353</v>
      </c>
      <c r="O161">
        <v>1.25371196</v>
      </c>
      <c r="P161">
        <v>1.1039651500000001</v>
      </c>
      <c r="R161">
        <v>1.2802404700000001</v>
      </c>
      <c r="S161" s="10">
        <v>3.1109999999999713</v>
      </c>
      <c r="T161" s="10">
        <v>1.0300999999999998</v>
      </c>
      <c r="U161" s="10">
        <v>2.3159999999999399</v>
      </c>
      <c r="V161">
        <v>1.2767506399999999</v>
      </c>
      <c r="W161" s="10">
        <v>1.2550000000000368</v>
      </c>
      <c r="X161">
        <v>4.1012386899999997</v>
      </c>
      <c r="Y161" s="10">
        <v>1.1179999999998662</v>
      </c>
      <c r="Z161" s="10">
        <v>1.0149999999997137</v>
      </c>
      <c r="AA161" s="10">
        <v>2.8705000000000136</v>
      </c>
      <c r="AB161" s="10">
        <v>1.0309999999999957</v>
      </c>
      <c r="AC161" s="10">
        <v>3.6195000000004205</v>
      </c>
      <c r="AD161" s="10">
        <v>0.98150000000005577</v>
      </c>
      <c r="AE161" s="10">
        <v>0.87399999999993483</v>
      </c>
      <c r="AF161" s="10">
        <v>0.93000000000001459</v>
      </c>
      <c r="AI161" s="10">
        <v>0.71479495076008615</v>
      </c>
      <c r="AJ161" s="10">
        <v>0.52282399258913692</v>
      </c>
      <c r="AK161" s="10">
        <v>0.53559999999997876</v>
      </c>
      <c r="AL161" s="10">
        <v>0.68252408522476404</v>
      </c>
      <c r="AM161" s="10">
        <v>0.63079986104656793</v>
      </c>
      <c r="AN161" s="10">
        <v>0.84451889763775601</v>
      </c>
      <c r="AO161" s="10">
        <v>0.98796989346919306</v>
      </c>
      <c r="AP161" s="10">
        <v>0.89308012968968487</v>
      </c>
      <c r="AQ161" s="10">
        <v>0.82417651690598182</v>
      </c>
      <c r="AR161" s="10">
        <v>0.53591013317895886</v>
      </c>
      <c r="AS161" s="10">
        <v>0.54955437702641607</v>
      </c>
      <c r="AT161" s="10">
        <v>0.72134826308474753</v>
      </c>
      <c r="AU161" s="10">
        <v>0.76913028372867942</v>
      </c>
      <c r="AV161" s="10">
        <v>0.67043029167411528</v>
      </c>
      <c r="AX161" s="10">
        <v>0.74976064850077728</v>
      </c>
      <c r="AY161" s="10">
        <v>0.54742288096338299</v>
      </c>
      <c r="AZ161" s="10">
        <v>0.56079999999997765</v>
      </c>
      <c r="BA161" s="10">
        <v>0.71463686892092537</v>
      </c>
      <c r="BB161" s="10">
        <v>0.66047901806369547</v>
      </c>
      <c r="BC161" s="10">
        <v>0.88425354330704553</v>
      </c>
      <c r="BD161" s="10">
        <v>1.0344539138489983</v>
      </c>
      <c r="BE161" s="10">
        <v>0.93509958314035702</v>
      </c>
      <c r="BF161" s="10">
        <v>0.56212530399540517</v>
      </c>
      <c r="BG161" s="10">
        <v>0.57541093098658347</v>
      </c>
      <c r="BH161" s="10">
        <v>0.75528772579896641</v>
      </c>
      <c r="BI161" s="10">
        <v>0.86295405280223025</v>
      </c>
      <c r="BJ161" s="10">
        <v>0.80675390851152362</v>
      </c>
      <c r="BK161" s="10">
        <v>0.70197406193212075</v>
      </c>
    </row>
    <row r="162" spans="1:63" x14ac:dyDescent="0.25">
      <c r="A162" s="4">
        <f>+WORKDAY(A161,1,Feriados!$A$2:$A$38)</f>
        <v>46309</v>
      </c>
      <c r="B162" s="10">
        <v>1.3396199999999987</v>
      </c>
      <c r="C162" s="10">
        <v>1.0760499999999897</v>
      </c>
      <c r="D162">
        <v>1.26006102</v>
      </c>
      <c r="F162">
        <f>INDEX('[1]Precios historicos'!$A:$AZ,MATCH(F$1,'[1]Precios historicos'!$A:$A,0),MATCH($A162,'[1]Precios historicos'!$7:$7,0))</f>
        <v>1.51396376</v>
      </c>
      <c r="G162">
        <f>INDEX('[1]Precios historicos'!$A:$AZ,MATCH(G$1,'[1]Precios historicos'!$A:$A,0),MATCH($A162,'[1]Precios historicos'!$7:$7,0))</f>
        <v>1.04013471</v>
      </c>
      <c r="H162">
        <v>1.37126331</v>
      </c>
      <c r="I162">
        <f>INDEX('[1]Precios historicos'!$A:$AZ,MATCH(I$1,'[1]Precios historicos'!$A:$A,0),MATCH($A162,'[1]Precios historicos'!$7:$7,0))</f>
        <v>1.291304</v>
      </c>
      <c r="J162">
        <v>1.3090459999999999</v>
      </c>
      <c r="K162">
        <v>1.0310101599999999</v>
      </c>
      <c r="L162">
        <v>1.2571690799999999</v>
      </c>
      <c r="O162">
        <f>INDEX('[1]Precios historicos'!$A:$AZ,MATCH(O$1,'[1]Precios historicos'!$A:$A,0),MATCH($A162,'[1]Precios historicos'!$7:$7,0))</f>
        <v>1.25551919</v>
      </c>
      <c r="P162">
        <f>INDEX('[1]Precios historicos'!$A:$AZ,MATCH(P$1,'[1]Precios historicos'!$A:$A,0),MATCH($A162,'[1]Precios historicos'!$7:$7,0))</f>
        <v>1.1058990500000001</v>
      </c>
      <c r="R162">
        <v>1.2795586299999999</v>
      </c>
      <c r="S162" s="10">
        <v>3.1119999999999859</v>
      </c>
      <c r="T162" s="10">
        <v>1.0315000000000099</v>
      </c>
      <c r="U162" s="10">
        <v>2.317499999998391</v>
      </c>
      <c r="V162">
        <v>1.2759046999999999</v>
      </c>
      <c r="W162" s="10">
        <v>1.2569999999999877</v>
      </c>
      <c r="X162">
        <v>4.1108232600000001</v>
      </c>
      <c r="Y162" s="10">
        <v>1.1169999999998106</v>
      </c>
      <c r="Z162" s="10">
        <v>1.0159999999996883</v>
      </c>
      <c r="AA162" s="10">
        <v>2.8710000000001146</v>
      </c>
      <c r="AB162" s="10">
        <v>1.0320000000000027</v>
      </c>
      <c r="AC162" s="10">
        <v>3.6139999999998311</v>
      </c>
      <c r="AD162" s="10">
        <v>0.9814999999999432</v>
      </c>
      <c r="AE162" s="10">
        <v>0.87049999999998651</v>
      </c>
      <c r="AF162" s="10">
        <v>0.92459999999996267</v>
      </c>
      <c r="AI162" s="10">
        <v>0.70965743098969314</v>
      </c>
      <c r="AJ162" s="10">
        <v>0.51946800370973412</v>
      </c>
      <c r="AK162" s="10">
        <v>0.53300000000003145</v>
      </c>
      <c r="AL162" s="10">
        <v>0.67536401576629923</v>
      </c>
      <c r="AM162" s="10">
        <v>0.62716786459556462</v>
      </c>
      <c r="AN162" s="10">
        <v>0.84157894736835659</v>
      </c>
      <c r="AO162" s="10">
        <v>0.98554950150709109</v>
      </c>
      <c r="AP162" s="10">
        <v>0.88853929979132718</v>
      </c>
      <c r="AQ162" s="10">
        <v>0.82198087843315415</v>
      </c>
      <c r="AR162" s="10">
        <v>0.53262926037560676</v>
      </c>
      <c r="AS162" s="10">
        <v>0.54733526547647238</v>
      </c>
      <c r="AT162" s="10">
        <v>0.71552747507523418</v>
      </c>
      <c r="AU162" s="10">
        <v>0.76378541618321039</v>
      </c>
      <c r="AV162" s="10">
        <v>0.66387108721734678</v>
      </c>
      <c r="AX162" s="10">
        <v>0.74826918614673088</v>
      </c>
      <c r="AY162" s="10">
        <v>0.54773174124741197</v>
      </c>
      <c r="AZ162" s="10">
        <v>0.56200000000003325</v>
      </c>
      <c r="BA162" s="10">
        <v>0.7121099003014264</v>
      </c>
      <c r="BB162" s="10">
        <v>0.66129144447037025</v>
      </c>
      <c r="BC162" s="10">
        <v>0.88736842105256375</v>
      </c>
      <c r="BD162" s="10">
        <v>1.0391722698817738</v>
      </c>
      <c r="BE162" s="10">
        <v>0.9368838395548329</v>
      </c>
      <c r="BF162" s="10">
        <v>0.56160908880129645</v>
      </c>
      <c r="BG162" s="10">
        <v>0.57711523301646817</v>
      </c>
      <c r="BH162" s="10">
        <v>0.75445861349396193</v>
      </c>
      <c r="BI162" s="10">
        <v>0.86495121103252648</v>
      </c>
      <c r="BJ162" s="10">
        <v>0.80534222119130261</v>
      </c>
      <c r="BK162" s="10">
        <v>0.69999165293836574</v>
      </c>
    </row>
    <row r="163" spans="1:63" x14ac:dyDescent="0.25">
      <c r="A163" s="4">
        <f>+WORKDAY(A162,1,Feriados!$A$2:$A$38)</f>
        <v>46310</v>
      </c>
      <c r="B163" s="10">
        <v>1.3426999999999913</v>
      </c>
      <c r="C163" s="10">
        <v>1.0771899999999925</v>
      </c>
      <c r="D163">
        <v>1.2619768200000001</v>
      </c>
      <c r="F163">
        <f>INDEX('[1]Precios historicos'!$A:$AZ,MATCH(F$1,'[1]Precios historicos'!$A:$A,0),MATCH($A163,'[1]Precios historicos'!$7:$7,0))</f>
        <v>1.51818404</v>
      </c>
      <c r="G163">
        <f>INDEX('[1]Precios historicos'!$A:$AZ,MATCH(G$1,'[1]Precios historicos'!$A:$A,0),MATCH($A163,'[1]Precios historicos'!$7:$7,0))</f>
        <v>1.0380406799999999</v>
      </c>
      <c r="H163">
        <v>1.3748229700000001</v>
      </c>
      <c r="I163">
        <f>INDEX('[1]Precios historicos'!$A:$AZ,MATCH(I$1,'[1]Precios historicos'!$A:$A,0),MATCH($A163,'[1]Precios historicos'!$7:$7,0))</f>
        <v>1.29516952</v>
      </c>
      <c r="J163">
        <v>1.3161225700000001</v>
      </c>
      <c r="K163">
        <v>1.0331343399999999</v>
      </c>
      <c r="L163">
        <v>1.2612713499999999</v>
      </c>
      <c r="O163">
        <f>INDEX('[1]Precios historicos'!$A:$AZ,MATCH(O$1,'[1]Precios historicos'!$A:$A,0),MATCH($A163,'[1]Precios historicos'!$7:$7,0))</f>
        <v>1.2569410700000001</v>
      </c>
      <c r="P163">
        <f>INDEX('[1]Precios historicos'!$A:$AZ,MATCH(P$1,'[1]Precios historicos'!$A:$A,0),MATCH($A163,'[1]Precios historicos'!$7:$7,0))</f>
        <v>1.11006571</v>
      </c>
      <c r="R163">
        <v>1.2819699200000001</v>
      </c>
      <c r="S163" s="10">
        <v>3.1140000000000105</v>
      </c>
      <c r="T163" s="10">
        <v>1.0338999999999954</v>
      </c>
      <c r="U163" s="10">
        <v>2.3209999999999913</v>
      </c>
      <c r="V163">
        <v>1.27900002</v>
      </c>
      <c r="W163" s="10">
        <v>1.2614999999999921</v>
      </c>
      <c r="X163">
        <v>4.1311680300000004</v>
      </c>
      <c r="Y163" s="10">
        <v>1.119999999999945</v>
      </c>
      <c r="Z163" s="10">
        <v>1.0189999999998482</v>
      </c>
      <c r="AA163" s="10">
        <v>2.8815000000000315</v>
      </c>
      <c r="AB163" s="10">
        <v>1.0330000000000428</v>
      </c>
      <c r="AC163" s="10">
        <v>3.6164999999998924</v>
      </c>
      <c r="AD163" s="10">
        <v>0.98099999999999465</v>
      </c>
      <c r="AE163" s="10">
        <v>0.87499999999998002</v>
      </c>
      <c r="AF163" s="10">
        <v>0.92349999999998489</v>
      </c>
      <c r="AI163" s="10">
        <v>0.71108259906279503</v>
      </c>
      <c r="AJ163" s="10">
        <v>0.52269461815647555</v>
      </c>
      <c r="AK163" s="10">
        <v>0.53260000000002539</v>
      </c>
      <c r="AL163" s="10">
        <v>0.67833293037322773</v>
      </c>
      <c r="AM163" s="10">
        <v>0.63004419388589783</v>
      </c>
      <c r="AN163" s="10">
        <v>0.84381471579676626</v>
      </c>
      <c r="AO163" s="10">
        <v>0.98496640706728</v>
      </c>
      <c r="AP163" s="10">
        <v>0.8911748227363202</v>
      </c>
      <c r="AQ163" s="10">
        <v>0.82066088573747564</v>
      </c>
      <c r="AR163" s="10">
        <v>0.53507634546091498</v>
      </c>
      <c r="AS163" s="10">
        <v>0.5463437173079071</v>
      </c>
      <c r="AT163" s="10">
        <v>0.71628292456123877</v>
      </c>
      <c r="AU163" s="10">
        <v>0.76599555968800981</v>
      </c>
      <c r="AV163" s="10">
        <v>0.6653940251578021</v>
      </c>
      <c r="AX163" s="10">
        <v>0.74966744155794085</v>
      </c>
      <c r="AY163" s="10">
        <v>0.55105713123331024</v>
      </c>
      <c r="AZ163" s="10">
        <v>0.56150000000002676</v>
      </c>
      <c r="BA163" s="10">
        <v>0.71514070673031793</v>
      </c>
      <c r="BB163" s="10">
        <v>0.66423172149254894</v>
      </c>
      <c r="BC163" s="10">
        <v>0.8896018830639959</v>
      </c>
      <c r="BD163" s="10">
        <v>1.0384127629896314</v>
      </c>
      <c r="BE163" s="10">
        <v>0.93953184935494505</v>
      </c>
      <c r="BF163" s="10">
        <v>0.56411071719170813</v>
      </c>
      <c r="BG163" s="10">
        <v>0.57598948041379994</v>
      </c>
      <c r="BH163" s="10">
        <v>0.7551499476927066</v>
      </c>
      <c r="BI163" s="10">
        <v>0.86519167732180335</v>
      </c>
      <c r="BJ163" s="10">
        <v>0.8075600953150911</v>
      </c>
      <c r="BK163" s="10">
        <v>0.70149970921161442</v>
      </c>
    </row>
    <row r="164" spans="1:63" x14ac:dyDescent="0.25">
      <c r="A164" s="4">
        <f>+WORKDAY(A163,1,Feriados!$A$2:$A$38)</f>
        <v>46311</v>
      </c>
      <c r="B164" s="10">
        <v>1.3462190999999999</v>
      </c>
      <c r="C164" s="10">
        <v>1.07952012</v>
      </c>
      <c r="D164">
        <v>1.2652142500000001</v>
      </c>
      <c r="F164">
        <v>1.5226219299999999</v>
      </c>
      <c r="G164">
        <v>1.0465052399999999</v>
      </c>
      <c r="H164">
        <v>1.3789722900000001</v>
      </c>
      <c r="I164">
        <v>1.29837176</v>
      </c>
      <c r="J164">
        <v>1.31940788</v>
      </c>
      <c r="K164">
        <v>1.03549508</v>
      </c>
      <c r="L164">
        <v>1.26553798</v>
      </c>
      <c r="O164">
        <v>1.2600124800000001</v>
      </c>
      <c r="P164">
        <v>1.1138335500000001</v>
      </c>
      <c r="S164" s="10">
        <v>3.121</v>
      </c>
      <c r="T164" s="10">
        <v>1.0355000000000001</v>
      </c>
      <c r="U164" s="10">
        <v>2.3275000000000001</v>
      </c>
      <c r="V164">
        <v>1.28355</v>
      </c>
      <c r="W164" s="10">
        <v>1.2655000000000001</v>
      </c>
      <c r="X164">
        <v>4.142274E-2</v>
      </c>
      <c r="Y164" s="10">
        <v>1.1234999999999999</v>
      </c>
      <c r="Z164" s="10">
        <v>1.0189999999999999</v>
      </c>
      <c r="AA164" s="10">
        <v>2.8944999999999999</v>
      </c>
      <c r="AB164" s="10">
        <v>1.038</v>
      </c>
      <c r="AC164" s="10">
        <v>3.6265000000000001</v>
      </c>
      <c r="AD164" s="10">
        <v>0.98399999999999999</v>
      </c>
      <c r="AE164" s="10">
        <v>0.87450000000000006</v>
      </c>
      <c r="AF164" s="10">
        <v>0.93</v>
      </c>
      <c r="AI164" s="10">
        <v>0.70038206999999997</v>
      </c>
      <c r="AJ164" s="10">
        <v>0.51458910000000002</v>
      </c>
      <c r="AK164" s="10">
        <v>0.52700000000000002</v>
      </c>
      <c r="AL164" s="10">
        <v>0.66981793000000001</v>
      </c>
      <c r="AM164" s="10">
        <v>0.62134750999999999</v>
      </c>
      <c r="AN164" s="10">
        <v>0.83295021000000002</v>
      </c>
      <c r="AO164" s="10">
        <v>0.98293063999999997</v>
      </c>
      <c r="AP164" s="10">
        <v>0.88728647000000005</v>
      </c>
      <c r="AQ164" s="10">
        <v>0.81183316000000005</v>
      </c>
      <c r="AR164" s="10">
        <v>0.53162496999999997</v>
      </c>
      <c r="AS164" s="10">
        <v>0.54039883</v>
      </c>
      <c r="AT164" s="10">
        <v>0.70575394999999996</v>
      </c>
      <c r="AU164" s="10">
        <v>0.75860832</v>
      </c>
      <c r="AV164" s="10">
        <v>0.65129420000000005</v>
      </c>
      <c r="AX164" s="10">
        <v>0.73812562000000004</v>
      </c>
      <c r="AY164" s="10">
        <v>0.54232027999999999</v>
      </c>
      <c r="AZ164" s="10">
        <v>0.5554</v>
      </c>
      <c r="BA164" s="10">
        <v>0.70591437999999995</v>
      </c>
      <c r="BB164" s="10">
        <v>0.65483188999999997</v>
      </c>
      <c r="BC164" s="10">
        <v>0.87783783999999998</v>
      </c>
      <c r="BD164" s="10">
        <v>1.0359007099999999</v>
      </c>
      <c r="BE164" s="10">
        <v>0.93510227999999995</v>
      </c>
      <c r="BF164" s="10">
        <v>0.56067772000000005</v>
      </c>
      <c r="BG164" s="10">
        <v>0.56952088999999995</v>
      </c>
      <c r="BH164" s="10">
        <v>0.74378699000000004</v>
      </c>
      <c r="BI164" s="10">
        <v>0.85558279999999998</v>
      </c>
      <c r="BJ164" s="10">
        <v>0.79948967999999998</v>
      </c>
      <c r="BK164" s="10">
        <v>0.68639240999999995</v>
      </c>
    </row>
    <row r="165" spans="1:63" x14ac:dyDescent="0.25">
      <c r="A165" s="4">
        <f>+WORKDAY(A164,1,Feriados!$A$2:$A$38)</f>
        <v>46314</v>
      </c>
      <c r="B165" t="e">
        <f>INDEX('[2]Precios Históricos'!$A:$AZ,MATCH(B$1,'[2]Precios Históricos'!$B:$B,0),MATCH($A165,'[2]Precios Históricos'!$6:$6,0))</f>
        <v>#N/A</v>
      </c>
      <c r="C165" t="e">
        <f>INDEX('[2]Precios Históricos'!$A:$AZ,MATCH(C$1,'[2]Precios Históricos'!$B:$B,0),MATCH($A165,'[2]Precios Históricos'!$6:$6,0))</f>
        <v>#N/A</v>
      </c>
      <c r="D165" t="e">
        <f>INDEX('[2]Precios Históricos'!$A:$AZ,MATCH(D$1,'[2]Precios Históricos'!$B:$B,0),MATCH($A165,'[2]Precios Históricos'!$6:$6,0))</f>
        <v>#N/A</v>
      </c>
      <c r="F165" t="e">
        <f>INDEX('[2]Precios Históricos'!$A:$AZ,MATCH(F$1,'[2]Precios Históricos'!$B:$B,0),MATCH($A165,'[2]Precios Históricos'!$6:$6,0))</f>
        <v>#N/A</v>
      </c>
      <c r="G165" t="e">
        <f>INDEX('[2]Precios Históricos'!$A:$AZ,MATCH(G$1,'[2]Precios Históricos'!$B:$B,0),MATCH($A165,'[2]Precios Históricos'!$6:$6,0))</f>
        <v>#N/A</v>
      </c>
      <c r="H165" t="e">
        <f>INDEX('[2]Precios Históricos'!$A:$AZ,MATCH(H$1,'[2]Precios Históricos'!$B:$B,0),MATCH($A165,'[2]Precios Históricos'!$6:$6,0))</f>
        <v>#N/A</v>
      </c>
      <c r="I165" t="e">
        <f>INDEX('[2]Precios Históricos'!$A:$AZ,MATCH(I$1,'[2]Precios Históricos'!$B:$B,0),MATCH($A165,'[2]Precios Históricos'!$6:$6,0))</f>
        <v>#N/A</v>
      </c>
      <c r="J165" t="e">
        <f>INDEX('[2]Precios Históricos'!$A:$AZ,MATCH(J$1,'[2]Precios Históricos'!$B:$B,0),MATCH($A165,'[2]Precios Históricos'!$6:$6,0))</f>
        <v>#N/A</v>
      </c>
      <c r="K165" t="e">
        <f>INDEX('[2]Precios Históricos'!$A:$AZ,MATCH(K$1,'[2]Precios Históricos'!$B:$B,0),MATCH($A165,'[2]Precios Históricos'!$6:$6,0))</f>
        <v>#N/A</v>
      </c>
      <c r="L165" t="e">
        <f>INDEX('[2]Precios Históricos'!$A:$AZ,MATCH(L$1,'[2]Precios Históricos'!$B:$B,0),MATCH($A165,'[2]Precios Históricos'!$6:$6,0))</f>
        <v>#N/A</v>
      </c>
      <c r="O165" t="e">
        <f>INDEX('[2]Precios Históricos'!$A:$AZ,MATCH(O$1,'[2]Precios Históricos'!$B:$B,0),MATCH($A165,'[2]Precios Históricos'!$6:$6,0))</f>
        <v>#N/A</v>
      </c>
      <c r="P165" t="e">
        <f>INDEX('[2]Precios Históricos'!$A:$AZ,MATCH(P$1,'[2]Precios Históricos'!$B:$B,0),MATCH($A165,'[2]Precios Históricos'!$6:$6,0))</f>
        <v>#N/A</v>
      </c>
      <c r="R165" t="e">
        <f>INDEX('[2]Precios Históricos'!$A:$AZ,MATCH(R$1,'[2]Precios Históricos'!$B:$B,0),MATCH($A165,'[2]Precios Históricos'!$6:$6,0))</f>
        <v>#N/A</v>
      </c>
      <c r="S165" t="e">
        <f>INDEX('[2]Precios Históricos'!$A:$AZ,MATCH(S$1,'[2]Precios Históricos'!$B:$B,0),MATCH($A165,'[2]Precios Históricos'!$6:$6,0))</f>
        <v>#N/A</v>
      </c>
      <c r="T165" t="e">
        <f>INDEX('[2]Precios Históricos'!$A:$AZ,MATCH(T$1,'[2]Precios Históricos'!$B:$B,0),MATCH($A165,'[2]Precios Históricos'!$6:$6,0))</f>
        <v>#N/A</v>
      </c>
      <c r="U165" t="e">
        <f>INDEX('[2]Precios Históricos'!$A:$AZ,MATCH(U$1,'[2]Precios Históricos'!$B:$B,0),MATCH($A165,'[2]Precios Históricos'!$6:$6,0))</f>
        <v>#N/A</v>
      </c>
      <c r="V165" t="e">
        <f>INDEX('[2]Precios Históricos'!$A:$AZ,MATCH(V$1,'[2]Precios Históricos'!$B:$B,0),MATCH($A165,'[2]Precios Históricos'!$6:$6,0))</f>
        <v>#N/A</v>
      </c>
      <c r="W165" t="e">
        <f>INDEX('[2]Precios Históricos'!$A:$AZ,MATCH(W$1,'[2]Precios Históricos'!$B:$B,0),MATCH($A165,'[2]Precios Históricos'!$6:$6,0))</f>
        <v>#N/A</v>
      </c>
      <c r="X165" t="e">
        <f>INDEX('[2]Precios Históricos'!$A:$AZ,MATCH(X$1,'[2]Precios Históricos'!$B:$B,0),MATCH($A165,'[2]Precios Históricos'!$6:$6,0))</f>
        <v>#N/A</v>
      </c>
      <c r="Y165" t="e">
        <f>INDEX('[2]Precios Históricos'!$A:$AZ,MATCH(Y$1,'[2]Precios Históricos'!$B:$B,0),MATCH($A165,'[2]Precios Históricos'!$6:$6,0))</f>
        <v>#N/A</v>
      </c>
      <c r="Z165" t="e">
        <f>INDEX('[2]Precios Históricos'!$A:$AZ,MATCH(Z$1,'[2]Precios Históricos'!$B:$B,0),MATCH($A165,'[2]Precios Históricos'!$6:$6,0))</f>
        <v>#N/A</v>
      </c>
      <c r="AA165" t="e">
        <f>INDEX('[2]Precios Históricos'!$A:$AZ,MATCH(AA$1,'[2]Precios Históricos'!$B:$B,0),MATCH($A165,'[2]Precios Históricos'!$6:$6,0))</f>
        <v>#N/A</v>
      </c>
      <c r="AB165" t="e">
        <f>INDEX('[2]Precios Históricos'!$A:$AZ,MATCH(AB$1,'[2]Precios Históricos'!$B:$B,0),MATCH($A165,'[2]Precios Históricos'!$6:$6,0))</f>
        <v>#N/A</v>
      </c>
      <c r="AC165" t="e">
        <f>INDEX('[2]Precios Históricos'!$A:$AZ,MATCH(AC$1,'[2]Precios Históricos'!$B:$B,0),MATCH($A165,'[2]Precios Históricos'!$6:$6,0))</f>
        <v>#N/A</v>
      </c>
      <c r="AD165" t="e">
        <f>INDEX('[2]Precios Históricos'!$A:$AZ,MATCH(AD$1,'[2]Precios Históricos'!$B:$B,0),MATCH($A165,'[2]Precios Históricos'!$6:$6,0))</f>
        <v>#N/A</v>
      </c>
      <c r="AE165" t="e">
        <f>INDEX('[2]Precios Históricos'!$A:$AZ,MATCH(AE$1,'[2]Precios Históricos'!$B:$B,0),MATCH($A165,'[2]Precios Históricos'!$6:$6,0))</f>
        <v>#N/A</v>
      </c>
      <c r="AF165" t="e">
        <f>INDEX('[2]Precios Históricos'!$A:$AZ,MATCH(AF$1,'[2]Precios Históricos'!$B:$B,0),MATCH($A165,'[2]Precios Históricos'!$6:$6,0))</f>
        <v>#N/A</v>
      </c>
      <c r="AI165" s="10">
        <v>0.68950187864166035</v>
      </c>
      <c r="AJ165" s="10">
        <v>0.51586550023489208</v>
      </c>
      <c r="AK165" s="10">
        <v>0.52379999999997218</v>
      </c>
      <c r="AL165" s="10">
        <v>0.66182339126343404</v>
      </c>
      <c r="AM165" s="10">
        <v>0.61200211366837876</v>
      </c>
      <c r="AN165" s="10">
        <v>0.82875542508200051</v>
      </c>
      <c r="AO165" s="10">
        <v>0.98141766087360727</v>
      </c>
      <c r="AP165" s="10">
        <v>0.87562433067167011</v>
      </c>
      <c r="AQ165" s="10">
        <v>0.80636660403944371</v>
      </c>
      <c r="AR165" s="10">
        <v>0.53093489901360646</v>
      </c>
      <c r="AS165" s="10">
        <v>0.53948447627994667</v>
      </c>
      <c r="AT165" s="10">
        <v>0.70241850634121106</v>
      </c>
      <c r="AU165" s="10">
        <v>0.74639654767262587</v>
      </c>
      <c r="AV165" s="10">
        <v>0.64829168623782496</v>
      </c>
      <c r="AX165" s="10">
        <v>0.72754426942582229</v>
      </c>
      <c r="AY165" s="10">
        <v>0.54432772428374354</v>
      </c>
      <c r="AZ165" s="10">
        <v>0.55269999999997066</v>
      </c>
      <c r="BA165" s="10">
        <v>0.69833865664623918</v>
      </c>
      <c r="BB165" s="10">
        <v>0.64576855331140304</v>
      </c>
      <c r="BC165" s="10">
        <v>0.87448095349908694</v>
      </c>
      <c r="BD165" s="10">
        <v>1.035566134335324</v>
      </c>
      <c r="BE165" s="10">
        <v>0.92393579145137861</v>
      </c>
      <c r="BF165" s="10">
        <v>0.56022855800843896</v>
      </c>
      <c r="BG165" s="10">
        <v>0.56924984734617512</v>
      </c>
      <c r="BH165" s="10">
        <v>0.74117355566015153</v>
      </c>
      <c r="BI165" s="10">
        <v>0.85085685767964991</v>
      </c>
      <c r="BJ165" s="10">
        <v>0.78757802958888956</v>
      </c>
      <c r="BK165" s="10">
        <v>0.68406035697526901</v>
      </c>
    </row>
    <row r="166" spans="1:63" x14ac:dyDescent="0.25">
      <c r="A166" s="4">
        <f>+WORKDAY(A165,1,Feriados!$A$2:$A$38)</f>
        <v>46315</v>
      </c>
      <c r="B166" t="e">
        <f>INDEX('[2]Precios Históricos'!$A:$AZ,MATCH(B$1,'[2]Precios Históricos'!$B:$B,0),MATCH($A166,'[2]Precios Históricos'!$6:$6,0))</f>
        <v>#N/A</v>
      </c>
      <c r="C166" t="e">
        <f>INDEX('[2]Precios Históricos'!$A:$AZ,MATCH(C$1,'[2]Precios Históricos'!$B:$B,0),MATCH($A166,'[2]Precios Históricos'!$6:$6,0))</f>
        <v>#N/A</v>
      </c>
      <c r="D166" t="e">
        <f>INDEX('[2]Precios Históricos'!$A:$AZ,MATCH(D$1,'[2]Precios Históricos'!$B:$B,0),MATCH($A166,'[2]Precios Históricos'!$6:$6,0))</f>
        <v>#N/A</v>
      </c>
      <c r="F166" t="e">
        <f>INDEX('[2]Precios Históricos'!$A:$AZ,MATCH(F$1,'[2]Precios Históricos'!$B:$B,0),MATCH($A166,'[2]Precios Históricos'!$6:$6,0))</f>
        <v>#N/A</v>
      </c>
      <c r="G166" t="e">
        <f>INDEX('[2]Precios Históricos'!$A:$AZ,MATCH(G$1,'[2]Precios Históricos'!$B:$B,0),MATCH($A166,'[2]Precios Históricos'!$6:$6,0))</f>
        <v>#N/A</v>
      </c>
      <c r="H166" t="e">
        <f>INDEX('[2]Precios Históricos'!$A:$AZ,MATCH(H$1,'[2]Precios Históricos'!$B:$B,0),MATCH($A166,'[2]Precios Históricos'!$6:$6,0))</f>
        <v>#N/A</v>
      </c>
      <c r="I166" t="e">
        <f>INDEX('[2]Precios Históricos'!$A:$AZ,MATCH(I$1,'[2]Precios Históricos'!$B:$B,0),MATCH($A166,'[2]Precios Históricos'!$6:$6,0))</f>
        <v>#N/A</v>
      </c>
      <c r="J166" t="e">
        <f>INDEX('[2]Precios Históricos'!$A:$AZ,MATCH(J$1,'[2]Precios Históricos'!$B:$B,0),MATCH($A166,'[2]Precios Históricos'!$6:$6,0))</f>
        <v>#N/A</v>
      </c>
      <c r="K166" t="e">
        <f>INDEX('[2]Precios Históricos'!$A:$AZ,MATCH(K$1,'[2]Precios Históricos'!$B:$B,0),MATCH($A166,'[2]Precios Históricos'!$6:$6,0))</f>
        <v>#N/A</v>
      </c>
      <c r="L166" t="e">
        <f>INDEX('[2]Precios Históricos'!$A:$AZ,MATCH(L$1,'[2]Precios Históricos'!$B:$B,0),MATCH($A166,'[2]Precios Históricos'!$6:$6,0))</f>
        <v>#N/A</v>
      </c>
      <c r="O166" t="e">
        <f>INDEX('[2]Precios Históricos'!$A:$AZ,MATCH(O$1,'[2]Precios Históricos'!$B:$B,0),MATCH($A166,'[2]Precios Históricos'!$6:$6,0))</f>
        <v>#N/A</v>
      </c>
      <c r="P166" t="e">
        <f>INDEX('[2]Precios Históricos'!$A:$AZ,MATCH(P$1,'[2]Precios Históricos'!$B:$B,0),MATCH($A166,'[2]Precios Históricos'!$6:$6,0))</f>
        <v>#N/A</v>
      </c>
      <c r="R166" t="e">
        <f>INDEX('[2]Precios Históricos'!$A:$AZ,MATCH(R$1,'[2]Precios Históricos'!$B:$B,0),MATCH($A166,'[2]Precios Históricos'!$6:$6,0))</f>
        <v>#N/A</v>
      </c>
      <c r="S166" t="e">
        <f>INDEX('[2]Precios Históricos'!$A:$AZ,MATCH(S$1,'[2]Precios Históricos'!$B:$B,0),MATCH($A166,'[2]Precios Históricos'!$6:$6,0))</f>
        <v>#N/A</v>
      </c>
      <c r="T166" t="e">
        <f>INDEX('[2]Precios Históricos'!$A:$AZ,MATCH(T$1,'[2]Precios Históricos'!$B:$B,0),MATCH($A166,'[2]Precios Históricos'!$6:$6,0))</f>
        <v>#N/A</v>
      </c>
      <c r="U166" t="e">
        <f>INDEX('[2]Precios Históricos'!$A:$AZ,MATCH(U$1,'[2]Precios Históricos'!$B:$B,0),MATCH($A166,'[2]Precios Históricos'!$6:$6,0))</f>
        <v>#N/A</v>
      </c>
      <c r="V166" t="e">
        <f>INDEX('[2]Precios Históricos'!$A:$AZ,MATCH(V$1,'[2]Precios Históricos'!$B:$B,0),MATCH($A166,'[2]Precios Históricos'!$6:$6,0))</f>
        <v>#N/A</v>
      </c>
      <c r="W166" t="e">
        <f>INDEX('[2]Precios Históricos'!$A:$AZ,MATCH(W$1,'[2]Precios Históricos'!$B:$B,0),MATCH($A166,'[2]Precios Históricos'!$6:$6,0))</f>
        <v>#N/A</v>
      </c>
      <c r="X166" t="e">
        <f>INDEX('[2]Precios Históricos'!$A:$AZ,MATCH(X$1,'[2]Precios Históricos'!$B:$B,0),MATCH($A166,'[2]Precios Históricos'!$6:$6,0))</f>
        <v>#N/A</v>
      </c>
      <c r="Y166" t="e">
        <f>INDEX('[2]Precios Históricos'!$A:$AZ,MATCH(Y$1,'[2]Precios Históricos'!$B:$B,0),MATCH($A166,'[2]Precios Históricos'!$6:$6,0))</f>
        <v>#N/A</v>
      </c>
      <c r="Z166" t="e">
        <f>INDEX('[2]Precios Históricos'!$A:$AZ,MATCH(Z$1,'[2]Precios Históricos'!$B:$B,0),MATCH($A166,'[2]Precios Históricos'!$6:$6,0))</f>
        <v>#N/A</v>
      </c>
      <c r="AA166" t="e">
        <f>INDEX('[2]Precios Históricos'!$A:$AZ,MATCH(AA$1,'[2]Precios Históricos'!$B:$B,0),MATCH($A166,'[2]Precios Históricos'!$6:$6,0))</f>
        <v>#N/A</v>
      </c>
      <c r="AB166" t="e">
        <f>INDEX('[2]Precios Históricos'!$A:$AZ,MATCH(AB$1,'[2]Precios Históricos'!$B:$B,0),MATCH($A166,'[2]Precios Históricos'!$6:$6,0))</f>
        <v>#N/A</v>
      </c>
      <c r="AC166" t="e">
        <f>INDEX('[2]Precios Históricos'!$A:$AZ,MATCH(AC$1,'[2]Precios Históricos'!$B:$B,0),MATCH($A166,'[2]Precios Históricos'!$6:$6,0))</f>
        <v>#N/A</v>
      </c>
      <c r="AD166" t="e">
        <f>INDEX('[2]Precios Históricos'!$A:$AZ,MATCH(AD$1,'[2]Precios Históricos'!$B:$B,0),MATCH($A166,'[2]Precios Históricos'!$6:$6,0))</f>
        <v>#N/A</v>
      </c>
      <c r="AE166" t="e">
        <f>INDEX('[2]Precios Históricos'!$A:$AZ,MATCH(AE$1,'[2]Precios Históricos'!$B:$B,0),MATCH($A166,'[2]Precios Históricos'!$6:$6,0))</f>
        <v>#N/A</v>
      </c>
      <c r="AF166" t="e">
        <f>INDEX('[2]Precios Históricos'!$A:$AZ,MATCH(AF$1,'[2]Precios Históricos'!$B:$B,0),MATCH($A166,'[2]Precios Históricos'!$6:$6,0))</f>
        <v>#N/A</v>
      </c>
      <c r="AI166" s="10">
        <v>0.69410467276769439</v>
      </c>
      <c r="AJ166" s="10">
        <v>0.51512517523368684</v>
      </c>
      <c r="AK166" s="10">
        <v>0.52449999999997621</v>
      </c>
      <c r="AL166" s="10">
        <v>0.66441556256564571</v>
      </c>
      <c r="AM166" s="10">
        <v>0.61696150700929075</v>
      </c>
      <c r="AN166" s="10">
        <v>0.83331775700931032</v>
      </c>
      <c r="AO166" s="10">
        <v>0.98270221962611926</v>
      </c>
      <c r="AP166" s="10">
        <v>0.87676057242990624</v>
      </c>
      <c r="AQ166" s="10">
        <v>0.81156571261671462</v>
      </c>
      <c r="AR166" s="10">
        <v>0.53015923544540311</v>
      </c>
      <c r="AS166" s="10">
        <v>0.53810268691592267</v>
      </c>
      <c r="AT166" s="10">
        <v>0.70231530373852269</v>
      </c>
      <c r="AU166" s="10">
        <v>0.74988947306750076</v>
      </c>
      <c r="AV166" s="10">
        <v>0.65341915845298471</v>
      </c>
      <c r="AX166" s="10">
        <v>0.73287925219971239</v>
      </c>
      <c r="AY166" s="10">
        <v>0.54390147196266125</v>
      </c>
      <c r="AZ166" s="10">
        <v>0.55379999999997476</v>
      </c>
      <c r="BA166" s="10">
        <v>0.70049758149308661</v>
      </c>
      <c r="BB166" s="10">
        <v>0.65142665887844653</v>
      </c>
      <c r="BC166" s="10">
        <v>0.87986915887846717</v>
      </c>
      <c r="BD166" s="10">
        <v>1.0375986448597614</v>
      </c>
      <c r="BE166" s="10">
        <v>0.9257388084112147</v>
      </c>
      <c r="BF166" s="10">
        <v>0.55935992518119915</v>
      </c>
      <c r="BG166" s="10">
        <v>0.5681625700934948</v>
      </c>
      <c r="BH166" s="10">
        <v>0.74154855140208553</v>
      </c>
      <c r="BI166" s="10">
        <v>0.85690198598119449</v>
      </c>
      <c r="BJ166" s="10">
        <v>0.79061327257669267</v>
      </c>
      <c r="BK166" s="10">
        <v>0.68992093413014854</v>
      </c>
    </row>
    <row r="167" spans="1:63" x14ac:dyDescent="0.25">
      <c r="A167" s="4">
        <f>+WORKDAY(A166,1,Feriados!$A$2:$A$38)</f>
        <v>46316</v>
      </c>
      <c r="B167" t="e">
        <f>INDEX('[2]Precios Históricos'!$A:$AZ,MATCH(B$1,'[2]Precios Históricos'!$B:$B,0),MATCH($A167,'[2]Precios Históricos'!$6:$6,0))</f>
        <v>#N/A</v>
      </c>
      <c r="C167" t="e">
        <f>INDEX('[2]Precios Históricos'!$A:$AZ,MATCH(C$1,'[2]Precios Históricos'!$B:$B,0),MATCH($A167,'[2]Precios Históricos'!$6:$6,0))</f>
        <v>#N/A</v>
      </c>
      <c r="D167" t="e">
        <f>INDEX('[2]Precios Históricos'!$A:$AZ,MATCH(D$1,'[2]Precios Históricos'!$B:$B,0),MATCH($A167,'[2]Precios Históricos'!$6:$6,0))</f>
        <v>#N/A</v>
      </c>
      <c r="F167" t="e">
        <f>INDEX('[2]Precios Históricos'!$A:$AZ,MATCH(F$1,'[2]Precios Históricos'!$B:$B,0),MATCH($A167,'[2]Precios Históricos'!$6:$6,0))</f>
        <v>#N/A</v>
      </c>
      <c r="G167" t="e">
        <f>INDEX('[2]Precios Históricos'!$A:$AZ,MATCH(G$1,'[2]Precios Históricos'!$B:$B,0),MATCH($A167,'[2]Precios Históricos'!$6:$6,0))</f>
        <v>#N/A</v>
      </c>
      <c r="H167" t="e">
        <f>INDEX('[2]Precios Históricos'!$A:$AZ,MATCH(H$1,'[2]Precios Históricos'!$B:$B,0),MATCH($A167,'[2]Precios Históricos'!$6:$6,0))</f>
        <v>#N/A</v>
      </c>
      <c r="I167" t="e">
        <f>INDEX('[2]Precios Históricos'!$A:$AZ,MATCH(I$1,'[2]Precios Históricos'!$B:$B,0),MATCH($A167,'[2]Precios Históricos'!$6:$6,0))</f>
        <v>#N/A</v>
      </c>
      <c r="J167" t="e">
        <f>INDEX('[2]Precios Históricos'!$A:$AZ,MATCH(J$1,'[2]Precios Históricos'!$B:$B,0),MATCH($A167,'[2]Precios Históricos'!$6:$6,0))</f>
        <v>#N/A</v>
      </c>
      <c r="K167" t="e">
        <f>INDEX('[2]Precios Históricos'!$A:$AZ,MATCH(K$1,'[2]Precios Históricos'!$B:$B,0),MATCH($A167,'[2]Precios Históricos'!$6:$6,0))</f>
        <v>#N/A</v>
      </c>
      <c r="L167" t="e">
        <f>INDEX('[2]Precios Históricos'!$A:$AZ,MATCH(L$1,'[2]Precios Históricos'!$B:$B,0),MATCH($A167,'[2]Precios Históricos'!$6:$6,0))</f>
        <v>#N/A</v>
      </c>
      <c r="O167" t="e">
        <f>INDEX('[2]Precios Históricos'!$A:$AZ,MATCH(O$1,'[2]Precios Históricos'!$B:$B,0),MATCH($A167,'[2]Precios Históricos'!$6:$6,0))</f>
        <v>#N/A</v>
      </c>
      <c r="P167" t="e">
        <f>INDEX('[2]Precios Históricos'!$A:$AZ,MATCH(P$1,'[2]Precios Históricos'!$B:$B,0),MATCH($A167,'[2]Precios Históricos'!$6:$6,0))</f>
        <v>#N/A</v>
      </c>
      <c r="R167" t="e">
        <f>INDEX('[2]Precios Históricos'!$A:$AZ,MATCH(R$1,'[2]Precios Históricos'!$B:$B,0),MATCH($A167,'[2]Precios Históricos'!$6:$6,0))</f>
        <v>#N/A</v>
      </c>
      <c r="S167" t="e">
        <f>INDEX('[2]Precios Históricos'!$A:$AZ,MATCH(S$1,'[2]Precios Históricos'!$B:$B,0),MATCH($A167,'[2]Precios Históricos'!$6:$6,0))</f>
        <v>#N/A</v>
      </c>
      <c r="T167" t="e">
        <f>INDEX('[2]Precios Históricos'!$A:$AZ,MATCH(T$1,'[2]Precios Históricos'!$B:$B,0),MATCH($A167,'[2]Precios Históricos'!$6:$6,0))</f>
        <v>#N/A</v>
      </c>
      <c r="U167" t="e">
        <f>INDEX('[2]Precios Históricos'!$A:$AZ,MATCH(U$1,'[2]Precios Históricos'!$B:$B,0),MATCH($A167,'[2]Precios Históricos'!$6:$6,0))</f>
        <v>#N/A</v>
      </c>
      <c r="V167" t="e">
        <f>INDEX('[2]Precios Históricos'!$A:$AZ,MATCH(V$1,'[2]Precios Históricos'!$B:$B,0),MATCH($A167,'[2]Precios Históricos'!$6:$6,0))</f>
        <v>#N/A</v>
      </c>
      <c r="W167" t="e">
        <f>INDEX('[2]Precios Históricos'!$A:$AZ,MATCH(W$1,'[2]Precios Históricos'!$B:$B,0),MATCH($A167,'[2]Precios Históricos'!$6:$6,0))</f>
        <v>#N/A</v>
      </c>
      <c r="X167" t="e">
        <f>INDEX('[2]Precios Históricos'!$A:$AZ,MATCH(X$1,'[2]Precios Históricos'!$B:$B,0),MATCH($A167,'[2]Precios Históricos'!$6:$6,0))</f>
        <v>#N/A</v>
      </c>
      <c r="Y167" t="e">
        <f>INDEX('[2]Precios Históricos'!$A:$AZ,MATCH(Y$1,'[2]Precios Históricos'!$B:$B,0),MATCH($A167,'[2]Precios Históricos'!$6:$6,0))</f>
        <v>#N/A</v>
      </c>
      <c r="Z167" t="e">
        <f>INDEX('[2]Precios Históricos'!$A:$AZ,MATCH(Z$1,'[2]Precios Históricos'!$B:$B,0),MATCH($A167,'[2]Precios Históricos'!$6:$6,0))</f>
        <v>#N/A</v>
      </c>
      <c r="AA167" t="e">
        <f>INDEX('[2]Precios Históricos'!$A:$AZ,MATCH(AA$1,'[2]Precios Históricos'!$B:$B,0),MATCH($A167,'[2]Precios Históricos'!$6:$6,0))</f>
        <v>#N/A</v>
      </c>
      <c r="AB167" t="e">
        <f>INDEX('[2]Precios Históricos'!$A:$AZ,MATCH(AB$1,'[2]Precios Históricos'!$B:$B,0),MATCH($A167,'[2]Precios Históricos'!$6:$6,0))</f>
        <v>#N/A</v>
      </c>
      <c r="AC167" t="e">
        <f>INDEX('[2]Precios Históricos'!$A:$AZ,MATCH(AC$1,'[2]Precios Históricos'!$B:$B,0),MATCH($A167,'[2]Precios Históricos'!$6:$6,0))</f>
        <v>#N/A</v>
      </c>
      <c r="AD167" t="e">
        <f>INDEX('[2]Precios Históricos'!$A:$AZ,MATCH(AD$1,'[2]Precios Históricos'!$B:$B,0),MATCH($A167,'[2]Precios Históricos'!$6:$6,0))</f>
        <v>#N/A</v>
      </c>
      <c r="AE167" t="e">
        <f>INDEX('[2]Precios Históricos'!$A:$AZ,MATCH(AE$1,'[2]Precios Históricos'!$B:$B,0),MATCH($A167,'[2]Precios Históricos'!$6:$6,0))</f>
        <v>#N/A</v>
      </c>
      <c r="AF167" t="e">
        <f>INDEX('[2]Precios Históricos'!$A:$AZ,MATCH(AF$1,'[2]Precios Históricos'!$B:$B,0),MATCH($A167,'[2]Precios Históricos'!$6:$6,0))</f>
        <v>#N/A</v>
      </c>
      <c r="AI167" s="10">
        <v>0.69348287239910322</v>
      </c>
      <c r="AJ167" s="10">
        <v>0.5181243088097498</v>
      </c>
      <c r="AK167" s="10">
        <v>0.5220999999999737</v>
      </c>
      <c r="AL167" s="10">
        <v>0.66308412605442046</v>
      </c>
      <c r="AM167" s="10">
        <v>0.61439720009368226</v>
      </c>
      <c r="AN167" s="10">
        <v>0.83483398547334819</v>
      </c>
      <c r="AO167" s="10">
        <v>0.98156757263355743</v>
      </c>
      <c r="AP167" s="10">
        <v>0.87245014058103165</v>
      </c>
      <c r="AQ167" s="10">
        <v>0.81611765463909836</v>
      </c>
      <c r="AR167" s="10">
        <v>0.53512803420812005</v>
      </c>
      <c r="AS167" s="10">
        <v>0.53684063964385309</v>
      </c>
      <c r="AT167" s="10">
        <v>0.70039445876278339</v>
      </c>
      <c r="AU167" s="10">
        <v>0.74253678537601076</v>
      </c>
      <c r="AV167" s="10">
        <v>0.65170753231819945</v>
      </c>
      <c r="AX167" s="10">
        <v>0.73253362215687678</v>
      </c>
      <c r="AY167" s="10">
        <v>0.54730043345829726</v>
      </c>
      <c r="AZ167" s="10">
        <v>0.55149999999997212</v>
      </c>
      <c r="BA167" s="10">
        <v>0.70042309044055329</v>
      </c>
      <c r="BB167" s="10">
        <v>0.6489945524835582</v>
      </c>
      <c r="BC167" s="10">
        <v>0.88184436504223607</v>
      </c>
      <c r="BD167" s="10">
        <v>1.0368406747891341</v>
      </c>
      <c r="BE167" s="10">
        <v>0.92157872539827412</v>
      </c>
      <c r="BF167" s="10">
        <v>0.56526165651365301</v>
      </c>
      <c r="BG167" s="10">
        <v>0.56707070056231557</v>
      </c>
      <c r="BH167" s="10">
        <v>0.73983440721638571</v>
      </c>
      <c r="BI167" s="10">
        <v>0.86207409793806311</v>
      </c>
      <c r="BJ167" s="10">
        <v>0.78434981255481684</v>
      </c>
      <c r="BK167" s="10">
        <v>0.68840586874829912</v>
      </c>
    </row>
    <row r="168" spans="1:63" x14ac:dyDescent="0.25">
      <c r="A168" s="4">
        <f>+WORKDAY(A167,1,Feriados!$A$2:$A$38)</f>
        <v>46317</v>
      </c>
      <c r="B168" t="e">
        <f>INDEX('[2]Precios Históricos'!$A:$AZ,MATCH(B$1,'[2]Precios Históricos'!$B:$B,0),MATCH($A168,'[2]Precios Históricos'!$6:$6,0))</f>
        <v>#N/A</v>
      </c>
      <c r="C168" t="e">
        <f>INDEX('[2]Precios Históricos'!$A:$AZ,MATCH(C$1,'[2]Precios Históricos'!$B:$B,0),MATCH($A168,'[2]Precios Históricos'!$6:$6,0))</f>
        <v>#N/A</v>
      </c>
      <c r="D168" t="e">
        <f>INDEX('[2]Precios Históricos'!$A:$AZ,MATCH(D$1,'[2]Precios Históricos'!$B:$B,0),MATCH($A168,'[2]Precios Históricos'!$6:$6,0))</f>
        <v>#N/A</v>
      </c>
      <c r="F168" t="e">
        <f>INDEX('[2]Precios Históricos'!$A:$AZ,MATCH(F$1,'[2]Precios Históricos'!$B:$B,0),MATCH($A168,'[2]Precios Históricos'!$6:$6,0))</f>
        <v>#N/A</v>
      </c>
      <c r="G168" t="e">
        <f>INDEX('[2]Precios Históricos'!$A:$AZ,MATCH(G$1,'[2]Precios Históricos'!$B:$B,0),MATCH($A168,'[2]Precios Históricos'!$6:$6,0))</f>
        <v>#N/A</v>
      </c>
      <c r="H168" t="e">
        <f>INDEX('[2]Precios Históricos'!$A:$AZ,MATCH(H$1,'[2]Precios Históricos'!$B:$B,0),MATCH($A168,'[2]Precios Históricos'!$6:$6,0))</f>
        <v>#N/A</v>
      </c>
      <c r="I168" t="e">
        <f>INDEX('[2]Precios Históricos'!$A:$AZ,MATCH(I$1,'[2]Precios Históricos'!$B:$B,0),MATCH($A168,'[2]Precios Históricos'!$6:$6,0))</f>
        <v>#N/A</v>
      </c>
      <c r="J168" t="e">
        <f>INDEX('[2]Precios Históricos'!$A:$AZ,MATCH(J$1,'[2]Precios Históricos'!$B:$B,0),MATCH($A168,'[2]Precios Históricos'!$6:$6,0))</f>
        <v>#N/A</v>
      </c>
      <c r="K168" t="e">
        <f>INDEX('[2]Precios Históricos'!$A:$AZ,MATCH(K$1,'[2]Precios Históricos'!$B:$B,0),MATCH($A168,'[2]Precios Históricos'!$6:$6,0))</f>
        <v>#N/A</v>
      </c>
      <c r="L168" t="e">
        <f>INDEX('[2]Precios Históricos'!$A:$AZ,MATCH(L$1,'[2]Precios Históricos'!$B:$B,0),MATCH($A168,'[2]Precios Históricos'!$6:$6,0))</f>
        <v>#N/A</v>
      </c>
      <c r="O168" t="e">
        <f>INDEX('[2]Precios Históricos'!$A:$AZ,MATCH(O$1,'[2]Precios Históricos'!$B:$B,0),MATCH($A168,'[2]Precios Históricos'!$6:$6,0))</f>
        <v>#N/A</v>
      </c>
      <c r="P168" t="e">
        <f>INDEX('[2]Precios Históricos'!$A:$AZ,MATCH(P$1,'[2]Precios Históricos'!$B:$B,0),MATCH($A168,'[2]Precios Históricos'!$6:$6,0))</f>
        <v>#N/A</v>
      </c>
      <c r="R168" t="e">
        <f>INDEX('[2]Precios Históricos'!$A:$AZ,MATCH(R$1,'[2]Precios Históricos'!$B:$B,0),MATCH($A168,'[2]Precios Históricos'!$6:$6,0))</f>
        <v>#N/A</v>
      </c>
      <c r="S168" t="e">
        <f>INDEX('[2]Precios Históricos'!$A:$AZ,MATCH(S$1,'[2]Precios Históricos'!$B:$B,0),MATCH($A168,'[2]Precios Históricos'!$6:$6,0))</f>
        <v>#N/A</v>
      </c>
      <c r="T168" t="e">
        <f>INDEX('[2]Precios Históricos'!$A:$AZ,MATCH(T$1,'[2]Precios Históricos'!$B:$B,0),MATCH($A168,'[2]Precios Históricos'!$6:$6,0))</f>
        <v>#N/A</v>
      </c>
      <c r="U168" t="e">
        <f>INDEX('[2]Precios Históricos'!$A:$AZ,MATCH(U$1,'[2]Precios Históricos'!$B:$B,0),MATCH($A168,'[2]Precios Históricos'!$6:$6,0))</f>
        <v>#N/A</v>
      </c>
      <c r="V168" t="e">
        <f>INDEX('[2]Precios Históricos'!$A:$AZ,MATCH(V$1,'[2]Precios Históricos'!$B:$B,0),MATCH($A168,'[2]Precios Históricos'!$6:$6,0))</f>
        <v>#N/A</v>
      </c>
      <c r="W168" t="e">
        <f>INDEX('[2]Precios Históricos'!$A:$AZ,MATCH(W$1,'[2]Precios Históricos'!$B:$B,0),MATCH($A168,'[2]Precios Históricos'!$6:$6,0))</f>
        <v>#N/A</v>
      </c>
      <c r="X168" t="e">
        <f>INDEX('[2]Precios Históricos'!$A:$AZ,MATCH(X$1,'[2]Precios Históricos'!$B:$B,0),MATCH($A168,'[2]Precios Históricos'!$6:$6,0))</f>
        <v>#N/A</v>
      </c>
      <c r="Y168" t="e">
        <f>INDEX('[2]Precios Históricos'!$A:$AZ,MATCH(Y$1,'[2]Precios Históricos'!$B:$B,0),MATCH($A168,'[2]Precios Históricos'!$6:$6,0))</f>
        <v>#N/A</v>
      </c>
      <c r="Z168" t="e">
        <f>INDEX('[2]Precios Históricos'!$A:$AZ,MATCH(Z$1,'[2]Precios Históricos'!$B:$B,0),MATCH($A168,'[2]Precios Históricos'!$6:$6,0))</f>
        <v>#N/A</v>
      </c>
      <c r="AA168" t="e">
        <f>INDEX('[2]Precios Históricos'!$A:$AZ,MATCH(AA$1,'[2]Precios Históricos'!$B:$B,0),MATCH($A168,'[2]Precios Históricos'!$6:$6,0))</f>
        <v>#N/A</v>
      </c>
      <c r="AB168" t="e">
        <f>INDEX('[2]Precios Históricos'!$A:$AZ,MATCH(AB$1,'[2]Precios Históricos'!$B:$B,0),MATCH($A168,'[2]Precios Históricos'!$6:$6,0))</f>
        <v>#N/A</v>
      </c>
      <c r="AC168" t="e">
        <f>INDEX('[2]Precios Históricos'!$A:$AZ,MATCH(AC$1,'[2]Precios Históricos'!$B:$B,0),MATCH($A168,'[2]Precios Históricos'!$6:$6,0))</f>
        <v>#N/A</v>
      </c>
      <c r="AD168" t="e">
        <f>INDEX('[2]Precios Históricos'!$A:$AZ,MATCH(AD$1,'[2]Precios Históricos'!$B:$B,0),MATCH($A168,'[2]Precios Históricos'!$6:$6,0))</f>
        <v>#N/A</v>
      </c>
      <c r="AE168" t="e">
        <f>INDEX('[2]Precios Históricos'!$A:$AZ,MATCH(AE$1,'[2]Precios Históricos'!$B:$B,0),MATCH($A168,'[2]Precios Históricos'!$6:$6,0))</f>
        <v>#N/A</v>
      </c>
      <c r="AF168" t="e">
        <f>INDEX('[2]Precios Históricos'!$A:$AZ,MATCH(AF$1,'[2]Precios Históricos'!$B:$B,0),MATCH($A168,'[2]Precios Históricos'!$6:$6,0))</f>
        <v>#N/A</v>
      </c>
      <c r="AI168">
        <v>0.68889999999999996</v>
      </c>
      <c r="AJ168">
        <v>0.51859999999999995</v>
      </c>
      <c r="AK168">
        <v>0.52129999999999999</v>
      </c>
      <c r="AL168">
        <v>0.66099999999999992</v>
      </c>
      <c r="AM168">
        <v>0.61480000000000001</v>
      </c>
      <c r="AN168">
        <v>0.8284999999999999</v>
      </c>
      <c r="AO168">
        <v>0.97900000000000009</v>
      </c>
      <c r="AP168">
        <v>0.86730000000000007</v>
      </c>
      <c r="AQ168">
        <v>0.81010000000000004</v>
      </c>
      <c r="AR168">
        <v>0.52639999999999998</v>
      </c>
      <c r="AS168">
        <v>0.53500000000000003</v>
      </c>
      <c r="AT168">
        <v>0.7</v>
      </c>
      <c r="AU168">
        <v>0.74150000000000005</v>
      </c>
      <c r="AV168">
        <v>0.65079999999999993</v>
      </c>
      <c r="AX168" t="e">
        <f>INDEX('[2]Precios Históricos'!$A:$AZ,MATCH(AX$1,'[2]Precios Históricos'!$B:$B,0),MATCH($A168,'[2]Precios Históricos'!$6:$6,0))</f>
        <v>#N/A</v>
      </c>
      <c r="AY168">
        <v>0.54903999999999997</v>
      </c>
      <c r="AZ168" t="e">
        <f>INDEX('[2]Precios Históricos'!$A:$AZ,MATCH(AZ$1,'[2]Precios Históricos'!$B:$B,0),MATCH($A168,'[2]Precios Históricos'!$6:$6,0))</f>
        <v>#N/A</v>
      </c>
      <c r="BA168" t="e">
        <f>INDEX('[2]Precios Históricos'!$A:$AZ,MATCH(BA$1,'[2]Precios Históricos'!$B:$B,0),MATCH($A168,'[2]Precios Históricos'!$6:$6,0))</f>
        <v>#N/A</v>
      </c>
      <c r="BB168" t="e">
        <f>INDEX('[2]Precios Históricos'!$A:$AZ,MATCH(BB$1,'[2]Precios Históricos'!$B:$B,0),MATCH($A168,'[2]Precios Históricos'!$6:$6,0))</f>
        <v>#N/A</v>
      </c>
      <c r="BC168" t="e">
        <f>INDEX('[2]Precios Históricos'!$A:$AZ,MATCH(BC$1,'[2]Precios Históricos'!$B:$B,0),MATCH($A168,'[2]Precios Históricos'!$6:$6,0))</f>
        <v>#N/A</v>
      </c>
      <c r="BD168" t="e">
        <f>INDEX('[2]Precios Históricos'!$A:$AZ,MATCH(BD$1,'[2]Precios Históricos'!$B:$B,0),MATCH($A168,'[2]Precios Históricos'!$6:$6,0))</f>
        <v>#N/A</v>
      </c>
      <c r="BE168" t="e">
        <f>INDEX('[2]Precios Históricos'!$A:$AZ,MATCH(BE$1,'[2]Precios Históricos'!$B:$B,0),MATCH($A168,'[2]Precios Históricos'!$6:$6,0))</f>
        <v>#N/A</v>
      </c>
      <c r="BF168" s="10">
        <v>0.56371000000000004</v>
      </c>
      <c r="BG168" t="e">
        <f>INDEX('[2]Precios Históricos'!$A:$AZ,MATCH(BG$1,'[2]Precios Históricos'!$B:$B,0),MATCH($A168,'[2]Precios Históricos'!$6:$6,0))</f>
        <v>#N/A</v>
      </c>
      <c r="BH168" t="e">
        <f>INDEX('[2]Precios Históricos'!$A:$AZ,MATCH(BH$1,'[2]Precios Históricos'!$B:$B,0),MATCH($A168,'[2]Precios Históricos'!$6:$6,0))</f>
        <v>#N/A</v>
      </c>
      <c r="BI168" t="e">
        <f>INDEX('[2]Precios Históricos'!$A:$AZ,MATCH(BI$1,'[2]Precios Históricos'!$B:$B,0),MATCH($A168,'[2]Precios Históricos'!$6:$6,0))</f>
        <v>#N/A</v>
      </c>
      <c r="BJ168" t="e">
        <f>INDEX('[2]Precios Históricos'!$A:$AZ,MATCH(BJ$1,'[2]Precios Históricos'!$B:$B,0),MATCH($A168,'[2]Precios Históricos'!$6:$6,0))</f>
        <v>#N/A</v>
      </c>
      <c r="BK168" t="e">
        <f>INDEX('[2]Precios Históricos'!$A:$AZ,MATCH(BK$1,'[2]Precios Históricos'!$B:$B,0),MATCH($A168,'[2]Precios Históricos'!$6:$6,0))</f>
        <v>#N/A</v>
      </c>
    </row>
    <row r="169" spans="1:63" x14ac:dyDescent="0.25">
      <c r="A169" s="4">
        <f>+WORKDAY(A168,1,Feriados!$A$2:$A$38)</f>
        <v>46318</v>
      </c>
      <c r="B169" t="e">
        <f>INDEX('[2]Precios Históricos'!$A:$AZ,MATCH(B$1,'[2]Precios Históricos'!$B:$B,0),MATCH($A169,'[2]Precios Históricos'!$6:$6,0))</f>
        <v>#N/A</v>
      </c>
      <c r="C169" t="e">
        <f>INDEX('[2]Precios Históricos'!$A:$AZ,MATCH(C$1,'[2]Precios Históricos'!$B:$B,0),MATCH($A169,'[2]Precios Históricos'!$6:$6,0))</f>
        <v>#N/A</v>
      </c>
      <c r="D169" t="e">
        <f>INDEX('[2]Precios Históricos'!$A:$AZ,MATCH(D$1,'[2]Precios Históricos'!$B:$B,0),MATCH($A169,'[2]Precios Históricos'!$6:$6,0))</f>
        <v>#N/A</v>
      </c>
      <c r="F169" t="e">
        <f>INDEX('[2]Precios Históricos'!$A:$AZ,MATCH(F$1,'[2]Precios Históricos'!$B:$B,0),MATCH($A169,'[2]Precios Históricos'!$6:$6,0))</f>
        <v>#N/A</v>
      </c>
      <c r="G169" t="e">
        <f>INDEX('[2]Precios Históricos'!$A:$AZ,MATCH(G$1,'[2]Precios Históricos'!$B:$B,0),MATCH($A169,'[2]Precios Históricos'!$6:$6,0))</f>
        <v>#N/A</v>
      </c>
      <c r="H169" t="e">
        <f>INDEX('[2]Precios Históricos'!$A:$AZ,MATCH(H$1,'[2]Precios Históricos'!$B:$B,0),MATCH($A169,'[2]Precios Históricos'!$6:$6,0))</f>
        <v>#N/A</v>
      </c>
      <c r="I169" t="e">
        <f>INDEX('[2]Precios Históricos'!$A:$AZ,MATCH(I$1,'[2]Precios Históricos'!$B:$B,0),MATCH($A169,'[2]Precios Históricos'!$6:$6,0))</f>
        <v>#N/A</v>
      </c>
      <c r="J169" t="e">
        <f>INDEX('[2]Precios Históricos'!$A:$AZ,MATCH(J$1,'[2]Precios Históricos'!$B:$B,0),MATCH($A169,'[2]Precios Históricos'!$6:$6,0))</f>
        <v>#N/A</v>
      </c>
      <c r="K169" t="e">
        <f>INDEX('[2]Precios Históricos'!$A:$AZ,MATCH(K$1,'[2]Precios Históricos'!$B:$B,0),MATCH($A169,'[2]Precios Históricos'!$6:$6,0))</f>
        <v>#N/A</v>
      </c>
      <c r="L169" t="e">
        <f>INDEX('[2]Precios Históricos'!$A:$AZ,MATCH(L$1,'[2]Precios Históricos'!$B:$B,0),MATCH($A169,'[2]Precios Históricos'!$6:$6,0))</f>
        <v>#N/A</v>
      </c>
      <c r="O169" t="e">
        <f>INDEX('[2]Precios Históricos'!$A:$AZ,MATCH(O$1,'[2]Precios Históricos'!$B:$B,0),MATCH($A169,'[2]Precios Históricos'!$6:$6,0))</f>
        <v>#N/A</v>
      </c>
      <c r="P169" t="e">
        <f>INDEX('[2]Precios Históricos'!$A:$AZ,MATCH(P$1,'[2]Precios Históricos'!$B:$B,0),MATCH($A169,'[2]Precios Históricos'!$6:$6,0))</f>
        <v>#N/A</v>
      </c>
      <c r="R169" t="e">
        <f>INDEX('[2]Precios Históricos'!$A:$AZ,MATCH(R$1,'[2]Precios Históricos'!$B:$B,0),MATCH($A169,'[2]Precios Históricos'!$6:$6,0))</f>
        <v>#N/A</v>
      </c>
      <c r="S169" t="e">
        <f>INDEX('[2]Precios Históricos'!$A:$AZ,MATCH(S$1,'[2]Precios Históricos'!$B:$B,0),MATCH($A169,'[2]Precios Históricos'!$6:$6,0))</f>
        <v>#N/A</v>
      </c>
      <c r="T169" t="e">
        <f>INDEX('[2]Precios Históricos'!$A:$AZ,MATCH(T$1,'[2]Precios Históricos'!$B:$B,0),MATCH($A169,'[2]Precios Históricos'!$6:$6,0))</f>
        <v>#N/A</v>
      </c>
      <c r="U169" t="e">
        <f>INDEX('[2]Precios Históricos'!$A:$AZ,MATCH(U$1,'[2]Precios Históricos'!$B:$B,0),MATCH($A169,'[2]Precios Históricos'!$6:$6,0))</f>
        <v>#N/A</v>
      </c>
      <c r="V169" t="e">
        <f>INDEX('[2]Precios Históricos'!$A:$AZ,MATCH(V$1,'[2]Precios Históricos'!$B:$B,0),MATCH($A169,'[2]Precios Históricos'!$6:$6,0))</f>
        <v>#N/A</v>
      </c>
      <c r="W169" t="e">
        <f>INDEX('[2]Precios Históricos'!$A:$AZ,MATCH(W$1,'[2]Precios Históricos'!$B:$B,0),MATCH($A169,'[2]Precios Históricos'!$6:$6,0))</f>
        <v>#N/A</v>
      </c>
      <c r="X169" t="e">
        <f>INDEX('[2]Precios Históricos'!$A:$AZ,MATCH(X$1,'[2]Precios Históricos'!$B:$B,0),MATCH($A169,'[2]Precios Históricos'!$6:$6,0))</f>
        <v>#N/A</v>
      </c>
      <c r="Y169" t="e">
        <f>INDEX('[2]Precios Históricos'!$A:$AZ,MATCH(Y$1,'[2]Precios Históricos'!$B:$B,0),MATCH($A169,'[2]Precios Históricos'!$6:$6,0))</f>
        <v>#N/A</v>
      </c>
      <c r="Z169" t="e">
        <f>INDEX('[2]Precios Históricos'!$A:$AZ,MATCH(Z$1,'[2]Precios Históricos'!$B:$B,0),MATCH($A169,'[2]Precios Históricos'!$6:$6,0))</f>
        <v>#N/A</v>
      </c>
      <c r="AA169" t="e">
        <f>INDEX('[2]Precios Históricos'!$A:$AZ,MATCH(AA$1,'[2]Precios Históricos'!$B:$B,0),MATCH($A169,'[2]Precios Históricos'!$6:$6,0))</f>
        <v>#N/A</v>
      </c>
      <c r="AB169" t="e">
        <f>INDEX('[2]Precios Históricos'!$A:$AZ,MATCH(AB$1,'[2]Precios Históricos'!$B:$B,0),MATCH($A169,'[2]Precios Históricos'!$6:$6,0))</f>
        <v>#N/A</v>
      </c>
      <c r="AC169" t="e">
        <f>INDEX('[2]Precios Históricos'!$A:$AZ,MATCH(AC$1,'[2]Precios Históricos'!$B:$B,0),MATCH($A169,'[2]Precios Históricos'!$6:$6,0))</f>
        <v>#N/A</v>
      </c>
      <c r="AD169" t="e">
        <f>INDEX('[2]Precios Históricos'!$A:$AZ,MATCH(AD$1,'[2]Precios Históricos'!$B:$B,0),MATCH($A169,'[2]Precios Históricos'!$6:$6,0))</f>
        <v>#N/A</v>
      </c>
      <c r="AE169" t="e">
        <f>INDEX('[2]Precios Históricos'!$A:$AZ,MATCH(AE$1,'[2]Precios Históricos'!$B:$B,0),MATCH($A169,'[2]Precios Históricos'!$6:$6,0))</f>
        <v>#N/A</v>
      </c>
      <c r="AF169" t="e">
        <f>INDEX('[2]Precios Históricos'!$A:$AZ,MATCH(AF$1,'[2]Precios Históricos'!$B:$B,0),MATCH($A169,'[2]Precios Históricos'!$6:$6,0))</f>
        <v>#N/A</v>
      </c>
      <c r="AI169">
        <v>0.68730000000000002</v>
      </c>
      <c r="AJ169">
        <v>0.51659999999999995</v>
      </c>
      <c r="AK169">
        <v>0.52</v>
      </c>
      <c r="AL169">
        <v>0.66579999999999995</v>
      </c>
      <c r="AM169">
        <v>0.6089</v>
      </c>
      <c r="AN169">
        <v>0.83640000000000014</v>
      </c>
      <c r="AO169">
        <v>0.97760000000000025</v>
      </c>
      <c r="AP169">
        <v>0.86849999999999994</v>
      </c>
      <c r="AQ169">
        <v>0.81180000000000008</v>
      </c>
      <c r="AR169">
        <v>0.52590000000000003</v>
      </c>
      <c r="AS169">
        <v>0.53990000000000005</v>
      </c>
      <c r="AT169">
        <v>0.69700000000000006</v>
      </c>
      <c r="AU169">
        <v>0.7451000000000001</v>
      </c>
      <c r="AV169">
        <v>0.64760000000000006</v>
      </c>
      <c r="AX169" t="e">
        <f>INDEX('[2]Precios Históricos'!$A:$AZ,MATCH(AX$1,'[2]Precios Históricos'!$B:$B,0),MATCH($A169,'[2]Precios Históricos'!$6:$6,0))</f>
        <v>#N/A</v>
      </c>
      <c r="AY169">
        <v>0.54446000000000006</v>
      </c>
      <c r="AZ169" t="e">
        <f>INDEX('[2]Precios Históricos'!$A:$AZ,MATCH(AZ$1,'[2]Precios Históricos'!$B:$B,0),MATCH($A169,'[2]Precios Históricos'!$6:$6,0))</f>
        <v>#N/A</v>
      </c>
      <c r="BA169" t="e">
        <f>INDEX('[2]Precios Históricos'!$A:$AZ,MATCH(BA$1,'[2]Precios Históricos'!$B:$B,0),MATCH($A169,'[2]Precios Históricos'!$6:$6,0))</f>
        <v>#N/A</v>
      </c>
      <c r="BB169" t="e">
        <f>INDEX('[2]Precios Históricos'!$A:$AZ,MATCH(BB$1,'[2]Precios Históricos'!$B:$B,0),MATCH($A169,'[2]Precios Históricos'!$6:$6,0))</f>
        <v>#N/A</v>
      </c>
      <c r="BC169" t="e">
        <f>INDEX('[2]Precios Históricos'!$A:$AZ,MATCH(BC$1,'[2]Precios Históricos'!$B:$B,0),MATCH($A169,'[2]Precios Históricos'!$6:$6,0))</f>
        <v>#N/A</v>
      </c>
      <c r="BD169" t="e">
        <f>INDEX('[2]Precios Históricos'!$A:$AZ,MATCH(BD$1,'[2]Precios Históricos'!$B:$B,0),MATCH($A169,'[2]Precios Históricos'!$6:$6,0))</f>
        <v>#N/A</v>
      </c>
      <c r="BE169" t="e">
        <f>INDEX('[2]Precios Históricos'!$A:$AZ,MATCH(BE$1,'[2]Precios Históricos'!$B:$B,0),MATCH($A169,'[2]Precios Históricos'!$6:$6,0))</f>
        <v>#N/A</v>
      </c>
      <c r="BF169">
        <v>0.56325999999999998</v>
      </c>
      <c r="BG169" t="e">
        <f>INDEX('[2]Precios Históricos'!$A:$AZ,MATCH(BG$1,'[2]Precios Históricos'!$B:$B,0),MATCH($A169,'[2]Precios Históricos'!$6:$6,0))</f>
        <v>#N/A</v>
      </c>
      <c r="BH169" t="e">
        <f>INDEX('[2]Precios Históricos'!$A:$AZ,MATCH(BH$1,'[2]Precios Históricos'!$B:$B,0),MATCH($A169,'[2]Precios Históricos'!$6:$6,0))</f>
        <v>#N/A</v>
      </c>
      <c r="BI169" t="e">
        <f>INDEX('[2]Precios Históricos'!$A:$AZ,MATCH(BI$1,'[2]Precios Históricos'!$B:$B,0),MATCH($A169,'[2]Precios Históricos'!$6:$6,0))</f>
        <v>#N/A</v>
      </c>
      <c r="BJ169" t="e">
        <f>INDEX('[2]Precios Históricos'!$A:$AZ,MATCH(BJ$1,'[2]Precios Históricos'!$B:$B,0),MATCH($A169,'[2]Precios Históricos'!$6:$6,0))</f>
        <v>#N/A</v>
      </c>
      <c r="BK169" t="e">
        <f>INDEX('[2]Precios Históricos'!$A:$AZ,MATCH(BK$1,'[2]Precios Históricos'!$B:$B,0),MATCH($A169,'[2]Precios Históricos'!$6:$6,0))</f>
        <v>#N/A</v>
      </c>
    </row>
    <row r="170" spans="1:63" x14ac:dyDescent="0.25">
      <c r="A170" s="4">
        <f>+WORKDAY(A169,1,Feriados!$A$2:$A$38)</f>
        <v>46321</v>
      </c>
      <c r="B170" t="e">
        <f>INDEX('[2]Precios Históricos'!$A:$AZ,MATCH(B$1,'[2]Precios Históricos'!$B:$B,0),MATCH($A170,'[2]Precios Históricos'!$6:$6,0))</f>
        <v>#N/A</v>
      </c>
      <c r="C170">
        <f>INDEX('[2]Precios Históricos'!$A:$AZ,MATCH(C$1,'[2]Precios Históricos'!$B:$B,0),MATCH($A170,'[2]Precios Históricos'!$6:$6,0))</f>
        <v>1.0852042200000001</v>
      </c>
      <c r="D170">
        <f>INDEX('[2]Precios Históricos'!$A:$AZ,MATCH(D$1,'[2]Precios Históricos'!$B:$B,0),MATCH($A170,'[2]Precios Históricos'!$6:$6,0))</f>
        <v>1.2710396799999999</v>
      </c>
      <c r="F170">
        <f>INDEX('[2]Precios Históricos'!$A:$AZ,MATCH(F$1,'[2]Precios Históricos'!$B:$B,0),MATCH($A170,'[2]Precios Históricos'!$6:$6,0))</f>
        <v>1.52738358</v>
      </c>
      <c r="G170">
        <f>INDEX('[2]Precios Históricos'!$A:$AZ,MATCH(G$1,'[2]Precios Históricos'!$B:$B,0),MATCH($A170,'[2]Precios Históricos'!$6:$6,0))</f>
        <v>1.04895103</v>
      </c>
      <c r="H170">
        <f>INDEX('[2]Precios Históricos'!$A:$AZ,MATCH(H$1,'[2]Precios Históricos'!$B:$B,0),MATCH($A170,'[2]Precios Históricos'!$6:$6,0))</f>
        <v>1.3811323</v>
      </c>
      <c r="I170">
        <f>INDEX('[2]Precios Históricos'!$A:$AZ,MATCH(I$1,'[2]Precios Históricos'!$B:$B,0),MATCH($A170,'[2]Precios Históricos'!$6:$6,0))</f>
        <v>1.30204184</v>
      </c>
      <c r="J170">
        <f>INDEX('[2]Precios Históricos'!$A:$AZ,MATCH(J$1,'[2]Precios Históricos'!$B:$B,0),MATCH($A170,'[2]Precios Históricos'!$6:$6,0))</f>
        <v>1.30851348</v>
      </c>
      <c r="K170">
        <f>INDEX('[2]Precios Históricos'!$A:$AZ,MATCH(K$1,'[2]Precios Históricos'!$B:$B,0),MATCH($A170,'[2]Precios Históricos'!$6:$6,0))</f>
        <v>1.0405007399999999</v>
      </c>
      <c r="L170">
        <f>INDEX('[2]Precios Históricos'!$A:$AZ,MATCH(L$1,'[2]Precios Históricos'!$B:$B,0),MATCH($A170,'[2]Precios Históricos'!$6:$6,0))</f>
        <v>1.2688915700000001</v>
      </c>
      <c r="O170">
        <f>INDEX('[2]Precios Históricos'!$A:$AZ,MATCH(O$1,'[2]Precios Históricos'!$B:$B,0),MATCH($A170,'[2]Precios Históricos'!$6:$6,0))</f>
        <v>1.26495333</v>
      </c>
      <c r="P170">
        <f>INDEX('[2]Precios Históricos'!$A:$AZ,MATCH(P$1,'[2]Precios Históricos'!$B:$B,0),MATCH($A170,'[2]Precios Históricos'!$6:$6,0))</f>
        <v>1.1221947800000001</v>
      </c>
      <c r="R170">
        <f>INDEX('[2]Precios Históricos'!$A:$AZ,MATCH(R$1,'[2]Precios Históricos'!$B:$B,0),MATCH($A170,'[2]Precios Históricos'!$6:$6,0))</f>
        <v>1.29113915</v>
      </c>
      <c r="S170">
        <f>INDEX('[2]Precios Históricos'!$A:$AZ,MATCH(S$1,'[2]Precios Históricos'!$B:$B,0),MATCH($A170,'[2]Precios Históricos'!$6:$6,0))</f>
        <v>3.1346117200000001</v>
      </c>
      <c r="T170">
        <f>INDEX('[2]Precios Históricos'!$A:$AZ,MATCH(T$1,'[2]Precios Históricos'!$B:$B,0),MATCH($A170,'[2]Precios Históricos'!$6:$6,0))</f>
        <v>1.0405007399999999</v>
      </c>
      <c r="U170">
        <f>INDEX('[2]Precios Históricos'!$A:$AZ,MATCH(U$1,'[2]Precios Históricos'!$B:$B,0),MATCH($A170,'[2]Precios Históricos'!$6:$6,0))</f>
        <v>2.3302291899999998</v>
      </c>
      <c r="V170">
        <f>INDEX('[2]Precios Históricos'!$A:$AZ,MATCH(V$1,'[2]Precios Históricos'!$B:$B,0),MATCH($A170,'[2]Precios Históricos'!$6:$6,0))</f>
        <v>1.28512341</v>
      </c>
      <c r="W170">
        <f>INDEX('[2]Precios Históricos'!$A:$AZ,MATCH(W$1,'[2]Precios Históricos'!$B:$B,0),MATCH($A170,'[2]Precios Históricos'!$6:$6,0))</f>
        <v>1.2688915700000001</v>
      </c>
      <c r="X170">
        <f>INDEX('[2]Precios Históricos'!$A:$AZ,MATCH(X$1,'[2]Precios Históricos'!$B:$B,0),MATCH($A170,'[2]Precios Históricos'!$6:$6,0))</f>
        <v>4.14267699</v>
      </c>
      <c r="Y170">
        <f>INDEX('[2]Precios Históricos'!$A:$AZ,MATCH(Y$1,'[2]Precios Históricos'!$B:$B,0),MATCH($A170,'[2]Precios Históricos'!$6:$6,0))</f>
        <v>1.12695258</v>
      </c>
      <c r="Z170">
        <f>INDEX('[2]Precios Históricos'!$A:$AZ,MATCH(Z$1,'[2]Precios Históricos'!$B:$B,0),MATCH($A170,'[2]Precios Históricos'!$6:$6,0))</f>
        <v>1.01934681</v>
      </c>
      <c r="AA170">
        <f>INDEX('[2]Precios Históricos'!$A:$AZ,MATCH(AA$1,'[2]Precios Históricos'!$B:$B,0),MATCH($A170,'[2]Precios Históricos'!$6:$6,0))</f>
        <v>2.91224112</v>
      </c>
      <c r="AB170">
        <f>INDEX('[2]Precios Históricos'!$A:$AZ,MATCH(AB$1,'[2]Precios Históricos'!$B:$B,0),MATCH($A170,'[2]Precios Históricos'!$6:$6,0))</f>
        <v>1.04337882</v>
      </c>
      <c r="AC170">
        <f>INDEX('[2]Precios Históricos'!$A:$AZ,MATCH(AC$1,'[2]Precios Históricos'!$B:$B,0),MATCH($A170,'[2]Precios Históricos'!$6:$6,0))</f>
        <v>3.6350963200000002</v>
      </c>
      <c r="AD170">
        <f>INDEX('[2]Precios Históricos'!$A:$AZ,MATCH(AD$1,'[2]Precios Históricos'!$B:$B,0),MATCH($A170,'[2]Precios Históricos'!$6:$6,0))</f>
        <v>0.97929787000000001</v>
      </c>
      <c r="AE170">
        <f>INDEX('[2]Precios Históricos'!$A:$AZ,MATCH(AE$1,'[2]Precios Históricos'!$B:$B,0),MATCH($A170,'[2]Precios Históricos'!$6:$6,0))</f>
        <v>0.87876149999999997</v>
      </c>
      <c r="AF170">
        <f>INDEX('[2]Precios Históricos'!$A:$AZ,MATCH(AF$1,'[2]Precios Históricos'!$B:$B,0),MATCH($A170,'[2]Precios Históricos'!$6:$6,0))</f>
        <v>0.93089710000000003</v>
      </c>
      <c r="AI170">
        <v>0.66749999999999998</v>
      </c>
      <c r="AJ170">
        <v>0.50639999999999996</v>
      </c>
      <c r="AK170">
        <v>0.50900000000000001</v>
      </c>
      <c r="AL170">
        <v>0.64170000000000005</v>
      </c>
      <c r="AM170">
        <v>0.59099999999999997</v>
      </c>
      <c r="AN170">
        <v>0.80449999999999999</v>
      </c>
      <c r="AO170">
        <v>0.97199999999999998</v>
      </c>
      <c r="AP170">
        <v>0.85049999999999992</v>
      </c>
      <c r="AQ170">
        <v>0.78870000000000007</v>
      </c>
      <c r="AR170">
        <v>0.51790000000000003</v>
      </c>
      <c r="AS170">
        <v>0.52210000000000012</v>
      </c>
      <c r="AT170">
        <v>0.67749999999999999</v>
      </c>
      <c r="AU170">
        <v>0.72109999999999996</v>
      </c>
      <c r="AV170">
        <v>0.63270000000000015</v>
      </c>
      <c r="AX170">
        <f>INDEX('[2]Precios Históricos'!$A:$AZ,MATCH(AX$1,'[2]Precios Históricos'!$B:$B,0),MATCH($A170,'[2]Precios Históricos'!$6:$6,0))</f>
        <v>0.71225879999999997</v>
      </c>
      <c r="AY170">
        <v>0.54</v>
      </c>
      <c r="AZ170">
        <f>INDEX('[2]Precios Históricos'!$A:$AZ,MATCH(AZ$1,'[2]Precios Históricos'!$B:$B,0),MATCH($A170,'[2]Precios Históricos'!$6:$6,0))</f>
        <v>0.54189085999999997</v>
      </c>
      <c r="BA170">
        <f>INDEX('[2]Precios Históricos'!$A:$AZ,MATCH(BA$1,'[2]Precios Históricos'!$B:$B,0),MATCH($A170,'[2]Precios Históricos'!$6:$6,0))</f>
        <v>0.68714332</v>
      </c>
      <c r="BB170">
        <f>INDEX('[2]Precios Históricos'!$A:$AZ,MATCH(BB$1,'[2]Precios Históricos'!$B:$B,0),MATCH($A170,'[2]Precios Históricos'!$6:$6,0))</f>
        <v>0.63142195000000001</v>
      </c>
      <c r="BC170">
        <f>INDEX('[2]Precios Históricos'!$A:$AZ,MATCH(BC$1,'[2]Precios Históricos'!$B:$B,0),MATCH($A170,'[2]Precios Históricos'!$6:$6,0))</f>
        <v>0.85746931000000004</v>
      </c>
      <c r="BD170">
        <f>INDEX('[2]Precios Históricos'!$A:$AZ,MATCH(BD$1,'[2]Precios Históricos'!$B:$B,0),MATCH($A170,'[2]Precios Históricos'!$6:$6,0))</f>
        <v>1.0373153500000001</v>
      </c>
      <c r="BE170">
        <f>INDEX('[2]Precios Históricos'!$A:$AZ,MATCH(BE$1,'[2]Precios Históricos'!$B:$B,0),MATCH($A170,'[2]Precios Históricos'!$6:$6,0))</f>
        <v>0.90524084999999999</v>
      </c>
      <c r="BF170">
        <v>0.55500000000000005</v>
      </c>
      <c r="BG170">
        <f>INDEX('[2]Precios Históricos'!$A:$AZ,MATCH(BG$1,'[2]Precios Históricos'!$B:$B,0),MATCH($A170,'[2]Precios Históricos'!$6:$6,0))</f>
        <v>0.55857822000000001</v>
      </c>
      <c r="BH170">
        <f>INDEX('[2]Precios Históricos'!$A:$AZ,MATCH(BH$1,'[2]Precios Históricos'!$B:$B,0),MATCH($A170,'[2]Precios Históricos'!$6:$6,0))</f>
        <v>0.72164233</v>
      </c>
      <c r="BI170">
        <f>INDEX('[2]Precios Históricos'!$A:$AZ,MATCH(BI$1,'[2]Precios Históricos'!$B:$B,0),MATCH($A170,'[2]Precios Históricos'!$6:$6,0))</f>
        <v>0.83991494</v>
      </c>
      <c r="BJ170">
        <f>INDEX('[2]Precios Históricos'!$A:$AZ,MATCH(BJ$1,'[2]Precios Históricos'!$B:$B,0),MATCH($A170,'[2]Precios Históricos'!$6:$6,0))</f>
        <v>0.77002042000000004</v>
      </c>
      <c r="BK170">
        <f>INDEX('[2]Precios Históricos'!$A:$AZ,MATCH(BK$1,'[2]Precios Históricos'!$B:$B,0),MATCH($A170,'[2]Precios Históricos'!$6:$6,0))</f>
        <v>0.67340907999999999</v>
      </c>
    </row>
    <row r="171" spans="1:63" x14ac:dyDescent="0.25">
      <c r="A171" s="4">
        <f>+WORKDAY(A170,1,Feriados!$A$2:$A$38)</f>
        <v>46322</v>
      </c>
      <c r="B171" t="e">
        <f>INDEX('[2]Precios Históricos'!$A:$AZ,MATCH(B$1,'[2]Precios Históricos'!$B:$B,0),MATCH($A171,'[2]Precios Históricos'!$6:$6,0))</f>
        <v>#N/A</v>
      </c>
      <c r="C171">
        <f>INDEX('[2]Precios Históricos'!$A:$AZ,MATCH(C$1,'[2]Precios Históricos'!$B:$B,0),MATCH($A171,'[2]Precios Históricos'!$6:$6,0))</f>
        <v>1.0857107800000001</v>
      </c>
      <c r="D171">
        <f>INDEX('[2]Precios Históricos'!$A:$AZ,MATCH(D$1,'[2]Precios Históricos'!$B:$B,0),MATCH($A171,'[2]Precios Históricos'!$6:$6,0))</f>
        <v>1.27182635</v>
      </c>
      <c r="F171">
        <f>INDEX('[2]Precios Históricos'!$A:$AZ,MATCH(F$1,'[2]Precios Históricos'!$B:$B,0),MATCH($A171,'[2]Precios Históricos'!$6:$6,0))</f>
        <v>1.52746505</v>
      </c>
      <c r="G171">
        <f>INDEX('[2]Precios Históricos'!$A:$AZ,MATCH(G$1,'[2]Precios Históricos'!$B:$B,0),MATCH($A171,'[2]Precios Históricos'!$6:$6,0))</f>
        <v>1.0485382999999999</v>
      </c>
      <c r="H171">
        <f>INDEX('[2]Precios Históricos'!$A:$AZ,MATCH(H$1,'[2]Precios Históricos'!$B:$B,0),MATCH($A171,'[2]Precios Históricos'!$6:$6,0))</f>
        <v>1.3819150099999999</v>
      </c>
      <c r="I171">
        <f>INDEX('[2]Precios Históricos'!$A:$AZ,MATCH(I$1,'[2]Precios Históricos'!$B:$B,0),MATCH($A171,'[2]Precios Históricos'!$6:$6,0))</f>
        <v>1.30150886</v>
      </c>
      <c r="J171">
        <f>INDEX('[2]Precios Históricos'!$A:$AZ,MATCH(J$1,'[2]Precios Históricos'!$B:$B,0),MATCH($A171,'[2]Precios Históricos'!$6:$6,0))</f>
        <v>1.32761482</v>
      </c>
      <c r="K171">
        <f>INDEX('[2]Precios Históricos'!$A:$AZ,MATCH(K$1,'[2]Precios Históricos'!$B:$B,0),MATCH($A171,'[2]Precios Históricos'!$6:$6,0))</f>
        <v>1.04099834</v>
      </c>
      <c r="L171">
        <f>INDEX('[2]Precios Históricos'!$A:$AZ,MATCH(L$1,'[2]Precios Históricos'!$B:$B,0),MATCH($A171,'[2]Precios Históricos'!$6:$6,0))</f>
        <v>1.2639168700000001</v>
      </c>
      <c r="O171">
        <f>INDEX('[2]Precios Históricos'!$A:$AZ,MATCH(O$1,'[2]Precios Históricos'!$B:$B,0),MATCH($A171,'[2]Precios Históricos'!$6:$6,0))</f>
        <v>1.26935175</v>
      </c>
      <c r="P171">
        <f>INDEX('[2]Precios Históricos'!$A:$AZ,MATCH(P$1,'[2]Precios Históricos'!$B:$B,0),MATCH($A171,'[2]Precios Históricos'!$6:$6,0))</f>
        <v>1.1211783799999999</v>
      </c>
      <c r="R171">
        <f>INDEX('[2]Precios Históricos'!$A:$AZ,MATCH(R$1,'[2]Precios Históricos'!$B:$B,0),MATCH($A171,'[2]Precios Históricos'!$6:$6,0))</f>
        <v>1.2923122899999999</v>
      </c>
      <c r="S171">
        <f>INDEX('[2]Precios Históricos'!$A:$AZ,MATCH(S$1,'[2]Precios Históricos'!$B:$B,0),MATCH($A171,'[2]Precios Históricos'!$6:$6,0))</f>
        <v>3.1357191900000001</v>
      </c>
      <c r="T171">
        <f>INDEX('[2]Precios Históricos'!$A:$AZ,MATCH(T$1,'[2]Precios Históricos'!$B:$B,0),MATCH($A171,'[2]Precios Históricos'!$6:$6,0))</f>
        <v>1.04099834</v>
      </c>
      <c r="U171">
        <f>INDEX('[2]Precios Históricos'!$A:$AZ,MATCH(U$1,'[2]Precios Históricos'!$B:$B,0),MATCH($A171,'[2]Precios Históricos'!$6:$6,0))</f>
        <v>2.3329388299999998</v>
      </c>
      <c r="V171">
        <f>INDEX('[2]Precios Históricos'!$A:$AZ,MATCH(V$1,'[2]Precios Históricos'!$B:$B,0),MATCH($A171,'[2]Precios Históricos'!$6:$6,0))</f>
        <v>1.2864988100000001</v>
      </c>
      <c r="W171">
        <f>INDEX('[2]Precios Históricos'!$A:$AZ,MATCH(W$1,'[2]Precios Históricos'!$B:$B,0),MATCH($A171,'[2]Precios Históricos'!$6:$6,0))</f>
        <v>1.2639168700000001</v>
      </c>
      <c r="X171">
        <f>INDEX('[2]Precios Históricos'!$A:$AZ,MATCH(X$1,'[2]Precios Históricos'!$B:$B,0),MATCH($A171,'[2]Precios Históricos'!$6:$6,0))</f>
        <v>4.1390132599999996</v>
      </c>
      <c r="Y171">
        <f>INDEX('[2]Precios Históricos'!$A:$AZ,MATCH(Y$1,'[2]Precios Históricos'!$B:$B,0),MATCH($A171,'[2]Precios Históricos'!$6:$6,0))</f>
        <v>1.1239069399999999</v>
      </c>
      <c r="Z171">
        <f>INDEX('[2]Precios Históricos'!$A:$AZ,MATCH(Z$1,'[2]Precios Históricos'!$B:$B,0),MATCH($A171,'[2]Precios Históricos'!$6:$6,0))</f>
        <v>1.01401893</v>
      </c>
      <c r="AA171">
        <f>INDEX('[2]Precios Históricos'!$A:$AZ,MATCH(AA$1,'[2]Precios Históricos'!$B:$B,0),MATCH($A171,'[2]Precios Históricos'!$6:$6,0))</f>
        <v>2.9041402000000001</v>
      </c>
      <c r="AB171">
        <f>INDEX('[2]Precios Históricos'!$A:$AZ,MATCH(AB$1,'[2]Precios Históricos'!$B:$B,0),MATCH($A171,'[2]Precios Históricos'!$6:$6,0))</f>
        <v>1.0442</v>
      </c>
      <c r="AC171">
        <f>INDEX('[2]Precios Históricos'!$A:$AZ,MATCH(AC$1,'[2]Precios Históricos'!$B:$B,0),MATCH($A171,'[2]Precios Históricos'!$6:$6,0))</f>
        <v>3.6324624999999999</v>
      </c>
      <c r="AD171">
        <f>INDEX('[2]Precios Históricos'!$A:$AZ,MATCH(AD$1,'[2]Precios Históricos'!$B:$B,0),MATCH($A171,'[2]Precios Históricos'!$6:$6,0))</f>
        <v>0.97918727000000005</v>
      </c>
      <c r="AE171">
        <f>INDEX('[2]Precios Históricos'!$A:$AZ,MATCH(AE$1,'[2]Precios Históricos'!$B:$B,0),MATCH($A171,'[2]Precios Históricos'!$6:$6,0))</f>
        <v>0.87932871999999995</v>
      </c>
      <c r="AF171">
        <f>INDEX('[2]Precios Históricos'!$A:$AZ,MATCH(AF$1,'[2]Precios Históricos'!$B:$B,0),MATCH($A171,'[2]Precios Históricos'!$6:$6,0))</f>
        <v>0.92884710000000004</v>
      </c>
      <c r="AX171">
        <f>INDEX('[2]Precios Históricos'!$A:$AZ,MATCH(AX$1,'[2]Precios Históricos'!$B:$B,0),MATCH($A171,'[2]Precios Históricos'!$6:$6,0))</f>
        <v>0.71657112999999995</v>
      </c>
      <c r="AZ171">
        <f>INDEX('[2]Precios Históricos'!$A:$AZ,MATCH(AZ$1,'[2]Precios Históricos'!$B:$B,0),MATCH($A171,'[2]Precios Históricos'!$6:$6,0))</f>
        <v>0.54447051000000002</v>
      </c>
      <c r="BA171">
        <f>INDEX('[2]Precios Históricos'!$A:$AZ,MATCH(BA$1,'[2]Precios Históricos'!$B:$B,0),MATCH($A171,'[2]Precios Históricos'!$6:$6,0))</f>
        <v>0.68531297999999996</v>
      </c>
      <c r="BB171">
        <f>INDEX('[2]Precios Históricos'!$A:$AZ,MATCH(BB$1,'[2]Precios Históricos'!$B:$B,0),MATCH($A171,'[2]Precios Históricos'!$6:$6,0))</f>
        <v>0.6336273</v>
      </c>
      <c r="BC171">
        <f>INDEX('[2]Precios Históricos'!$A:$AZ,MATCH(BC$1,'[2]Precios Históricos'!$B:$B,0),MATCH($A171,'[2]Precios Históricos'!$6:$6,0))</f>
        <v>0.86085449000000003</v>
      </c>
      <c r="BD171">
        <f>INDEX('[2]Precios Históricos'!$A:$AZ,MATCH(BD$1,'[2]Precios Históricos'!$B:$B,0),MATCH($A171,'[2]Precios Históricos'!$6:$6,0))</f>
        <v>1.0365055000000001</v>
      </c>
      <c r="BE171">
        <f>INDEX('[2]Precios Históricos'!$A:$AZ,MATCH(BE$1,'[2]Precios Históricos'!$B:$B,0),MATCH($A171,'[2]Precios Históricos'!$6:$6,0))</f>
        <v>0.91411620999999998</v>
      </c>
      <c r="BG171">
        <f>INDEX('[2]Precios Históricos'!$A:$AZ,MATCH(BG$1,'[2]Precios Históricos'!$B:$B,0),MATCH($A171,'[2]Precios Históricos'!$6:$6,0))</f>
        <v>0.56087664999999998</v>
      </c>
      <c r="BH171">
        <f>INDEX('[2]Precios Históricos'!$A:$AZ,MATCH(BH$1,'[2]Precios Históricos'!$B:$B,0),MATCH($A171,'[2]Precios Históricos'!$6:$6,0))</f>
        <v>0.72855687000000002</v>
      </c>
      <c r="BI171">
        <f>INDEX('[2]Precios Históricos'!$A:$AZ,MATCH(BI$1,'[2]Precios Históricos'!$B:$B,0),MATCH($A171,'[2]Precios Históricos'!$6:$6,0))</f>
        <v>0.84259978999999996</v>
      </c>
      <c r="BJ171">
        <f>INDEX('[2]Precios Históricos'!$A:$AZ,MATCH(BJ$1,'[2]Precios Históricos'!$B:$B,0),MATCH($A171,'[2]Precios Históricos'!$6:$6,0))</f>
        <v>0.77237683000000001</v>
      </c>
      <c r="BK171">
        <f>INDEX('[2]Precios Históricos'!$A:$AZ,MATCH(BK$1,'[2]Precios Históricos'!$B:$B,0),MATCH($A171,'[2]Precios Históricos'!$6:$6,0))</f>
        <v>0.67598002999999995</v>
      </c>
    </row>
    <row r="172" spans="1:63" x14ac:dyDescent="0.25">
      <c r="A172" s="4">
        <f>+WORKDAY(A171,1,Feriados!$A$2:$A$38)</f>
        <v>46323</v>
      </c>
      <c r="B172" t="e">
        <f>INDEX('[2]Precios Históricos'!$A:$AZ,MATCH(B$1,'[2]Precios Históricos'!$B:$B,0),MATCH($A172,'[2]Precios Históricos'!$6:$6,0))</f>
        <v>#N/A</v>
      </c>
      <c r="C172">
        <f>INDEX('[2]Precios Históricos'!$A:$AZ,MATCH(C$1,'[2]Precios Históricos'!$B:$B,0),MATCH($A172,'[2]Precios Históricos'!$6:$6,0))</f>
        <v>1.0862777699999999</v>
      </c>
      <c r="D172">
        <f>INDEX('[2]Precios Históricos'!$A:$AZ,MATCH(D$1,'[2]Precios Históricos'!$B:$B,0),MATCH($A172,'[2]Precios Históricos'!$6:$6,0))</f>
        <v>1.27241106</v>
      </c>
      <c r="F172">
        <f>INDEX('[2]Precios Históricos'!$A:$AZ,MATCH(F$1,'[2]Precios Históricos'!$B:$B,0),MATCH($A172,'[2]Precios Históricos'!$6:$6,0))</f>
        <v>1.52888413</v>
      </c>
      <c r="G172">
        <f>INDEX('[2]Precios Históricos'!$A:$AZ,MATCH(G$1,'[2]Precios Históricos'!$B:$B,0),MATCH($A172,'[2]Precios Históricos'!$6:$6,0))</f>
        <v>1.0495640399999999</v>
      </c>
      <c r="H172">
        <f>INDEX('[2]Precios Históricos'!$A:$AZ,MATCH(H$1,'[2]Precios Históricos'!$B:$B,0),MATCH($A172,'[2]Precios Históricos'!$6:$6,0))</f>
        <v>1.38186988</v>
      </c>
      <c r="I172">
        <f>INDEX('[2]Precios Históricos'!$A:$AZ,MATCH(I$1,'[2]Precios Históricos'!$B:$B,0),MATCH($A172,'[2]Precios Históricos'!$6:$6,0))</f>
        <v>1.3016547199999999</v>
      </c>
      <c r="J172">
        <f>INDEX('[2]Precios Históricos'!$A:$AZ,MATCH(J$1,'[2]Precios Históricos'!$B:$B,0),MATCH($A172,'[2]Precios Históricos'!$6:$6,0))</f>
        <v>1.3179069299999999</v>
      </c>
      <c r="K172">
        <f>INDEX('[2]Precios Históricos'!$A:$AZ,MATCH(K$1,'[2]Precios Históricos'!$B:$B,0),MATCH($A172,'[2]Precios Históricos'!$6:$6,0))</f>
        <v>1.0413750100000001</v>
      </c>
      <c r="L172">
        <f>INDEX('[2]Precios Históricos'!$A:$AZ,MATCH(L$1,'[2]Precios Históricos'!$B:$B,0),MATCH($A172,'[2]Precios Históricos'!$6:$6,0))</f>
        <v>1.26848428</v>
      </c>
      <c r="O172">
        <f>INDEX('[2]Precios Históricos'!$A:$AZ,MATCH(O$1,'[2]Precios Históricos'!$B:$B,0),MATCH($A172,'[2]Precios Históricos'!$6:$6,0))</f>
        <v>1.2669274500000001</v>
      </c>
      <c r="P172">
        <f>INDEX('[2]Precios Históricos'!$A:$AZ,MATCH(P$1,'[2]Precios Históricos'!$B:$B,0),MATCH($A172,'[2]Precios Históricos'!$6:$6,0))</f>
        <v>1.12101173</v>
      </c>
      <c r="R172">
        <f>INDEX('[2]Precios Históricos'!$A:$AZ,MATCH(R$1,'[2]Precios Históricos'!$B:$B,0),MATCH($A172,'[2]Precios Históricos'!$6:$6,0))</f>
        <v>1.2918069299999999</v>
      </c>
      <c r="S172">
        <f>INDEX('[2]Precios Históricos'!$A:$AZ,MATCH(S$1,'[2]Precios Históricos'!$B:$B,0),MATCH($A172,'[2]Precios Históricos'!$6:$6,0))</f>
        <v>3.1367699999999998</v>
      </c>
      <c r="T172">
        <f>INDEX('[2]Precios Históricos'!$A:$AZ,MATCH(T$1,'[2]Precios Históricos'!$B:$B,0),MATCH($A172,'[2]Precios Históricos'!$6:$6,0))</f>
        <v>1.0413750100000001</v>
      </c>
      <c r="U172">
        <f>INDEX('[2]Precios Históricos'!$A:$AZ,MATCH(U$1,'[2]Precios Históricos'!$B:$B,0),MATCH($A172,'[2]Precios Históricos'!$6:$6,0))</f>
        <v>2.3375575</v>
      </c>
      <c r="V172">
        <f>INDEX('[2]Precios Históricos'!$A:$AZ,MATCH(V$1,'[2]Precios Históricos'!$B:$B,0),MATCH($A172,'[2]Precios Históricos'!$6:$6,0))</f>
        <v>1.28851677</v>
      </c>
      <c r="W172">
        <f>INDEX('[2]Precios Históricos'!$A:$AZ,MATCH(W$1,'[2]Precios Históricos'!$B:$B,0),MATCH($A172,'[2]Precios Históricos'!$6:$6,0))</f>
        <v>1.26848428</v>
      </c>
      <c r="X172">
        <f>INDEX('[2]Precios Históricos'!$A:$AZ,MATCH(X$1,'[2]Precios Históricos'!$B:$B,0),MATCH($A172,'[2]Precios Históricos'!$6:$6,0))</f>
        <v>4.1420291300000001</v>
      </c>
      <c r="Y172">
        <f>INDEX('[2]Precios Históricos'!$A:$AZ,MATCH(Y$1,'[2]Precios Históricos'!$B:$B,0),MATCH($A172,'[2]Precios Históricos'!$6:$6,0))</f>
        <v>1.1248853000000001</v>
      </c>
      <c r="Z172">
        <f>INDEX('[2]Precios Históricos'!$A:$AZ,MATCH(Z$1,'[2]Precios Históricos'!$B:$B,0),MATCH($A172,'[2]Precios Históricos'!$6:$6,0))</f>
        <v>1.0063875200000001</v>
      </c>
      <c r="AA172">
        <f>INDEX('[2]Precios Históricos'!$A:$AZ,MATCH(AA$1,'[2]Precios Históricos'!$B:$B,0),MATCH($A172,'[2]Precios Históricos'!$6:$6,0))</f>
        <v>2.9034247400000002</v>
      </c>
      <c r="AB172">
        <f>INDEX('[2]Precios Históricos'!$A:$AZ,MATCH(AB$1,'[2]Precios Históricos'!$B:$B,0),MATCH($A172,'[2]Precios Históricos'!$6:$6,0))</f>
        <v>1.0469999800000001</v>
      </c>
      <c r="AC172">
        <f>INDEX('[2]Precios Históricos'!$A:$AZ,MATCH(AC$1,'[2]Precios Históricos'!$B:$B,0),MATCH($A172,'[2]Precios Históricos'!$6:$6,0))</f>
        <v>3.6380211199999999</v>
      </c>
      <c r="AD172">
        <f>INDEX('[2]Precios Históricos'!$A:$AZ,MATCH(AD$1,'[2]Precios Históricos'!$B:$B,0),MATCH($A172,'[2]Precios Históricos'!$6:$6,0))</f>
        <v>0.98100030000000005</v>
      </c>
      <c r="AE172">
        <f>INDEX('[2]Precios Históricos'!$A:$AZ,MATCH(AE$1,'[2]Precios Históricos'!$B:$B,0),MATCH($A172,'[2]Precios Históricos'!$6:$6,0))</f>
        <v>0.87400120999999997</v>
      </c>
      <c r="AF172">
        <f>INDEX('[2]Precios Históricos'!$A:$AZ,MATCH(AF$1,'[2]Precios Históricos'!$B:$B,0),MATCH($A172,'[2]Precios Históricos'!$6:$6,0))</f>
        <v>0.92782750999999997</v>
      </c>
      <c r="AX172">
        <f>INDEX('[2]Precios Históricos'!$A:$AZ,MATCH(AX$1,'[2]Precios Históricos'!$B:$B,0),MATCH($A172,'[2]Precios Históricos'!$6:$6,0))</f>
        <v>0.70323232000000002</v>
      </c>
      <c r="AZ172">
        <f>INDEX('[2]Precios Históricos'!$A:$AZ,MATCH(AZ$1,'[2]Precios Históricos'!$B:$B,0),MATCH($A172,'[2]Precios Históricos'!$6:$6,0))</f>
        <v>0.54155763999999995</v>
      </c>
      <c r="BA172">
        <f>INDEX('[2]Precios Históricos'!$A:$AZ,MATCH(BA$1,'[2]Precios Históricos'!$B:$B,0),MATCH($A172,'[2]Precios Históricos'!$6:$6,0))</f>
        <v>0.67543538000000003</v>
      </c>
      <c r="BB172">
        <f>INDEX('[2]Precios Históricos'!$A:$AZ,MATCH(BB$1,'[2]Precios Históricos'!$B:$B,0),MATCH($A172,'[2]Precios Históricos'!$6:$6,0))</f>
        <v>0.62407966999999998</v>
      </c>
      <c r="BC172">
        <f>INDEX('[2]Precios Históricos'!$A:$AZ,MATCH(BC$1,'[2]Precios Históricos'!$B:$B,0),MATCH($A172,'[2]Precios Históricos'!$6:$6,0))</f>
        <v>0.85000447000000001</v>
      </c>
      <c r="BD172">
        <f>INDEX('[2]Precios Históricos'!$A:$AZ,MATCH(BD$1,'[2]Precios Históricos'!$B:$B,0),MATCH($A172,'[2]Precios Históricos'!$6:$6,0))</f>
        <v>1.0316309800000001</v>
      </c>
      <c r="BE172">
        <f>INDEX('[2]Precios Históricos'!$A:$AZ,MATCH(BE$1,'[2]Precios Históricos'!$B:$B,0),MATCH($A172,'[2]Precios Históricos'!$6:$6,0))</f>
        <v>0.90118206000000001</v>
      </c>
      <c r="BG172">
        <f>INDEX('[2]Precios Históricos'!$A:$AZ,MATCH(BG$1,'[2]Precios Históricos'!$B:$B,0),MATCH($A172,'[2]Precios Históricos'!$6:$6,0))</f>
        <v>0.55418034000000005</v>
      </c>
      <c r="BH172">
        <f>INDEX('[2]Precios Históricos'!$A:$AZ,MATCH(BH$1,'[2]Precios Históricos'!$B:$B,0),MATCH($A172,'[2]Precios Históricos'!$6:$6,0))</f>
        <v>0.71711866999999996</v>
      </c>
      <c r="BI172">
        <f>INDEX('[2]Precios Históricos'!$A:$AZ,MATCH(BI$1,'[2]Precios Históricos'!$B:$B,0),MATCH($A172,'[2]Precios Históricos'!$6:$6,0))</f>
        <v>0.83297715999999999</v>
      </c>
      <c r="BJ172">
        <f>INDEX('[2]Precios Históricos'!$A:$AZ,MATCH(BJ$1,'[2]Precios Históricos'!$B:$B,0),MATCH($A172,'[2]Precios Históricos'!$6:$6,0))</f>
        <v>0.76189545000000003</v>
      </c>
      <c r="BK172">
        <f>INDEX('[2]Precios Históricos'!$A:$AZ,MATCH(BK$1,'[2]Precios Históricos'!$B:$B,0),MATCH($A172,'[2]Precios Históricos'!$6:$6,0))</f>
        <v>0.67268218000000002</v>
      </c>
    </row>
    <row r="173" spans="1:63" x14ac:dyDescent="0.25">
      <c r="A173" s="4">
        <f>+WORKDAY(A172,1,Feriados!$A$2:$A$38)</f>
        <v>46324</v>
      </c>
      <c r="B173" t="e">
        <f>INDEX('[2]Precios Históricos'!$A:$AZ,MATCH(B$1,'[2]Precios Históricos'!$B:$B,0),MATCH($A173,'[2]Precios Históricos'!$6:$6,0))</f>
        <v>#N/A</v>
      </c>
      <c r="C173">
        <f>INDEX('[2]Precios Históricos'!$A:$AZ,MATCH(C$1,'[2]Precios Históricos'!$B:$B,0),MATCH($A173,'[2]Precios Históricos'!$6:$6,0))</f>
        <v>1.0870290499999999</v>
      </c>
      <c r="D173">
        <f>INDEX('[2]Precios Históricos'!$A:$AZ,MATCH(D$1,'[2]Precios Históricos'!$B:$B,0),MATCH($A173,'[2]Precios Históricos'!$6:$6,0))</f>
        <v>1.2745239500000001</v>
      </c>
      <c r="E173">
        <v>1</v>
      </c>
      <c r="F173">
        <f>INDEX('[2]Precios Históricos'!$A:$AZ,MATCH(F$1,'[2]Precios Históricos'!$B:$B,0),MATCH($A173,'[2]Precios Históricos'!$6:$6,0))</f>
        <v>1.5315555199999999</v>
      </c>
      <c r="G173">
        <f>INDEX('[2]Precios Históricos'!$A:$AZ,MATCH(G$1,'[2]Precios Históricos'!$B:$B,0),MATCH($A173,'[2]Precios Históricos'!$6:$6,0))</f>
        <v>1.05197753</v>
      </c>
      <c r="H173">
        <f>INDEX('[2]Precios Históricos'!$A:$AZ,MATCH(H$1,'[2]Precios Históricos'!$B:$B,0),MATCH($A173,'[2]Precios Históricos'!$6:$6,0))</f>
        <v>1.3858884499999999</v>
      </c>
      <c r="I173">
        <f>INDEX('[2]Precios Históricos'!$A:$AZ,MATCH(I$1,'[2]Precios Históricos'!$B:$B,0),MATCH($A173,'[2]Precios Históricos'!$6:$6,0))</f>
        <v>1.30482688</v>
      </c>
      <c r="J173">
        <f>INDEX('[2]Precios Históricos'!$A:$AZ,MATCH(J$1,'[2]Precios Históricos'!$B:$B,0),MATCH($A173,'[2]Precios Históricos'!$6:$6,0))</f>
        <v>1.3114656899999999</v>
      </c>
      <c r="K173">
        <f>INDEX('[2]Precios Históricos'!$A:$AZ,MATCH(K$1,'[2]Precios Históricos'!$B:$B,0),MATCH($A173,'[2]Precios Históricos'!$6:$6,0))</f>
        <v>1.0417772199999999</v>
      </c>
      <c r="L173">
        <f>INDEX('[2]Precios Históricos'!$A:$AZ,MATCH(L$1,'[2]Precios Históricos'!$B:$B,0),MATCH($A173,'[2]Precios Históricos'!$6:$6,0))</f>
        <v>1.2729492200000001</v>
      </c>
      <c r="O173">
        <f>INDEX('[2]Precios Históricos'!$A:$AZ,MATCH(O$1,'[2]Precios Históricos'!$B:$B,0),MATCH($A173,'[2]Precios Históricos'!$6:$6,0))</f>
        <v>1.27044438</v>
      </c>
      <c r="P173">
        <f>INDEX('[2]Precios Históricos'!$A:$AZ,MATCH(P$1,'[2]Precios Históricos'!$B:$B,0),MATCH($A173,'[2]Precios Históricos'!$6:$6,0))</f>
        <v>1.1256691599999999</v>
      </c>
      <c r="R173">
        <f>INDEX('[2]Precios Históricos'!$A:$AZ,MATCH(R$1,'[2]Precios Históricos'!$B:$B,0),MATCH($A173,'[2]Precios Históricos'!$6:$6,0))</f>
        <v>1.2923029800000001</v>
      </c>
      <c r="S173">
        <f>INDEX('[2]Precios Históricos'!$A:$AZ,MATCH(S$1,'[2]Precios Históricos'!$B:$B,0),MATCH($A173,'[2]Precios Históricos'!$6:$6,0))</f>
        <v>3.1433705500000002</v>
      </c>
      <c r="T173">
        <f>INDEX('[2]Precios Históricos'!$A:$AZ,MATCH(T$1,'[2]Precios Históricos'!$B:$B,0),MATCH($A173,'[2]Precios Históricos'!$6:$6,0))</f>
        <v>1.0417772199999999</v>
      </c>
      <c r="U173">
        <f>INDEX('[2]Precios Históricos'!$A:$AZ,MATCH(U$1,'[2]Precios Históricos'!$B:$B,0),MATCH($A173,'[2]Precios Históricos'!$6:$6,0))</f>
        <v>2.3320821</v>
      </c>
      <c r="V173">
        <f>INDEX('[2]Precios Históricos'!$A:$AZ,MATCH(V$1,'[2]Precios Históricos'!$B:$B,0),MATCH($A173,'[2]Precios Históricos'!$6:$6,0))</f>
        <v>1.2934913299999999</v>
      </c>
      <c r="W173">
        <f>INDEX('[2]Precios Históricos'!$A:$AZ,MATCH(W$1,'[2]Precios Históricos'!$B:$B,0),MATCH($A173,'[2]Precios Históricos'!$6:$6,0))</f>
        <v>1.2729492200000001</v>
      </c>
      <c r="X173">
        <f>INDEX('[2]Precios Históricos'!$A:$AZ,MATCH(X$1,'[2]Precios Históricos'!$B:$B,0),MATCH($A173,'[2]Precios Históricos'!$6:$6,0))</f>
        <v>4.1595105200000004</v>
      </c>
      <c r="Y173">
        <f>INDEX('[2]Precios Históricos'!$A:$AZ,MATCH(Y$1,'[2]Precios Históricos'!$B:$B,0),MATCH($A173,'[2]Precios Históricos'!$6:$6,0))</f>
        <v>1.1271407</v>
      </c>
      <c r="Z173">
        <f>INDEX('[2]Precios Históricos'!$A:$AZ,MATCH(Z$1,'[2]Precios Históricos'!$B:$B,0),MATCH($A173,'[2]Precios Históricos'!$6:$6,0))</f>
        <v>1.0201357600000001</v>
      </c>
      <c r="AA173">
        <f>INDEX('[2]Precios Históricos'!$A:$AZ,MATCH(AA$1,'[2]Precios Históricos'!$B:$B,0),MATCH($A173,'[2]Precios Históricos'!$6:$6,0))</f>
        <v>2.9011477700000001</v>
      </c>
      <c r="AB173">
        <f>INDEX('[2]Precios Históricos'!$A:$AZ,MATCH(AB$1,'[2]Precios Históricos'!$B:$B,0),MATCH($A173,'[2]Precios Históricos'!$6:$6,0))</f>
        <v>1.0485002400000001</v>
      </c>
      <c r="AC173">
        <f>INDEX('[2]Precios Históricos'!$A:$AZ,MATCH(AC$1,'[2]Precios Históricos'!$B:$B,0),MATCH($A173,'[2]Precios Históricos'!$6:$6,0))</f>
        <v>3.6450382600000002</v>
      </c>
      <c r="AD173">
        <f>INDEX('[2]Precios Históricos'!$A:$AZ,MATCH(AD$1,'[2]Precios Históricos'!$B:$B,0),MATCH($A173,'[2]Precios Históricos'!$6:$6,0))</f>
        <v>0.98272364000000001</v>
      </c>
      <c r="AE173">
        <f>INDEX('[2]Precios Históricos'!$A:$AZ,MATCH(AE$1,'[2]Precios Históricos'!$B:$B,0),MATCH($A173,'[2]Precios Históricos'!$6:$6,0))</f>
        <v>0.87730386999999999</v>
      </c>
      <c r="AF173">
        <f>INDEX('[2]Precios Históricos'!$A:$AZ,MATCH(AF$1,'[2]Precios Históricos'!$B:$B,0),MATCH($A173,'[2]Precios Históricos'!$6:$6,0))</f>
        <v>0.92485930000000005</v>
      </c>
      <c r="AX173">
        <f>INDEX('[2]Precios Históricos'!$A:$AZ,MATCH(AX$1,'[2]Precios Históricos'!$B:$B,0),MATCH($A173,'[2]Precios Históricos'!$6:$6,0))</f>
        <v>0.71118543999999995</v>
      </c>
      <c r="AZ173">
        <f>INDEX('[2]Precios Históricos'!$A:$AZ,MATCH(AZ$1,'[2]Precios Históricos'!$B:$B,0),MATCH($A173,'[2]Precios Históricos'!$6:$6,0))</f>
        <v>0.54297013000000005</v>
      </c>
      <c r="BA173">
        <f>INDEX('[2]Precios Históricos'!$A:$AZ,MATCH(BA$1,'[2]Precios Históricos'!$B:$B,0),MATCH($A173,'[2]Precios Históricos'!$6:$6,0))</f>
        <v>0.68261322999999996</v>
      </c>
      <c r="BB173">
        <f>INDEX('[2]Precios Históricos'!$A:$AZ,MATCH(BB$1,'[2]Precios Históricos'!$B:$B,0),MATCH($A173,'[2]Precios Históricos'!$6:$6,0))</f>
        <v>0.63569494000000004</v>
      </c>
      <c r="BC173">
        <f>INDEX('[2]Precios Históricos'!$A:$AZ,MATCH(BC$1,'[2]Precios Históricos'!$B:$B,0),MATCH($A173,'[2]Precios Históricos'!$6:$6,0))</f>
        <v>0.85266454000000003</v>
      </c>
      <c r="BD173">
        <f>INDEX('[2]Precios Históricos'!$A:$AZ,MATCH(BD$1,'[2]Precios Históricos'!$B:$B,0),MATCH($A173,'[2]Precios Históricos'!$6:$6,0))</f>
        <v>1.03102158</v>
      </c>
      <c r="BE173">
        <f>INDEX('[2]Precios Históricos'!$A:$AZ,MATCH(BE$1,'[2]Precios Históricos'!$B:$B,0),MATCH($A173,'[2]Precios Históricos'!$6:$6,0))</f>
        <v>0.89868429000000005</v>
      </c>
      <c r="BG173">
        <f>INDEX('[2]Precios Históricos'!$A:$AZ,MATCH(BG$1,'[2]Precios Históricos'!$B:$B,0),MATCH($A173,'[2]Precios Históricos'!$6:$6,0))</f>
        <v>0.55905026999999996</v>
      </c>
      <c r="BH173">
        <f>INDEX('[2]Precios Históricos'!$A:$AZ,MATCH(BH$1,'[2]Precios Históricos'!$B:$B,0),MATCH($A173,'[2]Precios Históricos'!$6:$6,0))</f>
        <v>0.72694245999999996</v>
      </c>
      <c r="BI173">
        <f>INDEX('[2]Precios Históricos'!$A:$AZ,MATCH(BI$1,'[2]Precios Históricos'!$B:$B,0),MATCH($A173,'[2]Precios Históricos'!$6:$6,0))</f>
        <v>0.82949866999999999</v>
      </c>
      <c r="BJ173">
        <f>INDEX('[2]Precios Históricos'!$A:$AZ,MATCH(BJ$1,'[2]Precios Históricos'!$B:$B,0),MATCH($A173,'[2]Precios Históricos'!$6:$6,0))</f>
        <v>0.77091399000000005</v>
      </c>
      <c r="BK173">
        <f>INDEX('[2]Precios Históricos'!$A:$AZ,MATCH(BK$1,'[2]Precios Históricos'!$B:$B,0),MATCH($A173,'[2]Precios Históricos'!$6:$6,0))</f>
        <v>0.6818668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6"/>
  <sheetViews>
    <sheetView tabSelected="1" topLeftCell="A411" workbookViewId="0">
      <selection activeCell="B443" sqref="B443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+IFERROR(VLOOKUP(A420,[3]Variables!$M:$N,2,0),0)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+IFERROR(VLOOKUP(A421,[3]Variables!$M:$N,2,0),0)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+IFERROR(VLOOKUP(A422,[3]Variables!$M:$N,2,0),0)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+IFERROR(VLOOKUP(A423,[3]Variables!$M:$N,2,0),0)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+IFERROR(VLOOKUP(A424,[3]Variables!$M:$N,2,0),0)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+IFERROR(VLOOKUP(A425,[3]Variables!$M:$N,2,0),0)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+IFERROR(VLOOKUP(A426,[3]Variables!$M:$N,2,0),0)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+IFERROR(VLOOKUP(A427,[3]Variables!$M:$N,2,0),0)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+IFERROR(VLOOKUP(A428,[3]Variables!$M:$N,2,0),0)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+IFERROR(VLOOKUP(A429,[3]Variables!$M:$N,2,0),0)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+IFERROR(VLOOKUP(A430,[3]Variables!$M:$N,2,0),0)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+IFERROR(VLOOKUP(A431,[3]Variables!$M:$N,2,0),0)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+IFERROR(VLOOKUP(A432,[3]Variables!$M:$N,2,0),0)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+IFERROR(VLOOKUP(A433,[3]Variables!$M:$N,2,0),0)</f>
        <v>24.5625</v>
      </c>
      <c r="C433" s="6"/>
    </row>
    <row r="434" spans="1:3" x14ac:dyDescent="0.25">
      <c r="A434" s="2">
        <f>+WORKDAY(A433,1,Feriados!$A$2:$A$38)</f>
        <v>46310</v>
      </c>
      <c r="B434" s="3">
        <f>+IFERROR(VLOOKUP(A434,[3]Variables!$M:$N,2,0),0)</f>
        <v>24.5</v>
      </c>
    </row>
    <row r="435" spans="1:3" x14ac:dyDescent="0.25">
      <c r="A435" s="2">
        <f>+WORKDAY(A434,1,Feriados!$A$2:$A$38)</f>
        <v>46311</v>
      </c>
      <c r="B435" s="3">
        <f>+IFERROR(VLOOKUP(A435,[3]Variables!$M:$N,2,0),0)</f>
        <v>24.625</v>
      </c>
    </row>
    <row r="436" spans="1:3" x14ac:dyDescent="0.25">
      <c r="A436" s="2">
        <f>+WORKDAY(A435,1,Feriados!$A$2:$A$38)</f>
        <v>46314</v>
      </c>
      <c r="B436" s="3">
        <f>+IFERROR(VLOOKUP(A436,[3]Variables!$M:$N,2,0),0)</f>
        <v>24</v>
      </c>
    </row>
    <row r="437" spans="1:3" x14ac:dyDescent="0.25">
      <c r="A437" s="2">
        <f>+WORKDAY(A436,1,Feriados!$A$2:$A$38)</f>
        <v>46315</v>
      </c>
      <c r="B437" s="3">
        <f>+IFERROR(VLOOKUP(A437,[3]Variables!$M:$N,2,0),0)</f>
        <v>24.375</v>
      </c>
    </row>
    <row r="438" spans="1:3" x14ac:dyDescent="0.25">
      <c r="A438" s="2">
        <f>+WORKDAY(A437,1,Feriados!$A$2:$A$38)</f>
        <v>46316</v>
      </c>
      <c r="B438" s="3">
        <f>+IFERROR(VLOOKUP(A438,[3]Variables!$M:$N,2,0),0)</f>
        <v>24.1875</v>
      </c>
    </row>
    <row r="439" spans="1:3" x14ac:dyDescent="0.25">
      <c r="A439" s="2">
        <f>+WORKDAY(A438,1,Feriados!$A$2:$A$38)</f>
        <v>46317</v>
      </c>
      <c r="B439" s="3">
        <f>+IFERROR(VLOOKUP(A439,[3]Variables!$M:$N,2,0),0)</f>
        <v>24.5</v>
      </c>
    </row>
    <row r="440" spans="1:3" x14ac:dyDescent="0.25">
      <c r="A440" s="2">
        <f>+WORKDAY(A439,1,Feriados!$A$2:$A$38)</f>
        <v>46318</v>
      </c>
      <c r="B440" s="3">
        <f>+IFERROR(VLOOKUP(A440,[3]Variables!$M:$N,2,0),0)</f>
        <v>24.375</v>
      </c>
    </row>
    <row r="441" spans="1:3" x14ac:dyDescent="0.25">
      <c r="A441" s="2">
        <f>+WORKDAY(A440,1,Feriados!$A$2:$A$38)</f>
        <v>46321</v>
      </c>
      <c r="B441" s="3">
        <f>+IFERROR(VLOOKUP(A441,[3]Variables!$M:$N,2,0),0)</f>
        <v>24.125</v>
      </c>
    </row>
    <row r="442" spans="1:3" x14ac:dyDescent="0.25">
      <c r="A442" s="2">
        <f>+WORKDAY(A441,1,Feriados!$A$2:$A$38)</f>
        <v>46322</v>
      </c>
      <c r="B442" s="3">
        <f>+IFERROR(VLOOKUP(A442,[3]Variables!$M:$N,2,0),0)</f>
        <v>24.5625</v>
      </c>
    </row>
    <row r="443" spans="1:3" x14ac:dyDescent="0.25">
      <c r="A443" s="2">
        <f>+WORKDAY(A442,1,Feriados!$A$2:$A$38)</f>
        <v>46323</v>
      </c>
      <c r="B443" s="15">
        <v>23.5625</v>
      </c>
    </row>
    <row r="444" spans="1:3" x14ac:dyDescent="0.25">
      <c r="A444" s="2">
        <f>+WORKDAY(A443,1,Feriados!$A$2:$A$38)</f>
        <v>46324</v>
      </c>
    </row>
    <row r="445" spans="1:3" x14ac:dyDescent="0.25">
      <c r="A445" s="2">
        <f>+WORKDAY(A444,1,Feriados!$A$2:$A$38)</f>
        <v>46325</v>
      </c>
    </row>
    <row r="446" spans="1:3" x14ac:dyDescent="0.25">
      <c r="A446" s="2">
        <f>+WORKDAY(A445,1,Feriados!$A$2:$A$38)</f>
        <v>46328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96"/>
  <sheetViews>
    <sheetView topLeftCell="A461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+WORKDAY(A419,1,[4]Feriados!$A$2:$A$38)</f>
        <v>46289</v>
      </c>
      <c r="B420" s="3">
        <v>844.43527310563002</v>
      </c>
    </row>
    <row r="421" spans="1:2" x14ac:dyDescent="0.25">
      <c r="A421" s="2">
        <f>+WORKDAY(A420,1,[4]Feriados!$A$2:$A$38)</f>
        <v>46290</v>
      </c>
      <c r="B421" s="3">
        <v>844.90989791504001</v>
      </c>
    </row>
    <row r="422" spans="1:2" x14ac:dyDescent="0.25">
      <c r="A422" s="2">
        <f>+WORKDAY(A421,1,[4]Feriados!$A$2:$A$38)</f>
        <v>46293</v>
      </c>
      <c r="B422" s="3">
        <v>846.33537355394003</v>
      </c>
    </row>
    <row r="423" spans="1:2" x14ac:dyDescent="0.25">
      <c r="A423" s="2">
        <f>+WORKDAY(A422,1,[4]Feriados!$A$2:$A$38)</f>
        <v>46294</v>
      </c>
      <c r="B423" s="3">
        <v>846.81106633722004</v>
      </c>
    </row>
    <row r="424" spans="1:2" x14ac:dyDescent="0.25">
      <c r="A424" s="2">
        <f>+WORKDAY(A423,1,[4]Feriados!$A$2:$A$38)</f>
        <v>46295</v>
      </c>
      <c r="B424" s="3">
        <v>847.28702648924002</v>
      </c>
    </row>
    <row r="425" spans="1:2" x14ac:dyDescent="0.25">
      <c r="A425" s="2">
        <f>+WORKDAY(A424,1,[4]Feriados!$A$2:$A$38)</f>
        <v>46296</v>
      </c>
      <c r="B425" s="3">
        <f>+IFERROR(VLOOKUP(A425,[3]Variables!$P:$Q,2,0),B424)</f>
        <v>847.76325416028999</v>
      </c>
    </row>
    <row r="426" spans="1:2" x14ac:dyDescent="0.25">
      <c r="A426" s="2">
        <f>+WORKDAY(A425,1,[4]Feriados!$A$2:$A$38)</f>
        <v>46297</v>
      </c>
      <c r="B426" s="3">
        <f>+IFERROR(VLOOKUP(A426,[3]Variables!$P:$Q,2,0),B425)</f>
        <v>848.23974950070999</v>
      </c>
    </row>
    <row r="427" spans="1:2" x14ac:dyDescent="0.25">
      <c r="A427" s="2">
        <f>+WORKDAY(A426,1,[4]Feriados!$A$2:$A$38)</f>
        <v>46300</v>
      </c>
      <c r="B427" s="3">
        <f>+IFERROR(VLOOKUP(A427,[3]Variables!$P:$Q,2,0),B426)</f>
        <v>849.67084304316995</v>
      </c>
    </row>
    <row r="428" spans="1:2" x14ac:dyDescent="0.25">
      <c r="A428" s="2">
        <f>+WORKDAY(A427,1,[4]Feriados!$A$2:$A$38)</f>
        <v>46301</v>
      </c>
      <c r="B428" s="3">
        <f>+IFERROR(VLOOKUP(A428,[3]Variables!$P:$Q,2,0),B427)</f>
        <v>850.14841056643002</v>
      </c>
    </row>
    <row r="429" spans="1:2" x14ac:dyDescent="0.25">
      <c r="A429" s="2">
        <f>+WORKDAY(A428,1,[4]Feriados!$A$2:$A$38)</f>
        <v>46302</v>
      </c>
      <c r="B429" s="3">
        <f>+IFERROR(VLOOKUP(A429,[3]Variables!$P:$Q,2,0),B428)</f>
        <v>850.62624651216004</v>
      </c>
    </row>
    <row r="430" spans="1:2" x14ac:dyDescent="0.25">
      <c r="A430" s="2">
        <f>+WORKDAY(A429,1,[4]Feriados!$A$2:$A$38)</f>
        <v>46303</v>
      </c>
      <c r="B430" s="3">
        <f>+IFERROR(VLOOKUP(A430,[3]Variables!$P:$Q,2,0),B429)</f>
        <v>851.10435103121995</v>
      </c>
    </row>
    <row r="431" spans="1:2" x14ac:dyDescent="0.25">
      <c r="A431" s="2">
        <f>+WORKDAY(A430,1,[4]Feriados!$A$2:$A$38)</f>
        <v>46304</v>
      </c>
      <c r="B431" s="3">
        <f>+IFERROR(VLOOKUP(A431,[3]Variables!$P:$Q,2,0),B430)</f>
        <v>851.58272427456996</v>
      </c>
    </row>
    <row r="432" spans="1:2" x14ac:dyDescent="0.25">
      <c r="A432" s="2">
        <f>+WORKDAY(A431,1,[4]Feriados!$A$2:$A$38)</f>
        <v>46308</v>
      </c>
      <c r="B432" s="3">
        <f>+IFERROR(VLOOKUP(A432,[3]Variables!$P:$Q,2,0),B431)</f>
        <v>853.49890751288001</v>
      </c>
    </row>
    <row r="433" spans="1:2" x14ac:dyDescent="0.25">
      <c r="A433" s="2">
        <f>+WORKDAY(A432,1,[4]Feriados!$A$2:$A$38)</f>
        <v>46309</v>
      </c>
      <c r="B433" s="3">
        <f>+IFERROR(VLOOKUP(A433,[3]Variables!$P:$Q,2,0),B432)</f>
        <v>853.97862664495005</v>
      </c>
    </row>
    <row r="434" spans="1:2" x14ac:dyDescent="0.25">
      <c r="A434" s="2">
        <f>+WORKDAY(A433,1,[4]Feriados!$A$2:$A$38)</f>
        <v>46310</v>
      </c>
      <c r="B434" s="3">
        <f>+IFERROR(VLOOKUP(A434,[3]Variables!$P:$Q,2,0),B433)</f>
        <v>854.45861540882004</v>
      </c>
    </row>
    <row r="435" spans="1:2" x14ac:dyDescent="0.25">
      <c r="A435" s="2">
        <f>+WORKDAY(A434,1,[4]Feriados!$A$2:$A$38)</f>
        <v>46311</v>
      </c>
      <c r="B435" s="3">
        <f>+IFERROR(VLOOKUP(A435,[3]Variables!$P:$Q,2,0),B434)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+IFERROR(VLOOKUP(A436,[3]Variables!$P:$Q,2,0),B435)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+IFERROR(VLOOKUP(A437,[3]Variables!$P:$Q,2,0),B436)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+IFERROR(VLOOKUP(A438,[3]Variables!$P:$Q,2,0),B437)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+IFERROR(VLOOKUP(A439,[3]Variables!$P:$Q,2,0),B438)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+IFERROR(VLOOKUP(A440,[3]Variables!$P:$Q,2,0),B439)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+IFERROR(VLOOKUP(A441,[3]Variables!$P:$Q,2,0),B440)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+IFERROR(VLOOKUP(A442,[3]Variables!$P:$Q,2,0),B441)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+IFERROR(VLOOKUP(A443,[3]Variables!$P:$Q,2,0),B442)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+IFERROR(VLOOKUP(A444,[3]Variables!$P:$Q,2,0),B443)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+IFERROR(VLOOKUP(A445,[3]Variables!$P:$Q,2,0),B444)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+IFERROR(VLOOKUP(A446,[3]Variables!$P:$Q,2,0),B445)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+IFERROR(VLOOKUP(A447,[3]Variables!$P:$Q,2,0),B446)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+IFERROR(VLOOKUP(A448,[3]Variables!$P:$Q,2,0),B447)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+IFERROR(VLOOKUP(A449,[3]Variables!$P:$Q,2,0),B448)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+IFERROR(VLOOKUP(A450,[3]Variables!$P:$Q,2,0),B449)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+IFERROR(VLOOKUP(A451,[3]Variables!$P:$Q,2,0),B450)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+IFERROR(VLOOKUP(A452,[3]Variables!$P:$Q,2,0),B451)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+IFERROR(VLOOKUP(A453,[3]Variables!$P:$Q,2,0),B452)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+IFERROR(VLOOKUP(A454,[3]Variables!$P:$Q,2,0),B453)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+IFERROR(VLOOKUP(A455,[3]Variables!$P:$Q,2,0),B454)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+IFERROR(VLOOKUP(A456,[3]Variables!$P:$Q,2,0),B455)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+IFERROR(VLOOKUP(A457,[3]Variables!$P:$Q,2,0),B456)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+IFERROR(VLOOKUP(A458,[3]Variables!$P:$Q,2,0),B457)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+IFERROR(VLOOKUP(A459,[3]Variables!$P:$Q,2,0),B458)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+IFERROR(VLOOKUP(A460,[3]Variables!$P:$Q,2,0),B459)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+IFERROR(VLOOKUP(A461,[3]Variables!$P:$Q,2,0),B460)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+IFERROR(VLOOKUP(A462,[3]Variables!$P:$Q,2,0),B461)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+IFERROR(VLOOKUP(A463,[3]Variables!$P:$Q,2,0),B462)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+IFERROR(VLOOKUP(A464,[3]Variables!$P:$Q,2,0),B463)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+IFERROR(VLOOKUP(A465,[3]Variables!$P:$Q,2,0),B464)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+IFERROR(VLOOKUP(A466,[3]Variables!$P:$Q,2,0),B465)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+IFERROR(VLOOKUP(A467,[3]Variables!$P:$Q,2,0),B466)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+IFERROR(VLOOKUP(A468,[3]Variables!$P:$Q,2,0),B467)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+IFERROR(VLOOKUP(A469,[3]Variables!$P:$Q,2,0),B468)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+IFERROR(VLOOKUP(A470,[3]Variables!$P:$Q,2,0),B469)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+IFERROR(VLOOKUP(A471,[3]Variables!$P:$Q,2,0),B470)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+IFERROR(VLOOKUP(A472,[3]Variables!$P:$Q,2,0),B471)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+IFERROR(VLOOKUP(A473,[3]Variables!$P:$Q,2,0),B472)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+IFERROR(VLOOKUP(A474,[3]Variables!$P:$Q,2,0),B473)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+IFERROR(VLOOKUP(A475,[3]Variables!$P:$Q,2,0),B474)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+IFERROR(VLOOKUP(A476,[3]Variables!$P:$Q,2,0),B475)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+IFERROR(VLOOKUP(A477,[3]Variables!$P:$Q,2,0),B476)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+IFERROR(VLOOKUP(A478,[3]Variables!$P:$Q,2,0),B477)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+IFERROR(VLOOKUP(A479,[3]Variables!$P:$Q,2,0),B478)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+IFERROR(VLOOKUP(A480,[3]Variables!$P:$Q,2,0),B479)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+IFERROR(VLOOKUP(A481,[3]Variables!$P:$Q,2,0),B480)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+IFERROR(VLOOKUP(A482,[3]Variables!$P:$Q,2,0),B481)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+IFERROR(VLOOKUP(A483,[3]Variables!$P:$Q,2,0),B482)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+IFERROR(VLOOKUP(A484,[3]Variables!$P:$Q,2,0),B483)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+IFERROR(VLOOKUP(A485,[3]Variables!$P:$Q,2,0),B484)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+IFERROR(VLOOKUP(A486,[3]Variables!$P:$Q,2,0),B485)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+IFERROR(VLOOKUP(A487,[3]Variables!$P:$Q,2,0),B486)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+IFERROR(VLOOKUP(A488,[3]Variables!$P:$Q,2,0),B487)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+IFERROR(VLOOKUP(A489,[3]Variables!$P:$Q,2,0),B488)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+IFERROR(VLOOKUP(A490,[3]Variables!$P:$Q,2,0),B489)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+IFERROR(VLOOKUP(A491,[3]Variables!$P:$Q,2,0),B490)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+IFERROR(VLOOKUP(A492,[3]Variables!$P:$Q,2,0),B491)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+IFERROR(VLOOKUP(A493,[3]Variables!$P:$Q,2,0),B492)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+IFERROR(VLOOKUP(A494,[3]Variables!$P:$Q,2,0),B493)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+IFERROR(VLOOKUP(A495,[3]Variables!$P:$Q,2,0),B494)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+IFERROR(VLOOKUP(A496,[3]Variables!$P:$Q,2,0),B495)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+IFERROR(VLOOKUP(A497,[3]Variables!$P:$Q,2,0),B496)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+IFERROR(VLOOKUP(A498,[3]Variables!$P:$Q,2,0),B497)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+IFERROR(VLOOKUP(A499,[3]Variables!$P:$Q,2,0),B498)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+IFERROR(VLOOKUP(A500,[3]Variables!$P:$Q,2,0),B499)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+IFERROR(VLOOKUP(A501,[3]Variables!$P:$Q,2,0),B500)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+IFERROR(VLOOKUP(A502,[3]Variables!$P:$Q,2,0),B501)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+IFERROR(VLOOKUP(A503,[3]Variables!$P:$Q,2,0),B502)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+IFERROR(VLOOKUP(A504,[3]Variables!$P:$Q,2,0),B503)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+IFERROR(VLOOKUP(A505,[3]Variables!$P:$Q,2,0),B504)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+IFERROR(VLOOKUP(A506,[3]Variables!$P:$Q,2,0),B505)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+IFERROR(VLOOKUP(A507,[3]Variables!$P:$Q,2,0),B506)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+IFERROR(VLOOKUP(A508,[3]Variables!$P:$Q,2,0),B507)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+IFERROR(VLOOKUP(A509,[3]Variables!$P:$Q,2,0),B508)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+IFERROR(VLOOKUP(A510,[3]Variables!$P:$Q,2,0),B509)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+IFERROR(VLOOKUP(A511,[3]Variables!$P:$Q,2,0),B510)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+IFERROR(VLOOKUP(A512,[3]Variables!$P:$Q,2,0),B511)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+IFERROR(VLOOKUP(A513,[3]Variables!$P:$Q,2,0),B512)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+IFERROR(VLOOKUP(A514,[3]Variables!$P:$Q,2,0),B513)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+IFERROR(VLOOKUP(A515,[3]Variables!$P:$Q,2,0),B514)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+IFERROR(VLOOKUP(A516,[3]Variables!$P:$Q,2,0),B515)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+IFERROR(VLOOKUP(A517,[3]Variables!$P:$Q,2,0),B516)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+IFERROR(VLOOKUP(A518,[3]Variables!$P:$Q,2,0),B517)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+IFERROR(VLOOKUP(A519,[3]Variables!$P:$Q,2,0),B518)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+IFERROR(VLOOKUP(A520,[3]Variables!$P:$Q,2,0),B519)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+IFERROR(VLOOKUP(A521,[3]Variables!$P:$Q,2,0),B520)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+IFERROR(VLOOKUP(A522,[3]Variables!$P:$Q,2,0),B521)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+IFERROR(VLOOKUP(A523,[3]Variables!$P:$Q,2,0),B522)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+IFERROR(VLOOKUP(A524,[3]Variables!$P:$Q,2,0),B523)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+IFERROR(VLOOKUP(A525,[3]Variables!$P:$Q,2,0),B524)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+IFERROR(VLOOKUP(A526,[3]Variables!$P:$Q,2,0),B525)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+IFERROR(VLOOKUP(A527,[3]Variables!$P:$Q,2,0),B526)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+IFERROR(VLOOKUP(A528,[3]Variables!$P:$Q,2,0),B527)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+IFERROR(VLOOKUP(A529,[3]Variables!$P:$Q,2,0),B528)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+IFERROR(VLOOKUP(A530,[3]Variables!$P:$Q,2,0),B529)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+IFERROR(VLOOKUP(A531,[3]Variables!$P:$Q,2,0),B530)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+IFERROR(VLOOKUP(A532,[3]Variables!$P:$Q,2,0),B531)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+IFERROR(VLOOKUP(A533,[3]Variables!$P:$Q,2,0),B532)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+IFERROR(VLOOKUP(A534,[3]Variables!$P:$Q,2,0),B533)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+IFERROR(VLOOKUP(A535,[3]Variables!$P:$Q,2,0),B534)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+IFERROR(VLOOKUP(A536,[3]Variables!$P:$Q,2,0),B535)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+IFERROR(VLOOKUP(A537,[3]Variables!$P:$Q,2,0),B536)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+IFERROR(VLOOKUP(A538,[3]Variables!$P:$Q,2,0),B537)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+IFERROR(VLOOKUP(A539,[3]Variables!$P:$Q,2,0),B538)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+IFERROR(VLOOKUP(A540,[3]Variables!$P:$Q,2,0),B539)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+IFERROR(VLOOKUP(A541,[3]Variables!$P:$Q,2,0),B540)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+IFERROR(VLOOKUP(A542,[3]Variables!$P:$Q,2,0),B541)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+IFERROR(VLOOKUP(A543,[3]Variables!$P:$Q,2,0),B542)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+IFERROR(VLOOKUP(A544,[3]Variables!$P:$Q,2,0),B543)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+IFERROR(VLOOKUP(A545,[3]Variables!$P:$Q,2,0),B544)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+IFERROR(VLOOKUP(A546,[3]Variables!$P:$Q,2,0),B545)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+IFERROR(VLOOKUP(A547,[3]Variables!$P:$Q,2,0),B546)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+IFERROR(VLOOKUP(A548,[3]Variables!$P:$Q,2,0),B547)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+IFERROR(VLOOKUP(A549,[3]Variables!$P:$Q,2,0),B548)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+IFERROR(VLOOKUP(A550,[3]Variables!$P:$Q,2,0),B549)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+IFERROR(VLOOKUP(A551,[3]Variables!$P:$Q,2,0),B550)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+IFERROR(VLOOKUP(A552,[3]Variables!$P:$Q,2,0),B551)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+IFERROR(VLOOKUP(A553,[3]Variables!$P:$Q,2,0),B552)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+IFERROR(VLOOKUP(A554,[3]Variables!$P:$Q,2,0),B553)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+IFERROR(VLOOKUP(A555,[3]Variables!$P:$Q,2,0),B554)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+IFERROR(VLOOKUP(A556,[3]Variables!$P:$Q,2,0),B555)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+IFERROR(VLOOKUP(A557,[3]Variables!$P:$Q,2,0),B556)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+IFERROR(VLOOKUP(A558,[3]Variables!$P:$Q,2,0),B557)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+IFERROR(VLOOKUP(A559,[3]Variables!$P:$Q,2,0),B558)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+IFERROR(VLOOKUP(A560,[3]Variables!$P:$Q,2,0),B559)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+IFERROR(VLOOKUP(A561,[3]Variables!$P:$Q,2,0),B560)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+IFERROR(VLOOKUP(A562,[3]Variables!$P:$Q,2,0),B561)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+IFERROR(VLOOKUP(A563,[3]Variables!$P:$Q,2,0),B562)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+IFERROR(VLOOKUP(A564,[3]Variables!$P:$Q,2,0),B563)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+IFERROR(VLOOKUP(A565,[3]Variables!$P:$Q,2,0),B564)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+IFERROR(VLOOKUP(A566,[3]Variables!$P:$Q,2,0),B565)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+IFERROR(VLOOKUP(A567,[3]Variables!$P:$Q,2,0),B566)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+IFERROR(VLOOKUP(A568,[3]Variables!$P:$Q,2,0),B567)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+IFERROR(VLOOKUP(A569,[3]Variables!$P:$Q,2,0),B568)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+IFERROR(VLOOKUP(A570,[3]Variables!$P:$Q,2,0),B569)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+IFERROR(VLOOKUP(A571,[3]Variables!$P:$Q,2,0),B570)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+IFERROR(VLOOKUP(A572,[3]Variables!$P:$Q,2,0),B571)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+IFERROR(VLOOKUP(A573,[3]Variables!$P:$Q,2,0),B572)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+IFERROR(VLOOKUP(A574,[3]Variables!$P:$Q,2,0),B573)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+IFERROR(VLOOKUP(A575,[3]Variables!$P:$Q,2,0),B574)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+IFERROR(VLOOKUP(A576,[3]Variables!$P:$Q,2,0),B575)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+IFERROR(VLOOKUP(A577,[3]Variables!$P:$Q,2,0),B576)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+IFERROR(VLOOKUP(A578,[3]Variables!$P:$Q,2,0),B577)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+IFERROR(VLOOKUP(A579,[3]Variables!$P:$Q,2,0),B578)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+IFERROR(VLOOKUP(A580,[3]Variables!$P:$Q,2,0),B579)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+IFERROR(VLOOKUP(A581,[3]Variables!$P:$Q,2,0),B580)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+IFERROR(VLOOKUP(A582,[3]Variables!$P:$Q,2,0),B581)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+IFERROR(VLOOKUP(A583,[3]Variables!$P:$Q,2,0),B582)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+IFERROR(VLOOKUP(A584,[3]Variables!$P:$Q,2,0),B583)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+IFERROR(VLOOKUP(A585,[3]Variables!$P:$Q,2,0),B584)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+IFERROR(VLOOKUP(A586,[3]Variables!$P:$Q,2,0),B585)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+IFERROR(VLOOKUP(A587,[3]Variables!$P:$Q,2,0),B586)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+IFERROR(VLOOKUP(A588,[3]Variables!$P:$Q,2,0),B587)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+IFERROR(VLOOKUP(A589,[3]Variables!$P:$Q,2,0),B588)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+IFERROR(VLOOKUP(A590,[3]Variables!$P:$Q,2,0),B589)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+IFERROR(VLOOKUP(A591,[3]Variables!$P:$Q,2,0),B590)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+IFERROR(VLOOKUP(A592,[3]Variables!$P:$Q,2,0),B591)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+IFERROR(VLOOKUP(A593,[3]Variables!$P:$Q,2,0),B592)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+IFERROR(VLOOKUP(A594,[3]Variables!$P:$Q,2,0),B593)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+IFERROR(VLOOKUP(A595,[3]Variables!$P:$Q,2,0),B594)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+IFERROR(VLOOKUP(A596,[3]Variables!$P:$Q,2,0),B595)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6"/>
  <sheetViews>
    <sheetView workbookViewId="0">
      <selection activeCell="G30" sqref="G30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+[5]Hoja1!$B31</f>
        <v>46167</v>
      </c>
    </row>
    <row r="3" spans="1:1" x14ac:dyDescent="0.25">
      <c r="A3" s="1">
        <f>+[5]Hoja1!$B32</f>
        <v>46188</v>
      </c>
    </row>
    <row r="4" spans="1:1" x14ac:dyDescent="0.25">
      <c r="A4" s="1">
        <f>+[5]Hoja1!$B33</f>
        <v>46212</v>
      </c>
    </row>
    <row r="5" spans="1:1" x14ac:dyDescent="0.25">
      <c r="A5" s="1">
        <f>+[5]Hoja1!$B34</f>
        <v>46213</v>
      </c>
    </row>
    <row r="6" spans="1:1" x14ac:dyDescent="0.25">
      <c r="A6" s="1">
        <f>+[5]Hoja1!$B35</f>
        <v>46251</v>
      </c>
    </row>
    <row r="7" spans="1:1" x14ac:dyDescent="0.25">
      <c r="A7" s="1">
        <f>+[5]Hoja1!$B36</f>
        <v>46307</v>
      </c>
    </row>
    <row r="8" spans="1:1" x14ac:dyDescent="0.25">
      <c r="A8" s="1">
        <f>+[5]Hoja1!$B37</f>
        <v>46332</v>
      </c>
    </row>
    <row r="9" spans="1:1" x14ac:dyDescent="0.25">
      <c r="A9" s="1">
        <f>+[5]Hoja1!$B38</f>
        <v>46335</v>
      </c>
    </row>
    <row r="10" spans="1:1" x14ac:dyDescent="0.25">
      <c r="A10" s="1">
        <f>+[5]Hoja1!$B39</f>
        <v>46336</v>
      </c>
    </row>
    <row r="11" spans="1:1" x14ac:dyDescent="0.25">
      <c r="A11" s="1">
        <f>+[5]Hoja1!$B40</f>
        <v>46349</v>
      </c>
    </row>
    <row r="12" spans="1:1" x14ac:dyDescent="0.25">
      <c r="A12" s="1">
        <f>+[5]Hoja1!$B41</f>
        <v>46363</v>
      </c>
    </row>
    <row r="13" spans="1:1" x14ac:dyDescent="0.25">
      <c r="A13" s="1">
        <f>+[5]Hoja1!$B42</f>
        <v>46364</v>
      </c>
    </row>
    <row r="14" spans="1:1" x14ac:dyDescent="0.25">
      <c r="A14" s="1">
        <f>+[5]Hoja1!$B43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"/>
  <sheetViews>
    <sheetView topLeftCell="A4" workbookViewId="0">
      <selection activeCell="C8" sqref="C8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23</v>
      </c>
      <c r="B2" s="8">
        <v>45961</v>
      </c>
      <c r="C2" s="8">
        <v>46325</v>
      </c>
      <c r="D2" s="7">
        <v>2.5499999999999998E-2</v>
      </c>
    </row>
    <row r="3" spans="1:4" x14ac:dyDescent="0.25">
      <c r="A3" t="s">
        <v>24</v>
      </c>
      <c r="B3" s="8">
        <v>46203</v>
      </c>
      <c r="C3" s="8">
        <v>46339</v>
      </c>
      <c r="D3" s="7">
        <v>2.1000000000000001E-2</v>
      </c>
    </row>
    <row r="4" spans="1:4" x14ac:dyDescent="0.25">
      <c r="A4" t="s">
        <v>15</v>
      </c>
      <c r="B4" s="8">
        <v>46006</v>
      </c>
      <c r="C4" s="8">
        <v>46356</v>
      </c>
      <c r="D4" s="7">
        <v>2.3E-2</v>
      </c>
    </row>
    <row r="5" spans="1:4" x14ac:dyDescent="0.25">
      <c r="A5" t="s">
        <v>7</v>
      </c>
      <c r="B5" s="8">
        <v>45688</v>
      </c>
      <c r="C5" s="8">
        <v>46402</v>
      </c>
      <c r="D5" s="7">
        <v>2.0499999999999997E-2</v>
      </c>
    </row>
    <row r="6" spans="1:4" x14ac:dyDescent="0.25">
      <c r="A6" t="s">
        <v>3</v>
      </c>
      <c r="B6" s="8">
        <v>46265</v>
      </c>
      <c r="C6" s="8">
        <v>46416</v>
      </c>
      <c r="D6" s="7">
        <v>2.2499999999999999E-2</v>
      </c>
    </row>
    <row r="7" spans="1:4" x14ac:dyDescent="0.25">
      <c r="A7" t="s">
        <v>83</v>
      </c>
      <c r="B7" s="8">
        <v>46325</v>
      </c>
      <c r="C7" s="8">
        <v>46444</v>
      </c>
      <c r="D7" s="7">
        <v>2.1000000000000001E-2</v>
      </c>
    </row>
    <row r="8" spans="1:4" x14ac:dyDescent="0.25">
      <c r="A8" t="s">
        <v>16</v>
      </c>
      <c r="B8" s="8">
        <v>45961</v>
      </c>
      <c r="C8" s="8">
        <v>46507</v>
      </c>
      <c r="D8" s="7">
        <v>2.5499999999999998E-2</v>
      </c>
    </row>
    <row r="9" spans="1:4" x14ac:dyDescent="0.25">
      <c r="A9" t="s">
        <v>11</v>
      </c>
      <c r="B9" s="8">
        <v>46006</v>
      </c>
      <c r="C9" s="8">
        <v>46538</v>
      </c>
      <c r="D9" s="7">
        <v>2.4E-2</v>
      </c>
    </row>
    <row r="10" spans="1:4" x14ac:dyDescent="0.25">
      <c r="A10" t="s">
        <v>17</v>
      </c>
      <c r="B10" s="8">
        <v>46038</v>
      </c>
      <c r="C10" s="8">
        <v>46568</v>
      </c>
      <c r="D10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6"/>
  <sheetViews>
    <sheetView workbookViewId="0">
      <selection activeCell="E31" sqref="E31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20</v>
      </c>
      <c r="B2" s="8">
        <v>46006</v>
      </c>
      <c r="C2" s="8">
        <v>46356</v>
      </c>
      <c r="D2" s="7">
        <v>0</v>
      </c>
      <c r="E2">
        <v>659.6789</v>
      </c>
    </row>
    <row r="3" spans="1:5" x14ac:dyDescent="0.25">
      <c r="A3" t="s">
        <v>25</v>
      </c>
      <c r="B3" s="8">
        <v>45366</v>
      </c>
      <c r="C3" s="8">
        <v>46371</v>
      </c>
      <c r="D3" s="7">
        <v>0</v>
      </c>
      <c r="E3">
        <v>271.04759999999999</v>
      </c>
    </row>
    <row r="4" spans="1:5" x14ac:dyDescent="0.25">
      <c r="A4" t="s">
        <v>13</v>
      </c>
      <c r="B4" s="8">
        <v>46248</v>
      </c>
      <c r="C4" s="8">
        <v>46416</v>
      </c>
      <c r="D4" s="7">
        <v>0</v>
      </c>
      <c r="E4">
        <v>815.43449999999996</v>
      </c>
    </row>
    <row r="5" spans="1:5" x14ac:dyDescent="0.25">
      <c r="A5" t="s">
        <v>26</v>
      </c>
      <c r="B5" s="8">
        <v>45432</v>
      </c>
      <c r="C5" s="8">
        <v>46477</v>
      </c>
      <c r="D5" s="7">
        <v>0</v>
      </c>
      <c r="E5">
        <v>361.31760000000003</v>
      </c>
    </row>
    <row r="6" spans="1:5" x14ac:dyDescent="0.25">
      <c r="A6" t="s">
        <v>19</v>
      </c>
      <c r="B6" s="8">
        <v>45989</v>
      </c>
      <c r="C6" s="8">
        <v>46507</v>
      </c>
      <c r="D6" s="7">
        <v>0</v>
      </c>
      <c r="E6">
        <v>651.8981</v>
      </c>
    </row>
    <row r="7" spans="1:5" x14ac:dyDescent="0.25">
      <c r="A7" t="s">
        <v>14</v>
      </c>
      <c r="B7" s="8">
        <v>46006</v>
      </c>
      <c r="C7" s="8">
        <v>46538</v>
      </c>
      <c r="D7" s="7">
        <v>0</v>
      </c>
      <c r="E7">
        <v>659.6789</v>
      </c>
    </row>
    <row r="8" spans="1:5" x14ac:dyDescent="0.25">
      <c r="A8" t="s">
        <v>18</v>
      </c>
      <c r="B8" s="8">
        <v>45323</v>
      </c>
      <c r="C8" s="8">
        <v>46568</v>
      </c>
      <c r="D8" s="7">
        <v>0</v>
      </c>
      <c r="E8">
        <v>200.38800000000001</v>
      </c>
    </row>
    <row r="9" spans="1:5" x14ac:dyDescent="0.25">
      <c r="A9" t="s">
        <v>27</v>
      </c>
      <c r="B9" s="8">
        <v>46112</v>
      </c>
      <c r="C9" s="8">
        <v>46660</v>
      </c>
      <c r="D9" s="7">
        <v>0</v>
      </c>
      <c r="E9">
        <v>723.06</v>
      </c>
    </row>
    <row r="10" spans="1:5" x14ac:dyDescent="0.25">
      <c r="A10" t="s">
        <v>28</v>
      </c>
      <c r="B10" s="8">
        <v>46203</v>
      </c>
      <c r="C10" s="8">
        <v>46689</v>
      </c>
      <c r="D10" s="7">
        <v>0</v>
      </c>
      <c r="E10">
        <v>791.48969999999997</v>
      </c>
    </row>
    <row r="11" spans="1:5" x14ac:dyDescent="0.25">
      <c r="A11" t="s">
        <v>29</v>
      </c>
      <c r="B11" s="8">
        <v>45366</v>
      </c>
      <c r="C11" s="8">
        <v>46736</v>
      </c>
      <c r="D11" s="7">
        <v>0</v>
      </c>
      <c r="E11">
        <v>271.04759999999999</v>
      </c>
    </row>
    <row r="12" spans="1:5" x14ac:dyDescent="0.25">
      <c r="A12" t="s">
        <v>30</v>
      </c>
      <c r="B12" s="8">
        <v>46113</v>
      </c>
      <c r="C12" s="8">
        <v>46843</v>
      </c>
      <c r="D12" s="7">
        <v>0</v>
      </c>
      <c r="E12">
        <v>725.20640000000003</v>
      </c>
    </row>
    <row r="13" spans="1:5" x14ac:dyDescent="0.25">
      <c r="A13" t="s">
        <v>31</v>
      </c>
      <c r="B13" s="8">
        <v>45323</v>
      </c>
      <c r="C13" s="8">
        <v>46934</v>
      </c>
      <c r="D13" s="7">
        <v>0</v>
      </c>
      <c r="E13">
        <v>200.38800000000001</v>
      </c>
    </row>
    <row r="14" spans="1:5" x14ac:dyDescent="0.25">
      <c r="A14" t="s">
        <v>32</v>
      </c>
      <c r="B14" s="8">
        <v>46112</v>
      </c>
      <c r="C14" s="8">
        <v>47025</v>
      </c>
      <c r="D14" s="7">
        <v>0</v>
      </c>
      <c r="E14">
        <v>723.06</v>
      </c>
    </row>
    <row r="15" spans="1:5" x14ac:dyDescent="0.25">
      <c r="A15" t="s">
        <v>33</v>
      </c>
      <c r="B15" s="8">
        <v>46203</v>
      </c>
      <c r="C15" s="8">
        <v>47102</v>
      </c>
      <c r="D15" s="7">
        <v>0</v>
      </c>
      <c r="E15">
        <v>791.48969999999997</v>
      </c>
    </row>
    <row r="16" spans="1:5" x14ac:dyDescent="0.25">
      <c r="A16" t="s">
        <v>34</v>
      </c>
      <c r="B16" s="8">
        <v>46113</v>
      </c>
      <c r="C16" s="8">
        <v>47205</v>
      </c>
      <c r="D16" s="7">
        <v>0</v>
      </c>
      <c r="E16">
        <v>725.20640000000003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79"/>
  <sheetViews>
    <sheetView topLeftCell="A363" workbookViewId="0">
      <selection activeCell="G395" sqref="G395"/>
    </sheetView>
  </sheetViews>
  <sheetFormatPr baseColWidth="10" defaultRowHeight="15" x14ac:dyDescent="0.25"/>
  <sheetData>
    <row r="1" spans="1:6" ht="15.75" x14ac:dyDescent="0.25">
      <c r="A1" t="s">
        <v>6</v>
      </c>
      <c r="B1" t="s">
        <v>35</v>
      </c>
      <c r="C1" t="s">
        <v>36</v>
      </c>
      <c r="D1" s="12" t="s">
        <v>37</v>
      </c>
      <c r="E1" s="12" t="s">
        <v>38</v>
      </c>
      <c r="F1" s="12" t="s">
        <v>39</v>
      </c>
    </row>
    <row r="2" spans="1:6" ht="15.75" x14ac:dyDescent="0.25">
      <c r="A2" t="s">
        <v>41</v>
      </c>
      <c r="B2" s="13">
        <v>46112</v>
      </c>
      <c r="C2" s="14">
        <v>0</v>
      </c>
      <c r="D2" s="14">
        <v>1</v>
      </c>
      <c r="E2" s="14">
        <v>0.06</v>
      </c>
      <c r="F2" s="14">
        <v>5.6666666666666662E-3</v>
      </c>
    </row>
    <row r="3" spans="1:6" ht="15.75" x14ac:dyDescent="0.25">
      <c r="A3" t="s">
        <v>41</v>
      </c>
      <c r="B3" s="13">
        <v>46142</v>
      </c>
      <c r="C3" s="14">
        <v>0</v>
      </c>
      <c r="D3" s="14">
        <v>1</v>
      </c>
      <c r="E3" s="14">
        <v>0.06</v>
      </c>
      <c r="F3" s="14">
        <v>4.9999999999999992E-3</v>
      </c>
    </row>
    <row r="4" spans="1:6" ht="15.75" x14ac:dyDescent="0.25">
      <c r="A4" t="s">
        <v>41</v>
      </c>
      <c r="B4" s="13">
        <v>46171</v>
      </c>
      <c r="C4" s="14">
        <v>0</v>
      </c>
      <c r="D4" s="14">
        <v>1</v>
      </c>
      <c r="E4" s="14">
        <v>0.06</v>
      </c>
      <c r="F4" s="14">
        <v>4.8333333333333336E-3</v>
      </c>
    </row>
    <row r="5" spans="1:6" ht="15.75" x14ac:dyDescent="0.25">
      <c r="A5" t="s">
        <v>41</v>
      </c>
      <c r="B5" s="13">
        <v>46203</v>
      </c>
      <c r="C5" s="14">
        <v>0</v>
      </c>
      <c r="D5" s="14">
        <v>1</v>
      </c>
      <c r="E5" s="14">
        <v>0.06</v>
      </c>
      <c r="F5" s="14">
        <v>5.1666666666666666E-3</v>
      </c>
    </row>
    <row r="6" spans="1:6" ht="15.75" x14ac:dyDescent="0.25">
      <c r="A6" t="s">
        <v>41</v>
      </c>
      <c r="B6" s="13">
        <v>46234</v>
      </c>
      <c r="C6" s="14">
        <v>0</v>
      </c>
      <c r="D6" s="14">
        <v>1</v>
      </c>
      <c r="E6" s="14">
        <v>0.06</v>
      </c>
      <c r="F6" s="14">
        <v>4.9999999999999992E-3</v>
      </c>
    </row>
    <row r="7" spans="1:6" ht="15.75" x14ac:dyDescent="0.25">
      <c r="A7" t="s">
        <v>41</v>
      </c>
      <c r="B7" s="13">
        <v>46265</v>
      </c>
      <c r="C7" s="14">
        <v>0</v>
      </c>
      <c r="D7" s="14">
        <v>1</v>
      </c>
      <c r="E7" s="14">
        <v>0.06</v>
      </c>
      <c r="F7" s="14">
        <v>4.9999999999999992E-3</v>
      </c>
    </row>
    <row r="8" spans="1:6" ht="15.75" x14ac:dyDescent="0.25">
      <c r="A8" t="s">
        <v>41</v>
      </c>
      <c r="B8" s="13">
        <v>46295</v>
      </c>
      <c r="C8" s="14">
        <v>0</v>
      </c>
      <c r="D8" s="14">
        <v>1</v>
      </c>
      <c r="E8" s="14">
        <v>0.06</v>
      </c>
      <c r="F8" s="14">
        <v>4.9999999999999992E-3</v>
      </c>
    </row>
    <row r="9" spans="1:6" ht="15.75" x14ac:dyDescent="0.25">
      <c r="A9" t="s">
        <v>41</v>
      </c>
      <c r="B9" s="13">
        <v>46325</v>
      </c>
      <c r="C9" s="14">
        <v>0</v>
      </c>
      <c r="D9" s="14">
        <v>1</v>
      </c>
      <c r="E9" s="14">
        <v>0.06</v>
      </c>
      <c r="F9" s="14">
        <v>4.9999999999999992E-3</v>
      </c>
    </row>
    <row r="10" spans="1:6" ht="15.75" x14ac:dyDescent="0.25">
      <c r="A10" t="s">
        <v>41</v>
      </c>
      <c r="B10" s="13">
        <v>46356</v>
      </c>
      <c r="C10" s="14">
        <v>0</v>
      </c>
      <c r="D10" s="14">
        <v>1</v>
      </c>
      <c r="E10" s="14">
        <v>0.06</v>
      </c>
      <c r="F10" s="14">
        <v>4.9999999999999992E-3</v>
      </c>
    </row>
    <row r="11" spans="1:6" ht="15.75" x14ac:dyDescent="0.25">
      <c r="A11" t="s">
        <v>41</v>
      </c>
      <c r="B11" s="13">
        <v>46386</v>
      </c>
      <c r="C11" s="14">
        <v>0</v>
      </c>
      <c r="D11" s="14">
        <v>1</v>
      </c>
      <c r="E11" s="14">
        <v>0.06</v>
      </c>
      <c r="F11" s="14">
        <v>4.9999999999999992E-3</v>
      </c>
    </row>
    <row r="12" spans="1:6" ht="15.75" x14ac:dyDescent="0.25">
      <c r="A12" t="s">
        <v>41</v>
      </c>
      <c r="B12" s="13">
        <v>46416</v>
      </c>
      <c r="C12" s="14">
        <v>0</v>
      </c>
      <c r="D12" s="14">
        <v>1</v>
      </c>
      <c r="E12" s="14">
        <v>0.06</v>
      </c>
      <c r="F12" s="14">
        <v>4.8333333333333336E-3</v>
      </c>
    </row>
    <row r="13" spans="1:6" ht="15.75" x14ac:dyDescent="0.25">
      <c r="A13" t="s">
        <v>41</v>
      </c>
      <c r="B13" s="13">
        <v>46444</v>
      </c>
      <c r="C13" s="14">
        <v>0</v>
      </c>
      <c r="D13" s="14">
        <v>1</v>
      </c>
      <c r="E13" s="14">
        <v>0.06</v>
      </c>
      <c r="F13" s="14">
        <v>4.4999999999999997E-3</v>
      </c>
    </row>
    <row r="14" spans="1:6" ht="15.75" x14ac:dyDescent="0.25">
      <c r="A14" t="s">
        <v>41</v>
      </c>
      <c r="B14" s="13">
        <v>46477</v>
      </c>
      <c r="C14" s="14">
        <v>0</v>
      </c>
      <c r="D14" s="14">
        <v>1</v>
      </c>
      <c r="E14" s="14">
        <v>0.06</v>
      </c>
      <c r="F14" s="14">
        <v>5.8333333333333336E-3</v>
      </c>
    </row>
    <row r="15" spans="1:6" ht="15.75" x14ac:dyDescent="0.25">
      <c r="A15" t="s">
        <v>41</v>
      </c>
      <c r="B15" s="13">
        <v>46507</v>
      </c>
      <c r="C15" s="14">
        <v>0</v>
      </c>
      <c r="D15" s="14">
        <v>1</v>
      </c>
      <c r="E15" s="14">
        <v>0.06</v>
      </c>
      <c r="F15" s="14">
        <v>4.9999999999999992E-3</v>
      </c>
    </row>
    <row r="16" spans="1:6" ht="15.75" x14ac:dyDescent="0.25">
      <c r="A16" t="s">
        <v>41</v>
      </c>
      <c r="B16" s="13">
        <v>46538</v>
      </c>
      <c r="C16" s="14">
        <v>0</v>
      </c>
      <c r="D16" s="14">
        <v>1</v>
      </c>
      <c r="E16" s="14">
        <v>0.06</v>
      </c>
      <c r="F16" s="14">
        <v>4.9999999999999992E-3</v>
      </c>
    </row>
    <row r="17" spans="1:6" ht="15.75" x14ac:dyDescent="0.25">
      <c r="A17" t="s">
        <v>41</v>
      </c>
      <c r="B17" s="13">
        <v>46568</v>
      </c>
      <c r="C17" s="14">
        <v>0</v>
      </c>
      <c r="D17" s="14">
        <v>1</v>
      </c>
      <c r="E17" s="14">
        <v>0.06</v>
      </c>
      <c r="F17" s="14">
        <v>4.9999999999999992E-3</v>
      </c>
    </row>
    <row r="18" spans="1:6" ht="15.75" x14ac:dyDescent="0.25">
      <c r="A18" t="s">
        <v>41</v>
      </c>
      <c r="B18" s="13">
        <v>46598</v>
      </c>
      <c r="C18" s="14">
        <v>0</v>
      </c>
      <c r="D18" s="14">
        <v>1</v>
      </c>
      <c r="E18" s="14">
        <v>0.06</v>
      </c>
      <c r="F18" s="14">
        <v>4.9999999999999992E-3</v>
      </c>
    </row>
    <row r="19" spans="1:6" ht="15.75" x14ac:dyDescent="0.25">
      <c r="A19" t="s">
        <v>41</v>
      </c>
      <c r="B19" s="13">
        <v>46630</v>
      </c>
      <c r="C19" s="14">
        <v>0</v>
      </c>
      <c r="D19" s="14">
        <v>1</v>
      </c>
      <c r="E19" s="14">
        <v>0.06</v>
      </c>
      <c r="F19" s="14">
        <v>4.9999999999999992E-3</v>
      </c>
    </row>
    <row r="20" spans="1:6" ht="15.75" x14ac:dyDescent="0.25">
      <c r="A20" t="s">
        <v>41</v>
      </c>
      <c r="B20" s="13">
        <v>46660</v>
      </c>
      <c r="C20" s="14">
        <v>0</v>
      </c>
      <c r="D20" s="14">
        <v>1</v>
      </c>
      <c r="E20" s="14">
        <v>0.06</v>
      </c>
      <c r="F20" s="14">
        <v>4.9999999999999992E-3</v>
      </c>
    </row>
    <row r="21" spans="1:6" ht="15.75" x14ac:dyDescent="0.25">
      <c r="A21" t="s">
        <v>41</v>
      </c>
      <c r="B21" s="13">
        <v>46689</v>
      </c>
      <c r="C21" s="14">
        <v>1</v>
      </c>
      <c r="D21" s="14" t="s">
        <v>40</v>
      </c>
      <c r="E21" s="14">
        <v>0.06</v>
      </c>
      <c r="F21" s="14">
        <v>4.8333333333333336E-3</v>
      </c>
    </row>
    <row r="22" spans="1:6" x14ac:dyDescent="0.25">
      <c r="A22" t="s">
        <v>42</v>
      </c>
      <c r="B22" s="8">
        <v>46142</v>
      </c>
      <c r="C22" s="7" t="s">
        <v>40</v>
      </c>
      <c r="D22" s="7">
        <v>1</v>
      </c>
      <c r="E22" s="7">
        <v>0.06</v>
      </c>
      <c r="F22" s="7">
        <v>4.9999999999999992E-3</v>
      </c>
    </row>
    <row r="23" spans="1:6" x14ac:dyDescent="0.25">
      <c r="A23" t="s">
        <v>42</v>
      </c>
      <c r="B23" s="8">
        <v>46171</v>
      </c>
      <c r="C23" s="7" t="s">
        <v>40</v>
      </c>
      <c r="D23" s="7">
        <v>1</v>
      </c>
      <c r="E23" s="7">
        <v>0.06</v>
      </c>
      <c r="F23" s="7">
        <v>4.8333333333333336E-3</v>
      </c>
    </row>
    <row r="24" spans="1:6" x14ac:dyDescent="0.25">
      <c r="A24" t="s">
        <v>42</v>
      </c>
      <c r="B24" s="8">
        <v>46203</v>
      </c>
      <c r="C24" s="7" t="s">
        <v>40</v>
      </c>
      <c r="D24" s="7">
        <v>1</v>
      </c>
      <c r="E24" s="7">
        <v>0.06</v>
      </c>
      <c r="F24" s="7">
        <v>5.1666666666666666E-3</v>
      </c>
    </row>
    <row r="25" spans="1:6" x14ac:dyDescent="0.25">
      <c r="A25" t="s">
        <v>42</v>
      </c>
      <c r="B25" s="8">
        <v>46234</v>
      </c>
      <c r="C25" s="7" t="s">
        <v>40</v>
      </c>
      <c r="D25" s="7">
        <v>1</v>
      </c>
      <c r="E25" s="7">
        <v>0.06</v>
      </c>
      <c r="F25" s="7">
        <v>4.9999999999999992E-3</v>
      </c>
    </row>
    <row r="26" spans="1:6" x14ac:dyDescent="0.25">
      <c r="A26" t="s">
        <v>42</v>
      </c>
      <c r="B26" s="8">
        <v>46265</v>
      </c>
      <c r="C26" s="7" t="s">
        <v>40</v>
      </c>
      <c r="D26" s="7">
        <v>1</v>
      </c>
      <c r="E26" s="7">
        <v>0.06</v>
      </c>
      <c r="F26" s="7">
        <v>4.9999999999999992E-3</v>
      </c>
    </row>
    <row r="27" spans="1:6" x14ac:dyDescent="0.25">
      <c r="A27" t="s">
        <v>42</v>
      </c>
      <c r="B27" s="8">
        <v>46295</v>
      </c>
      <c r="C27" s="7" t="s">
        <v>40</v>
      </c>
      <c r="D27" s="7">
        <v>1</v>
      </c>
      <c r="E27" s="7">
        <v>0.06</v>
      </c>
      <c r="F27" s="7">
        <v>4.9999999999999992E-3</v>
      </c>
    </row>
    <row r="28" spans="1:6" x14ac:dyDescent="0.25">
      <c r="A28" t="s">
        <v>42</v>
      </c>
      <c r="B28" s="8">
        <v>46325</v>
      </c>
      <c r="C28" s="7" t="s">
        <v>40</v>
      </c>
      <c r="D28" s="7">
        <v>1</v>
      </c>
      <c r="E28" s="7">
        <v>0.06</v>
      </c>
      <c r="F28" s="7">
        <v>4.9999999999999992E-3</v>
      </c>
    </row>
    <row r="29" spans="1:6" x14ac:dyDescent="0.25">
      <c r="A29" t="s">
        <v>42</v>
      </c>
      <c r="B29" s="8">
        <v>46356</v>
      </c>
      <c r="C29" s="7" t="s">
        <v>40</v>
      </c>
      <c r="D29" s="7">
        <v>1</v>
      </c>
      <c r="E29" s="7">
        <v>0.06</v>
      </c>
      <c r="F29" s="7">
        <v>4.9999999999999992E-3</v>
      </c>
    </row>
    <row r="30" spans="1:6" x14ac:dyDescent="0.25">
      <c r="A30" t="s">
        <v>42</v>
      </c>
      <c r="B30" s="8">
        <v>46386</v>
      </c>
      <c r="C30" s="7" t="s">
        <v>40</v>
      </c>
      <c r="D30" s="7">
        <v>1</v>
      </c>
      <c r="E30" s="7">
        <v>0.06</v>
      </c>
      <c r="F30" s="7">
        <v>4.9999999999999992E-3</v>
      </c>
    </row>
    <row r="31" spans="1:6" x14ac:dyDescent="0.25">
      <c r="A31" t="s">
        <v>42</v>
      </c>
      <c r="B31" s="8">
        <v>46416</v>
      </c>
      <c r="C31" s="7" t="s">
        <v>40</v>
      </c>
      <c r="D31" s="7">
        <v>1</v>
      </c>
      <c r="E31" s="7">
        <v>0.06</v>
      </c>
      <c r="F31" s="7">
        <v>4.8333333333333336E-3</v>
      </c>
    </row>
    <row r="32" spans="1:6" x14ac:dyDescent="0.25">
      <c r="A32" t="s">
        <v>42</v>
      </c>
      <c r="B32" s="8">
        <v>46444</v>
      </c>
      <c r="C32" s="7" t="s">
        <v>40</v>
      </c>
      <c r="D32" s="7">
        <v>1</v>
      </c>
      <c r="E32" s="7">
        <v>0.06</v>
      </c>
      <c r="F32" s="7">
        <v>4.4999999999999997E-3</v>
      </c>
    </row>
    <row r="33" spans="1:6" x14ac:dyDescent="0.25">
      <c r="A33" t="s">
        <v>42</v>
      </c>
      <c r="B33" s="8">
        <v>46477</v>
      </c>
      <c r="C33" s="7" t="s">
        <v>40</v>
      </c>
      <c r="D33" s="7">
        <v>1</v>
      </c>
      <c r="E33" s="7">
        <v>0.06</v>
      </c>
      <c r="F33" s="7">
        <v>5.8333333333333336E-3</v>
      </c>
    </row>
    <row r="34" spans="1:6" x14ac:dyDescent="0.25">
      <c r="A34" t="s">
        <v>42</v>
      </c>
      <c r="B34" s="8">
        <v>46507</v>
      </c>
      <c r="C34" s="7" t="s">
        <v>40</v>
      </c>
      <c r="D34" s="7">
        <v>1</v>
      </c>
      <c r="E34" s="7">
        <v>0.06</v>
      </c>
      <c r="F34" s="7">
        <v>4.9999999999999992E-3</v>
      </c>
    </row>
    <row r="35" spans="1:6" x14ac:dyDescent="0.25">
      <c r="A35" t="s">
        <v>42</v>
      </c>
      <c r="B35" s="8">
        <v>46538</v>
      </c>
      <c r="C35" s="7" t="s">
        <v>40</v>
      </c>
      <c r="D35" s="7">
        <v>1</v>
      </c>
      <c r="E35" s="7">
        <v>0.06</v>
      </c>
      <c r="F35" s="7">
        <v>4.9999999999999992E-3</v>
      </c>
    </row>
    <row r="36" spans="1:6" x14ac:dyDescent="0.25">
      <c r="A36" t="s">
        <v>42</v>
      </c>
      <c r="B36" s="8">
        <v>46568</v>
      </c>
      <c r="C36" s="7" t="s">
        <v>40</v>
      </c>
      <c r="D36" s="7">
        <v>1</v>
      </c>
      <c r="E36" s="7">
        <v>0.06</v>
      </c>
      <c r="F36" s="7">
        <v>4.9999999999999992E-3</v>
      </c>
    </row>
    <row r="37" spans="1:6" x14ac:dyDescent="0.25">
      <c r="A37" t="s">
        <v>42</v>
      </c>
      <c r="B37" s="8">
        <v>46598</v>
      </c>
      <c r="C37" s="7" t="s">
        <v>40</v>
      </c>
      <c r="D37" s="7">
        <v>1</v>
      </c>
      <c r="E37" s="7">
        <v>0.06</v>
      </c>
      <c r="F37" s="7">
        <v>4.9999999999999992E-3</v>
      </c>
    </row>
    <row r="38" spans="1:6" x14ac:dyDescent="0.25">
      <c r="A38" t="s">
        <v>42</v>
      </c>
      <c r="B38" s="8">
        <v>46630</v>
      </c>
      <c r="C38" s="7" t="s">
        <v>40</v>
      </c>
      <c r="D38" s="7">
        <v>1</v>
      </c>
      <c r="E38" s="7">
        <v>0.06</v>
      </c>
      <c r="F38" s="7">
        <v>4.9999999999999992E-3</v>
      </c>
    </row>
    <row r="39" spans="1:6" x14ac:dyDescent="0.25">
      <c r="A39" t="s">
        <v>42</v>
      </c>
      <c r="B39" s="8">
        <v>46660</v>
      </c>
      <c r="C39" s="7" t="s">
        <v>40</v>
      </c>
      <c r="D39" s="7">
        <v>1</v>
      </c>
      <c r="E39" s="7">
        <v>0.06</v>
      </c>
      <c r="F39" s="7">
        <v>4.9999999999999992E-3</v>
      </c>
    </row>
    <row r="40" spans="1:6" x14ac:dyDescent="0.25">
      <c r="A40" t="s">
        <v>42</v>
      </c>
      <c r="B40" s="8">
        <v>46689</v>
      </c>
      <c r="C40" s="7" t="s">
        <v>40</v>
      </c>
      <c r="D40" s="7">
        <v>1</v>
      </c>
      <c r="E40" s="7">
        <v>0.06</v>
      </c>
      <c r="F40" s="7">
        <v>4.8333333333333336E-3</v>
      </c>
    </row>
    <row r="41" spans="1:6" x14ac:dyDescent="0.25">
      <c r="A41" t="s">
        <v>42</v>
      </c>
      <c r="B41" s="8">
        <v>46721</v>
      </c>
      <c r="C41" s="7" t="s">
        <v>40</v>
      </c>
      <c r="D41" s="7">
        <v>1</v>
      </c>
      <c r="E41" s="7">
        <v>0.06</v>
      </c>
      <c r="F41" s="7">
        <v>5.1666666666666666E-3</v>
      </c>
    </row>
    <row r="42" spans="1:6" x14ac:dyDescent="0.25">
      <c r="A42" t="s">
        <v>42</v>
      </c>
      <c r="B42" s="8">
        <v>46751</v>
      </c>
      <c r="C42" s="7" t="s">
        <v>40</v>
      </c>
      <c r="D42" s="7">
        <v>1</v>
      </c>
      <c r="E42" s="7">
        <v>0.06</v>
      </c>
      <c r="F42" s="7">
        <v>4.9999999999999992E-3</v>
      </c>
    </row>
    <row r="43" spans="1:6" x14ac:dyDescent="0.25">
      <c r="A43" t="s">
        <v>42</v>
      </c>
      <c r="B43" s="8">
        <v>46783</v>
      </c>
      <c r="C43" s="7" t="s">
        <v>40</v>
      </c>
      <c r="D43" s="7">
        <v>1</v>
      </c>
      <c r="E43" s="7">
        <v>0.06</v>
      </c>
      <c r="F43" s="7">
        <v>4.9999999999999992E-3</v>
      </c>
    </row>
    <row r="44" spans="1:6" x14ac:dyDescent="0.25">
      <c r="A44" t="s">
        <v>42</v>
      </c>
      <c r="B44" s="8">
        <v>46813</v>
      </c>
      <c r="C44" s="7" t="s">
        <v>40</v>
      </c>
      <c r="D44" s="7">
        <v>1</v>
      </c>
      <c r="E44" s="7">
        <v>0.06</v>
      </c>
      <c r="F44" s="7">
        <v>4.8333333333333336E-3</v>
      </c>
    </row>
    <row r="45" spans="1:6" x14ac:dyDescent="0.25">
      <c r="A45" t="s">
        <v>42</v>
      </c>
      <c r="B45" s="8">
        <v>46843</v>
      </c>
      <c r="C45" s="7" t="s">
        <v>40</v>
      </c>
      <c r="D45" s="7">
        <v>1</v>
      </c>
      <c r="E45" s="7">
        <v>0.06</v>
      </c>
      <c r="F45" s="7">
        <v>4.9999999999999992E-3</v>
      </c>
    </row>
    <row r="46" spans="1:6" x14ac:dyDescent="0.25">
      <c r="A46" t="s">
        <v>42</v>
      </c>
      <c r="B46" s="8">
        <v>46871</v>
      </c>
      <c r="C46" s="7" t="s">
        <v>40</v>
      </c>
      <c r="D46" s="7">
        <v>1</v>
      </c>
      <c r="E46" s="7">
        <v>0.06</v>
      </c>
      <c r="F46" s="7">
        <v>4.6666666666666662E-3</v>
      </c>
    </row>
    <row r="47" spans="1:6" x14ac:dyDescent="0.25">
      <c r="A47" t="s">
        <v>42</v>
      </c>
      <c r="B47" s="8">
        <v>46904</v>
      </c>
      <c r="C47" s="7" t="s">
        <v>40</v>
      </c>
      <c r="D47" s="7">
        <v>1</v>
      </c>
      <c r="E47" s="7">
        <v>0.06</v>
      </c>
      <c r="F47" s="7">
        <v>5.4999999999999997E-3</v>
      </c>
    </row>
    <row r="48" spans="1:6" x14ac:dyDescent="0.25">
      <c r="A48" t="s">
        <v>42</v>
      </c>
      <c r="B48" s="8">
        <v>46934</v>
      </c>
      <c r="C48" s="7" t="s">
        <v>40</v>
      </c>
      <c r="D48" s="7">
        <v>1</v>
      </c>
      <c r="E48" s="7">
        <v>0.06</v>
      </c>
      <c r="F48" s="7">
        <v>4.9999999999999992E-3</v>
      </c>
    </row>
    <row r="49" spans="1:6" x14ac:dyDescent="0.25">
      <c r="A49" t="s">
        <v>42</v>
      </c>
      <c r="B49" s="8">
        <v>46965</v>
      </c>
      <c r="C49" s="7" t="s">
        <v>40</v>
      </c>
      <c r="D49" s="7">
        <v>1</v>
      </c>
      <c r="E49" s="7">
        <v>0.06</v>
      </c>
      <c r="F49" s="7">
        <v>4.9999999999999992E-3</v>
      </c>
    </row>
    <row r="50" spans="1:6" x14ac:dyDescent="0.25">
      <c r="A50" t="s">
        <v>42</v>
      </c>
      <c r="B50" s="8">
        <v>46996</v>
      </c>
      <c r="C50" s="7" t="s">
        <v>40</v>
      </c>
      <c r="D50" s="7">
        <v>1</v>
      </c>
      <c r="E50" s="7">
        <v>0.06</v>
      </c>
      <c r="F50" s="7">
        <v>4.9999999999999992E-3</v>
      </c>
    </row>
    <row r="51" spans="1:6" x14ac:dyDescent="0.25">
      <c r="A51" t="s">
        <v>42</v>
      </c>
      <c r="B51" s="8">
        <v>47025</v>
      </c>
      <c r="C51" s="7" t="s">
        <v>40</v>
      </c>
      <c r="D51" s="7">
        <v>1</v>
      </c>
      <c r="E51" s="7">
        <v>0.06</v>
      </c>
      <c r="F51" s="7">
        <v>4.8333333333333336E-3</v>
      </c>
    </row>
    <row r="52" spans="1:6" x14ac:dyDescent="0.25">
      <c r="A52" t="s">
        <v>42</v>
      </c>
      <c r="B52" s="8">
        <v>47057</v>
      </c>
      <c r="C52" s="7">
        <v>1</v>
      </c>
      <c r="D52" s="7" t="s">
        <v>40</v>
      </c>
      <c r="E52" s="7">
        <v>0.06</v>
      </c>
      <c r="F52" s="7">
        <v>5.3333333333333332E-3</v>
      </c>
    </row>
    <row r="53" spans="1:6" x14ac:dyDescent="0.25">
      <c r="A53" t="s">
        <v>43</v>
      </c>
      <c r="B53" s="8">
        <v>46265</v>
      </c>
      <c r="C53" s="7" t="s">
        <v>40</v>
      </c>
      <c r="D53" s="7">
        <v>1</v>
      </c>
      <c r="E53" s="7">
        <v>0.06</v>
      </c>
      <c r="F53" s="7">
        <v>7.3333333333333332E-3</v>
      </c>
    </row>
    <row r="54" spans="1:6" x14ac:dyDescent="0.25">
      <c r="A54" t="s">
        <v>43</v>
      </c>
      <c r="B54" s="8">
        <v>46295</v>
      </c>
      <c r="C54" s="7" t="s">
        <v>40</v>
      </c>
      <c r="D54" s="7">
        <v>1</v>
      </c>
      <c r="E54" s="7">
        <v>0.06</v>
      </c>
      <c r="F54" s="7">
        <v>4.9999999999999992E-3</v>
      </c>
    </row>
    <row r="55" spans="1:6" x14ac:dyDescent="0.25">
      <c r="A55" t="s">
        <v>43</v>
      </c>
      <c r="B55" s="8">
        <v>46325</v>
      </c>
      <c r="C55" s="7" t="s">
        <v>40</v>
      </c>
      <c r="D55" s="7">
        <v>1</v>
      </c>
      <c r="E55" s="7">
        <v>0.06</v>
      </c>
      <c r="F55" s="7">
        <v>4.9999999999999992E-3</v>
      </c>
    </row>
    <row r="56" spans="1:6" x14ac:dyDescent="0.25">
      <c r="A56" t="s">
        <v>43</v>
      </c>
      <c r="B56" s="8">
        <v>46356</v>
      </c>
      <c r="C56" s="7" t="s">
        <v>40</v>
      </c>
      <c r="D56" s="7">
        <v>1</v>
      </c>
      <c r="E56" s="7">
        <v>0.06</v>
      </c>
      <c r="F56" s="7">
        <v>4.9999999999999992E-3</v>
      </c>
    </row>
    <row r="57" spans="1:6" x14ac:dyDescent="0.25">
      <c r="A57" t="s">
        <v>43</v>
      </c>
      <c r="B57" s="8">
        <v>46386</v>
      </c>
      <c r="C57" s="7" t="s">
        <v>40</v>
      </c>
      <c r="D57" s="7">
        <v>1</v>
      </c>
      <c r="E57" s="7">
        <v>0.06</v>
      </c>
      <c r="F57" s="7">
        <v>4.9999999999999992E-3</v>
      </c>
    </row>
    <row r="58" spans="1:6" x14ac:dyDescent="0.25">
      <c r="A58" t="s">
        <v>43</v>
      </c>
      <c r="B58" s="8">
        <v>46416</v>
      </c>
      <c r="C58" s="7" t="s">
        <v>40</v>
      </c>
      <c r="D58" s="7">
        <v>1</v>
      </c>
      <c r="E58" s="7">
        <v>0.06</v>
      </c>
      <c r="F58" s="7">
        <v>4.8333333333333336E-3</v>
      </c>
    </row>
    <row r="59" spans="1:6" x14ac:dyDescent="0.25">
      <c r="A59" t="s">
        <v>43</v>
      </c>
      <c r="B59" s="8">
        <v>46444</v>
      </c>
      <c r="C59" s="7" t="s">
        <v>40</v>
      </c>
      <c r="D59" s="7">
        <v>1</v>
      </c>
      <c r="E59" s="7">
        <v>0.06</v>
      </c>
      <c r="F59" s="7">
        <v>4.4999999999999997E-3</v>
      </c>
    </row>
    <row r="60" spans="1:6" x14ac:dyDescent="0.25">
      <c r="A60" t="s">
        <v>43</v>
      </c>
      <c r="B60" s="8">
        <v>46477</v>
      </c>
      <c r="C60" s="7" t="s">
        <v>40</v>
      </c>
      <c r="D60" s="7">
        <v>1</v>
      </c>
      <c r="E60" s="7">
        <v>0.06</v>
      </c>
      <c r="F60" s="7">
        <v>5.8333333333333336E-3</v>
      </c>
    </row>
    <row r="61" spans="1:6" x14ac:dyDescent="0.25">
      <c r="A61" t="s">
        <v>43</v>
      </c>
      <c r="B61" s="8">
        <v>46507</v>
      </c>
      <c r="C61" s="7" t="s">
        <v>40</v>
      </c>
      <c r="D61" s="7">
        <v>1</v>
      </c>
      <c r="E61" s="7">
        <v>0.06</v>
      </c>
      <c r="F61" s="7">
        <v>4.9999999999999992E-3</v>
      </c>
    </row>
    <row r="62" spans="1:6" x14ac:dyDescent="0.25">
      <c r="A62" t="s">
        <v>43</v>
      </c>
      <c r="B62" s="8">
        <v>46538</v>
      </c>
      <c r="C62" s="7" t="s">
        <v>40</v>
      </c>
      <c r="D62" s="7">
        <v>1</v>
      </c>
      <c r="E62" s="7">
        <v>0.06</v>
      </c>
      <c r="F62" s="7">
        <v>4.9999999999999992E-3</v>
      </c>
    </row>
    <row r="63" spans="1:6" x14ac:dyDescent="0.25">
      <c r="A63" t="s">
        <v>43</v>
      </c>
      <c r="B63" s="8">
        <v>46568</v>
      </c>
      <c r="C63" s="7" t="s">
        <v>40</v>
      </c>
      <c r="D63" s="7">
        <v>1</v>
      </c>
      <c r="E63" s="7">
        <v>0.06</v>
      </c>
      <c r="F63" s="7">
        <v>4.9999999999999992E-3</v>
      </c>
    </row>
    <row r="64" spans="1:6" x14ac:dyDescent="0.25">
      <c r="A64" t="s">
        <v>43</v>
      </c>
      <c r="B64" s="8">
        <v>46598</v>
      </c>
      <c r="C64" s="7" t="s">
        <v>40</v>
      </c>
      <c r="D64" s="7">
        <v>1</v>
      </c>
      <c r="E64" s="7">
        <v>0.06</v>
      </c>
      <c r="F64" s="7">
        <v>4.9999999999999992E-3</v>
      </c>
    </row>
    <row r="65" spans="1:6" x14ac:dyDescent="0.25">
      <c r="A65" t="s">
        <v>43</v>
      </c>
      <c r="B65" s="8">
        <v>46630</v>
      </c>
      <c r="C65" s="7" t="s">
        <v>40</v>
      </c>
      <c r="D65" s="7">
        <v>1</v>
      </c>
      <c r="E65" s="7">
        <v>0.06</v>
      </c>
      <c r="F65" s="7">
        <v>4.9999999999999992E-3</v>
      </c>
    </row>
    <row r="66" spans="1:6" x14ac:dyDescent="0.25">
      <c r="A66" t="s">
        <v>43</v>
      </c>
      <c r="B66" s="8">
        <v>46660</v>
      </c>
      <c r="C66" s="7" t="s">
        <v>40</v>
      </c>
      <c r="D66" s="7">
        <v>1</v>
      </c>
      <c r="E66" s="7">
        <v>0.06</v>
      </c>
      <c r="F66" s="7">
        <v>4.9999999999999992E-3</v>
      </c>
    </row>
    <row r="67" spans="1:6" x14ac:dyDescent="0.25">
      <c r="A67" t="s">
        <v>43</v>
      </c>
      <c r="B67" s="8">
        <v>46689</v>
      </c>
      <c r="C67" s="7" t="s">
        <v>40</v>
      </c>
      <c r="D67" s="7">
        <v>1</v>
      </c>
      <c r="E67" s="7">
        <v>0.06</v>
      </c>
      <c r="F67" s="7">
        <v>4.8333333333333336E-3</v>
      </c>
    </row>
    <row r="68" spans="1:6" x14ac:dyDescent="0.25">
      <c r="A68" t="s">
        <v>43</v>
      </c>
      <c r="B68" s="8">
        <v>46721</v>
      </c>
      <c r="C68" s="7" t="s">
        <v>40</v>
      </c>
      <c r="D68" s="7">
        <v>1</v>
      </c>
      <c r="E68" s="7">
        <v>0.06</v>
      </c>
      <c r="F68" s="7">
        <v>5.1666666666666666E-3</v>
      </c>
    </row>
    <row r="69" spans="1:6" x14ac:dyDescent="0.25">
      <c r="A69" t="s">
        <v>43</v>
      </c>
      <c r="B69" s="8">
        <v>46751</v>
      </c>
      <c r="C69" s="7" t="s">
        <v>40</v>
      </c>
      <c r="D69" s="7">
        <v>1</v>
      </c>
      <c r="E69" s="7">
        <v>0.06</v>
      </c>
      <c r="F69" s="7">
        <v>4.9999999999999992E-3</v>
      </c>
    </row>
    <row r="70" spans="1:6" x14ac:dyDescent="0.25">
      <c r="A70" t="s">
        <v>43</v>
      </c>
      <c r="B70" s="8">
        <v>46783</v>
      </c>
      <c r="C70" s="7" t="s">
        <v>40</v>
      </c>
      <c r="D70" s="7">
        <v>1</v>
      </c>
      <c r="E70" s="7">
        <v>0.06</v>
      </c>
      <c r="F70" s="7">
        <v>4.9999999999999992E-3</v>
      </c>
    </row>
    <row r="71" spans="1:6" x14ac:dyDescent="0.25">
      <c r="A71" t="s">
        <v>43</v>
      </c>
      <c r="B71" s="8">
        <v>46813</v>
      </c>
      <c r="C71" s="7" t="s">
        <v>40</v>
      </c>
      <c r="D71" s="7">
        <v>1</v>
      </c>
      <c r="E71" s="7">
        <v>0.06</v>
      </c>
      <c r="F71" s="7">
        <v>4.8333333333333336E-3</v>
      </c>
    </row>
    <row r="72" spans="1:6" x14ac:dyDescent="0.25">
      <c r="A72" t="s">
        <v>43</v>
      </c>
      <c r="B72" s="8">
        <v>46843</v>
      </c>
      <c r="C72" s="7" t="s">
        <v>40</v>
      </c>
      <c r="D72" s="7">
        <v>1</v>
      </c>
      <c r="E72" s="7">
        <v>0.06</v>
      </c>
      <c r="F72" s="7">
        <v>4.9999999999999992E-3</v>
      </c>
    </row>
    <row r="73" spans="1:6" x14ac:dyDescent="0.25">
      <c r="A73" t="s">
        <v>43</v>
      </c>
      <c r="B73" s="8">
        <v>46871</v>
      </c>
      <c r="C73" s="7" t="s">
        <v>40</v>
      </c>
      <c r="D73" s="7">
        <v>1</v>
      </c>
      <c r="E73" s="7">
        <v>0.06</v>
      </c>
      <c r="F73" s="7">
        <v>4.6666666666666662E-3</v>
      </c>
    </row>
    <row r="74" spans="1:6" x14ac:dyDescent="0.25">
      <c r="A74" t="s">
        <v>43</v>
      </c>
      <c r="B74" s="8">
        <v>46904</v>
      </c>
      <c r="C74" s="7" t="s">
        <v>40</v>
      </c>
      <c r="D74" s="7">
        <v>1</v>
      </c>
      <c r="E74" s="7">
        <v>0.06</v>
      </c>
      <c r="F74" s="7">
        <v>5.4999999999999997E-3</v>
      </c>
    </row>
    <row r="75" spans="1:6" x14ac:dyDescent="0.25">
      <c r="A75" t="s">
        <v>43</v>
      </c>
      <c r="B75" s="8">
        <v>46934</v>
      </c>
      <c r="C75" s="7" t="s">
        <v>40</v>
      </c>
      <c r="D75" s="7">
        <v>1</v>
      </c>
      <c r="E75" s="7">
        <v>0.06</v>
      </c>
      <c r="F75" s="7">
        <v>4.9999999999999992E-3</v>
      </c>
    </row>
    <row r="76" spans="1:6" x14ac:dyDescent="0.25">
      <c r="A76" t="s">
        <v>43</v>
      </c>
      <c r="B76" s="8">
        <v>46965</v>
      </c>
      <c r="C76" s="7" t="s">
        <v>40</v>
      </c>
      <c r="D76" s="7">
        <v>1</v>
      </c>
      <c r="E76" s="7">
        <v>0.06</v>
      </c>
      <c r="F76" s="7">
        <v>4.9999999999999992E-3</v>
      </c>
    </row>
    <row r="77" spans="1:6" x14ac:dyDescent="0.25">
      <c r="A77" t="s">
        <v>43</v>
      </c>
      <c r="B77" s="8">
        <v>46996</v>
      </c>
      <c r="C77" s="7" t="s">
        <v>40</v>
      </c>
      <c r="D77" s="7">
        <v>1</v>
      </c>
      <c r="E77" s="7">
        <v>0.06</v>
      </c>
      <c r="F77" s="7">
        <v>4.9999999999999992E-3</v>
      </c>
    </row>
    <row r="78" spans="1:6" x14ac:dyDescent="0.25">
      <c r="A78" t="s">
        <v>43</v>
      </c>
      <c r="B78" s="8">
        <v>47025</v>
      </c>
      <c r="C78" s="7" t="s">
        <v>40</v>
      </c>
      <c r="D78" s="7">
        <v>1</v>
      </c>
      <c r="E78" s="7">
        <v>0.06</v>
      </c>
      <c r="F78" s="7">
        <v>4.8333333333333336E-3</v>
      </c>
    </row>
    <row r="79" spans="1:6" x14ac:dyDescent="0.25">
      <c r="A79" t="s">
        <v>43</v>
      </c>
      <c r="B79" s="8">
        <v>47057</v>
      </c>
      <c r="C79" s="7" t="s">
        <v>40</v>
      </c>
      <c r="D79" s="7">
        <v>1</v>
      </c>
      <c r="E79" s="7">
        <v>0.06</v>
      </c>
      <c r="F79" s="7">
        <v>5.3333333333333332E-3</v>
      </c>
    </row>
    <row r="80" spans="1:6" x14ac:dyDescent="0.25">
      <c r="A80" t="s">
        <v>43</v>
      </c>
      <c r="B80" s="8">
        <v>47087</v>
      </c>
      <c r="C80" s="7" t="s">
        <v>40</v>
      </c>
      <c r="D80" s="7">
        <v>1</v>
      </c>
      <c r="E80" s="7">
        <v>0.06</v>
      </c>
      <c r="F80" s="7">
        <v>4.9999999999999992E-3</v>
      </c>
    </row>
    <row r="81" spans="1:6" x14ac:dyDescent="0.25">
      <c r="A81" t="s">
        <v>43</v>
      </c>
      <c r="B81" s="8">
        <v>47116</v>
      </c>
      <c r="C81" s="7" t="s">
        <v>40</v>
      </c>
      <c r="D81" s="7">
        <v>1</v>
      </c>
      <c r="E81" s="7">
        <v>0.06</v>
      </c>
      <c r="F81" s="7">
        <v>4.8333333333333336E-3</v>
      </c>
    </row>
    <row r="82" spans="1:6" x14ac:dyDescent="0.25">
      <c r="A82" t="s">
        <v>43</v>
      </c>
      <c r="B82" s="8">
        <v>47149</v>
      </c>
      <c r="C82" s="7" t="s">
        <v>40</v>
      </c>
      <c r="D82" s="7">
        <v>1</v>
      </c>
      <c r="E82" s="7">
        <v>0.06</v>
      </c>
      <c r="F82" s="7">
        <v>5.3333333333333332E-3</v>
      </c>
    </row>
    <row r="83" spans="1:6" x14ac:dyDescent="0.25">
      <c r="A83" t="s">
        <v>43</v>
      </c>
      <c r="B83" s="8">
        <v>47177</v>
      </c>
      <c r="C83" s="7" t="s">
        <v>40</v>
      </c>
      <c r="D83" s="7">
        <v>1</v>
      </c>
      <c r="E83" s="7">
        <v>0.06</v>
      </c>
      <c r="F83" s="7">
        <v>4.6666666666666662E-3</v>
      </c>
    </row>
    <row r="84" spans="1:6" x14ac:dyDescent="0.25">
      <c r="A84" t="s">
        <v>43</v>
      </c>
      <c r="B84" s="8">
        <v>47205</v>
      </c>
      <c r="C84" s="7" t="s">
        <v>40</v>
      </c>
      <c r="D84" s="7">
        <v>1</v>
      </c>
      <c r="E84" s="7">
        <v>0.06</v>
      </c>
      <c r="F84" s="7">
        <v>4.6666666666666662E-3</v>
      </c>
    </row>
    <row r="85" spans="1:6" x14ac:dyDescent="0.25">
      <c r="A85" t="s">
        <v>43</v>
      </c>
      <c r="B85" s="8">
        <v>47238</v>
      </c>
      <c r="C85" s="7" t="s">
        <v>40</v>
      </c>
      <c r="D85" s="7">
        <v>1</v>
      </c>
      <c r="E85" s="7">
        <v>0.06</v>
      </c>
      <c r="F85" s="7">
        <v>5.3333333333333332E-3</v>
      </c>
    </row>
    <row r="86" spans="1:6" x14ac:dyDescent="0.25">
      <c r="A86" t="s">
        <v>43</v>
      </c>
      <c r="B86" s="8">
        <v>47269</v>
      </c>
      <c r="C86" s="7" t="s">
        <v>40</v>
      </c>
      <c r="D86" s="7">
        <v>1</v>
      </c>
      <c r="E86" s="7">
        <v>0.06</v>
      </c>
      <c r="F86" s="7">
        <v>4.9999999999999992E-3</v>
      </c>
    </row>
    <row r="87" spans="1:6" x14ac:dyDescent="0.25">
      <c r="A87" t="s">
        <v>43</v>
      </c>
      <c r="B87" s="8">
        <v>47298</v>
      </c>
      <c r="C87" s="7" t="s">
        <v>40</v>
      </c>
      <c r="D87" s="7">
        <v>1</v>
      </c>
      <c r="E87" s="7">
        <v>0.06</v>
      </c>
      <c r="F87" s="7">
        <v>4.8333333333333336E-3</v>
      </c>
    </row>
    <row r="88" spans="1:6" x14ac:dyDescent="0.25">
      <c r="A88" t="s">
        <v>43</v>
      </c>
      <c r="B88" s="8">
        <v>47330</v>
      </c>
      <c r="C88" s="7" t="s">
        <v>40</v>
      </c>
      <c r="D88" s="7">
        <v>1</v>
      </c>
      <c r="E88" s="7">
        <v>0.06</v>
      </c>
      <c r="F88" s="7">
        <v>5.3333333333333332E-3</v>
      </c>
    </row>
    <row r="89" spans="1:6" x14ac:dyDescent="0.25">
      <c r="A89" t="s">
        <v>43</v>
      </c>
      <c r="B89" s="8">
        <v>47361</v>
      </c>
      <c r="C89" s="7" t="s">
        <v>40</v>
      </c>
      <c r="D89" s="7">
        <v>1</v>
      </c>
      <c r="E89" s="7">
        <v>0.06</v>
      </c>
      <c r="F89" s="7">
        <v>4.9999999999999992E-3</v>
      </c>
    </row>
    <row r="90" spans="1:6" x14ac:dyDescent="0.25">
      <c r="A90" t="s">
        <v>43</v>
      </c>
      <c r="B90" s="8">
        <v>47389</v>
      </c>
      <c r="C90" s="7" t="s">
        <v>40</v>
      </c>
      <c r="D90" s="7">
        <v>1</v>
      </c>
      <c r="E90" s="7">
        <v>0.06</v>
      </c>
      <c r="F90" s="7">
        <v>4.6666666666666662E-3</v>
      </c>
    </row>
    <row r="91" spans="1:6" x14ac:dyDescent="0.25">
      <c r="A91" t="s">
        <v>43</v>
      </c>
      <c r="B91" s="8">
        <v>47422</v>
      </c>
      <c r="C91" s="7">
        <v>1</v>
      </c>
      <c r="D91" s="7" t="s">
        <v>40</v>
      </c>
      <c r="E91" s="7">
        <v>0.06</v>
      </c>
      <c r="F91" s="7">
        <v>5.4999999999999997E-3</v>
      </c>
    </row>
    <row r="92" spans="1:6" x14ac:dyDescent="0.25">
      <c r="A92" t="s">
        <v>44</v>
      </c>
      <c r="B92" s="8">
        <v>46174</v>
      </c>
      <c r="C92" s="7" t="s">
        <v>40</v>
      </c>
      <c r="D92" s="7">
        <v>1</v>
      </c>
      <c r="E92" s="7">
        <v>6.5000000000000002E-2</v>
      </c>
      <c r="F92" s="7">
        <v>3.0333333333333334E-2</v>
      </c>
    </row>
    <row r="93" spans="1:6" x14ac:dyDescent="0.25">
      <c r="A93" t="s">
        <v>44</v>
      </c>
      <c r="B93" s="8">
        <v>46356</v>
      </c>
      <c r="C93" s="7" t="s">
        <v>40</v>
      </c>
      <c r="D93" s="7">
        <v>1</v>
      </c>
      <c r="E93" s="7">
        <v>6.5000000000000002E-2</v>
      </c>
      <c r="F93" s="7">
        <v>3.2500000000000001E-2</v>
      </c>
    </row>
    <row r="94" spans="1:6" x14ac:dyDescent="0.25">
      <c r="A94" t="s">
        <v>44</v>
      </c>
      <c r="B94" s="8">
        <v>46538</v>
      </c>
      <c r="C94" s="7" t="s">
        <v>40</v>
      </c>
      <c r="D94" s="7">
        <v>1</v>
      </c>
      <c r="E94" s="7">
        <v>6.5000000000000002E-2</v>
      </c>
      <c r="F94" s="7">
        <v>3.2500000000000001E-2</v>
      </c>
    </row>
    <row r="95" spans="1:6" x14ac:dyDescent="0.25">
      <c r="A95" t="s">
        <v>44</v>
      </c>
      <c r="B95" s="8">
        <v>46721</v>
      </c>
      <c r="C95" s="7" t="s">
        <v>40</v>
      </c>
      <c r="D95" s="7">
        <v>1</v>
      </c>
      <c r="E95" s="7">
        <v>6.5000000000000002E-2</v>
      </c>
      <c r="F95" s="7">
        <v>3.2500000000000001E-2</v>
      </c>
    </row>
    <row r="96" spans="1:6" x14ac:dyDescent="0.25">
      <c r="A96" t="s">
        <v>44</v>
      </c>
      <c r="B96" s="8">
        <v>46903</v>
      </c>
      <c r="C96" s="7" t="s">
        <v>40</v>
      </c>
      <c r="D96" s="7">
        <v>1</v>
      </c>
      <c r="E96" s="7">
        <v>6.5000000000000002E-2</v>
      </c>
      <c r="F96" s="7">
        <v>3.2500000000000001E-2</v>
      </c>
    </row>
    <row r="97" spans="1:6" x14ac:dyDescent="0.25">
      <c r="A97" t="s">
        <v>44</v>
      </c>
      <c r="B97" s="8">
        <v>47087</v>
      </c>
      <c r="C97" s="7" t="s">
        <v>40</v>
      </c>
      <c r="D97" s="7">
        <v>1</v>
      </c>
      <c r="E97" s="7">
        <v>6.5000000000000002E-2</v>
      </c>
      <c r="F97" s="7">
        <v>3.2500000000000001E-2</v>
      </c>
    </row>
    <row r="98" spans="1:6" x14ac:dyDescent="0.25">
      <c r="A98" t="s">
        <v>44</v>
      </c>
      <c r="B98" s="8">
        <v>47268</v>
      </c>
      <c r="C98" s="7" t="s">
        <v>40</v>
      </c>
      <c r="D98" s="7">
        <v>1</v>
      </c>
      <c r="E98" s="7">
        <v>6.5000000000000002E-2</v>
      </c>
      <c r="F98" s="7">
        <v>3.2500000000000001E-2</v>
      </c>
    </row>
    <row r="99" spans="1:6" x14ac:dyDescent="0.25">
      <c r="A99" t="s">
        <v>44</v>
      </c>
      <c r="B99" s="8">
        <v>47452</v>
      </c>
      <c r="C99" s="7">
        <v>1</v>
      </c>
      <c r="D99" s="7" t="s">
        <v>40</v>
      </c>
      <c r="E99" s="7">
        <v>6.5000000000000002E-2</v>
      </c>
      <c r="F99" s="7">
        <v>3.2500000000000001E-2</v>
      </c>
    </row>
    <row r="100" spans="1:6" x14ac:dyDescent="0.25">
      <c r="A100" t="s">
        <v>45</v>
      </c>
      <c r="B100" s="8">
        <v>44389</v>
      </c>
      <c r="C100" s="7" t="s">
        <v>40</v>
      </c>
      <c r="D100" s="7">
        <v>1</v>
      </c>
      <c r="E100" s="7">
        <v>0.01</v>
      </c>
      <c r="F100" s="7">
        <v>8.472222222222223E-3</v>
      </c>
    </row>
    <row r="101" spans="1:6" x14ac:dyDescent="0.25">
      <c r="A101" t="s">
        <v>45</v>
      </c>
      <c r="B101" s="8">
        <v>44571</v>
      </c>
      <c r="C101" s="7" t="s">
        <v>40</v>
      </c>
      <c r="D101" s="7">
        <v>1</v>
      </c>
      <c r="E101" s="7">
        <v>0.01</v>
      </c>
      <c r="F101" s="7">
        <v>5.0000000000000001E-3</v>
      </c>
    </row>
    <row r="102" spans="1:6" x14ac:dyDescent="0.25">
      <c r="A102" t="s">
        <v>45</v>
      </c>
      <c r="B102" s="8">
        <v>44753</v>
      </c>
      <c r="C102" s="7" t="s">
        <v>40</v>
      </c>
      <c r="D102" s="7">
        <v>1</v>
      </c>
      <c r="E102" s="7">
        <v>0.01</v>
      </c>
      <c r="F102" s="7">
        <v>5.0000000000000001E-3</v>
      </c>
    </row>
    <row r="103" spans="1:6" x14ac:dyDescent="0.25">
      <c r="A103" t="s">
        <v>45</v>
      </c>
      <c r="B103" s="8">
        <v>44935</v>
      </c>
      <c r="C103" s="7" t="s">
        <v>40</v>
      </c>
      <c r="D103" s="7">
        <v>1</v>
      </c>
      <c r="E103" s="7">
        <v>0.01</v>
      </c>
      <c r="F103" s="7">
        <v>5.0000000000000001E-3</v>
      </c>
    </row>
    <row r="104" spans="1:6" x14ac:dyDescent="0.25">
      <c r="A104" t="s">
        <v>45</v>
      </c>
      <c r="B104" s="8">
        <v>45117</v>
      </c>
      <c r="C104" s="7" t="s">
        <v>40</v>
      </c>
      <c r="D104" s="7">
        <v>1</v>
      </c>
      <c r="E104" s="7">
        <v>0.01</v>
      </c>
      <c r="F104" s="7">
        <v>5.0000000000000001E-3</v>
      </c>
    </row>
    <row r="105" spans="1:6" x14ac:dyDescent="0.25">
      <c r="A105" t="s">
        <v>45</v>
      </c>
      <c r="B105" s="8">
        <v>45300</v>
      </c>
      <c r="C105" s="7" t="s">
        <v>40</v>
      </c>
      <c r="D105" s="7">
        <v>1</v>
      </c>
      <c r="E105" s="7">
        <v>0.01</v>
      </c>
      <c r="F105" s="7">
        <v>5.0000000000000001E-3</v>
      </c>
    </row>
    <row r="106" spans="1:6" x14ac:dyDescent="0.25">
      <c r="A106" t="s">
        <v>45</v>
      </c>
      <c r="B106" s="8">
        <v>45483</v>
      </c>
      <c r="C106" s="7" t="s">
        <v>40</v>
      </c>
      <c r="D106" s="7">
        <v>1</v>
      </c>
      <c r="E106" s="7">
        <v>0.01</v>
      </c>
      <c r="F106" s="7">
        <v>5.0000000000000001E-3</v>
      </c>
    </row>
    <row r="107" spans="1:6" x14ac:dyDescent="0.25">
      <c r="A107" t="s">
        <v>45</v>
      </c>
      <c r="B107" s="8">
        <v>45666</v>
      </c>
      <c r="C107" s="7">
        <v>0.1</v>
      </c>
      <c r="D107" s="7">
        <v>0.9</v>
      </c>
      <c r="E107" s="7">
        <v>0.01</v>
      </c>
      <c r="F107" s="7">
        <v>5.0000000000000001E-3</v>
      </c>
    </row>
    <row r="108" spans="1:6" x14ac:dyDescent="0.25">
      <c r="A108" t="s">
        <v>45</v>
      </c>
      <c r="B108" s="8">
        <v>45848</v>
      </c>
      <c r="C108" s="7">
        <v>0.1</v>
      </c>
      <c r="D108" s="7">
        <v>0.8</v>
      </c>
      <c r="E108" s="7">
        <v>0.01</v>
      </c>
      <c r="F108" s="7">
        <v>4.5000000000000005E-3</v>
      </c>
    </row>
    <row r="109" spans="1:6" x14ac:dyDescent="0.25">
      <c r="A109" t="s">
        <v>45</v>
      </c>
      <c r="B109" s="8">
        <v>46031</v>
      </c>
      <c r="C109" s="7">
        <v>0.1</v>
      </c>
      <c r="D109" s="7">
        <v>0.7</v>
      </c>
      <c r="E109" s="7">
        <v>0.01</v>
      </c>
      <c r="F109" s="7">
        <v>4.0000000000000001E-3</v>
      </c>
    </row>
    <row r="110" spans="1:6" x14ac:dyDescent="0.25">
      <c r="A110" t="s">
        <v>45</v>
      </c>
      <c r="B110" s="8">
        <v>46216</v>
      </c>
      <c r="C110" s="7">
        <v>0.1</v>
      </c>
      <c r="D110" s="7">
        <v>0.6</v>
      </c>
      <c r="E110" s="7">
        <v>0.01</v>
      </c>
      <c r="F110" s="7">
        <v>3.4999999999999996E-3</v>
      </c>
    </row>
    <row r="111" spans="1:6" x14ac:dyDescent="0.25">
      <c r="A111" t="s">
        <v>45</v>
      </c>
      <c r="B111" s="8">
        <v>46398</v>
      </c>
      <c r="C111" s="7">
        <v>0.1</v>
      </c>
      <c r="D111" s="7">
        <v>0.5</v>
      </c>
      <c r="E111" s="7">
        <v>0.01</v>
      </c>
      <c r="F111" s="7">
        <v>3.0000000000000001E-3</v>
      </c>
    </row>
    <row r="112" spans="1:6" x14ac:dyDescent="0.25">
      <c r="A112" t="s">
        <v>45</v>
      </c>
      <c r="B112" s="8">
        <v>46580</v>
      </c>
      <c r="C112" s="7">
        <v>0.1</v>
      </c>
      <c r="D112" s="7">
        <v>0.4</v>
      </c>
      <c r="E112" s="7">
        <v>0.01</v>
      </c>
      <c r="F112" s="7">
        <v>2.5000000000000001E-3</v>
      </c>
    </row>
    <row r="113" spans="1:6" x14ac:dyDescent="0.25">
      <c r="A113" t="s">
        <v>45</v>
      </c>
      <c r="B113" s="8">
        <v>46762</v>
      </c>
      <c r="C113" s="7">
        <v>0.1</v>
      </c>
      <c r="D113" s="7">
        <v>0.3</v>
      </c>
      <c r="E113" s="7">
        <v>0.01</v>
      </c>
      <c r="F113" s="7">
        <v>2E-3</v>
      </c>
    </row>
    <row r="114" spans="1:6" x14ac:dyDescent="0.25">
      <c r="A114" t="s">
        <v>45</v>
      </c>
      <c r="B114" s="8">
        <v>46944</v>
      </c>
      <c r="C114" s="7">
        <v>0.1</v>
      </c>
      <c r="D114" s="7">
        <v>0.2</v>
      </c>
      <c r="E114" s="7">
        <v>0.01</v>
      </c>
      <c r="F114" s="7">
        <v>1.5E-3</v>
      </c>
    </row>
    <row r="115" spans="1:6" x14ac:dyDescent="0.25">
      <c r="A115" t="s">
        <v>45</v>
      </c>
      <c r="B115" s="8">
        <v>47127</v>
      </c>
      <c r="C115" s="7">
        <v>0.1</v>
      </c>
      <c r="D115" s="7">
        <v>0.1</v>
      </c>
      <c r="E115" s="7">
        <v>0.01</v>
      </c>
      <c r="F115" s="7">
        <v>1E-3</v>
      </c>
    </row>
    <row r="116" spans="1:6" x14ac:dyDescent="0.25">
      <c r="A116" t="s">
        <v>45</v>
      </c>
      <c r="B116" s="8">
        <v>47309</v>
      </c>
      <c r="C116" s="7">
        <v>0.1</v>
      </c>
      <c r="D116" s="7" t="s">
        <v>40</v>
      </c>
      <c r="E116" s="7">
        <v>0.01</v>
      </c>
      <c r="F116" s="7">
        <v>5.0000000000000001E-4</v>
      </c>
    </row>
    <row r="117" spans="1:6" x14ac:dyDescent="0.25">
      <c r="A117" t="s">
        <v>46</v>
      </c>
      <c r="B117" s="8">
        <v>44389</v>
      </c>
      <c r="C117" s="7" t="s">
        <v>40</v>
      </c>
      <c r="D117" s="7">
        <v>1</v>
      </c>
      <c r="E117" s="7">
        <v>0.01</v>
      </c>
      <c r="F117" s="7">
        <v>8.472222222222223E-3</v>
      </c>
    </row>
    <row r="118" spans="1:6" x14ac:dyDescent="0.25">
      <c r="A118" t="s">
        <v>46</v>
      </c>
      <c r="B118" s="8">
        <v>44571</v>
      </c>
      <c r="C118" s="7" t="s">
        <v>40</v>
      </c>
      <c r="D118" s="7">
        <v>1</v>
      </c>
      <c r="E118" s="7">
        <v>0.01</v>
      </c>
      <c r="F118" s="7">
        <v>5.0000000000000001E-3</v>
      </c>
    </row>
    <row r="119" spans="1:6" x14ac:dyDescent="0.25">
      <c r="A119" t="s">
        <v>46</v>
      </c>
      <c r="B119" s="8">
        <v>44753</v>
      </c>
      <c r="C119" s="7" t="s">
        <v>40</v>
      </c>
      <c r="D119" s="7">
        <v>1</v>
      </c>
      <c r="E119" s="7">
        <v>0.01</v>
      </c>
      <c r="F119" s="7">
        <v>5.0000000000000001E-3</v>
      </c>
    </row>
    <row r="120" spans="1:6" x14ac:dyDescent="0.25">
      <c r="A120" t="s">
        <v>46</v>
      </c>
      <c r="B120" s="8">
        <v>44935</v>
      </c>
      <c r="C120" s="7" t="s">
        <v>40</v>
      </c>
      <c r="D120" s="7">
        <v>1</v>
      </c>
      <c r="E120" s="7">
        <v>0.01</v>
      </c>
      <c r="F120" s="7">
        <v>5.0000000000000001E-3</v>
      </c>
    </row>
    <row r="121" spans="1:6" x14ac:dyDescent="0.25">
      <c r="A121" t="s">
        <v>46</v>
      </c>
      <c r="B121" s="8">
        <v>45117</v>
      </c>
      <c r="C121" s="7" t="s">
        <v>40</v>
      </c>
      <c r="D121" s="7">
        <v>1</v>
      </c>
      <c r="E121" s="7">
        <v>0.01</v>
      </c>
      <c r="F121" s="7">
        <v>5.0000000000000001E-3</v>
      </c>
    </row>
    <row r="122" spans="1:6" x14ac:dyDescent="0.25">
      <c r="A122" t="s">
        <v>46</v>
      </c>
      <c r="B122" s="8">
        <v>45300</v>
      </c>
      <c r="C122" s="7" t="s">
        <v>40</v>
      </c>
      <c r="D122" s="7">
        <v>1</v>
      </c>
      <c r="E122" s="7">
        <v>0.01</v>
      </c>
      <c r="F122" s="7">
        <v>5.0000000000000001E-3</v>
      </c>
    </row>
    <row r="123" spans="1:6" x14ac:dyDescent="0.25">
      <c r="A123" t="s">
        <v>46</v>
      </c>
      <c r="B123" s="8">
        <v>45483</v>
      </c>
      <c r="C123" s="7" t="s">
        <v>40</v>
      </c>
      <c r="D123" s="7">
        <v>1</v>
      </c>
      <c r="E123" s="7">
        <v>0.01</v>
      </c>
      <c r="F123" s="7">
        <v>5.0000000000000001E-3</v>
      </c>
    </row>
    <row r="124" spans="1:6" x14ac:dyDescent="0.25">
      <c r="A124" t="s">
        <v>46</v>
      </c>
      <c r="B124" s="8">
        <v>45666</v>
      </c>
      <c r="C124" s="7">
        <v>0.1</v>
      </c>
      <c r="D124" s="7">
        <v>0.9</v>
      </c>
      <c r="E124" s="7">
        <v>0.01</v>
      </c>
      <c r="F124" s="7">
        <v>5.0000000000000001E-3</v>
      </c>
    </row>
    <row r="125" spans="1:6" x14ac:dyDescent="0.25">
      <c r="A125" t="s">
        <v>46</v>
      </c>
      <c r="B125" s="8">
        <v>45848</v>
      </c>
      <c r="C125" s="7">
        <v>0.1</v>
      </c>
      <c r="D125" s="7">
        <v>0.8</v>
      </c>
      <c r="E125" s="7">
        <v>0.01</v>
      </c>
      <c r="F125" s="7">
        <v>4.5000000000000005E-3</v>
      </c>
    </row>
    <row r="126" spans="1:6" x14ac:dyDescent="0.25">
      <c r="A126" t="s">
        <v>46</v>
      </c>
      <c r="B126" s="8">
        <v>46031</v>
      </c>
      <c r="C126" s="7">
        <v>0.1</v>
      </c>
      <c r="D126" s="7">
        <v>0.7</v>
      </c>
      <c r="E126" s="7">
        <v>0.01</v>
      </c>
      <c r="F126" s="7">
        <v>4.0000000000000001E-3</v>
      </c>
    </row>
    <row r="127" spans="1:6" x14ac:dyDescent="0.25">
      <c r="A127" t="s">
        <v>46</v>
      </c>
      <c r="B127" s="8">
        <v>46216</v>
      </c>
      <c r="C127" s="7">
        <v>0.1</v>
      </c>
      <c r="D127" s="7">
        <v>0.6</v>
      </c>
      <c r="E127" s="7">
        <v>0.01</v>
      </c>
      <c r="F127" s="7">
        <v>3.4999999999999996E-3</v>
      </c>
    </row>
    <row r="128" spans="1:6" x14ac:dyDescent="0.25">
      <c r="A128" t="s">
        <v>46</v>
      </c>
      <c r="B128" s="8">
        <v>46398</v>
      </c>
      <c r="C128" s="7">
        <v>0.1</v>
      </c>
      <c r="D128" s="7">
        <v>0.5</v>
      </c>
      <c r="E128" s="7">
        <v>0.01</v>
      </c>
      <c r="F128" s="7">
        <v>3.0000000000000001E-3</v>
      </c>
    </row>
    <row r="129" spans="1:6" x14ac:dyDescent="0.25">
      <c r="A129" t="s">
        <v>46</v>
      </c>
      <c r="B129" s="8">
        <v>46580</v>
      </c>
      <c r="C129" s="7">
        <v>0.1</v>
      </c>
      <c r="D129" s="7">
        <v>0.4</v>
      </c>
      <c r="E129" s="7">
        <v>0.01</v>
      </c>
      <c r="F129" s="7">
        <v>2.5000000000000001E-3</v>
      </c>
    </row>
    <row r="130" spans="1:6" x14ac:dyDescent="0.25">
      <c r="A130" t="s">
        <v>46</v>
      </c>
      <c r="B130" s="8">
        <v>46762</v>
      </c>
      <c r="C130" s="7">
        <v>0.1</v>
      </c>
      <c r="D130" s="7">
        <v>0.3</v>
      </c>
      <c r="E130" s="7">
        <v>0.01</v>
      </c>
      <c r="F130" s="7">
        <v>2E-3</v>
      </c>
    </row>
    <row r="131" spans="1:6" x14ac:dyDescent="0.25">
      <c r="A131" t="s">
        <v>46</v>
      </c>
      <c r="B131" s="8">
        <v>46944</v>
      </c>
      <c r="C131" s="7">
        <v>0.1</v>
      </c>
      <c r="D131" s="7">
        <v>0.2</v>
      </c>
      <c r="E131" s="7">
        <v>0.01</v>
      </c>
      <c r="F131" s="7">
        <v>1.5E-3</v>
      </c>
    </row>
    <row r="132" spans="1:6" x14ac:dyDescent="0.25">
      <c r="A132" t="s">
        <v>46</v>
      </c>
      <c r="B132" s="8">
        <v>47127</v>
      </c>
      <c r="C132" s="7">
        <v>0.1</v>
      </c>
      <c r="D132" s="7">
        <v>0.1</v>
      </c>
      <c r="E132" s="7">
        <v>0.01</v>
      </c>
      <c r="F132" s="7">
        <v>1E-3</v>
      </c>
    </row>
    <row r="133" spans="1:6" x14ac:dyDescent="0.25">
      <c r="A133" t="s">
        <v>46</v>
      </c>
      <c r="B133" s="8">
        <v>47309</v>
      </c>
      <c r="C133" s="7">
        <v>0.1</v>
      </c>
      <c r="D133" s="7" t="s">
        <v>40</v>
      </c>
      <c r="E133" s="7">
        <v>0.01</v>
      </c>
      <c r="F133" s="7">
        <v>5.0000000000000001E-4</v>
      </c>
    </row>
    <row r="134" spans="1:6" x14ac:dyDescent="0.25">
      <c r="A134" t="s">
        <v>47</v>
      </c>
      <c r="B134" s="8">
        <v>44389</v>
      </c>
      <c r="C134" s="7" t="s">
        <v>40</v>
      </c>
      <c r="D134" s="7">
        <v>1</v>
      </c>
      <c r="E134" s="7">
        <v>1.25E-3</v>
      </c>
      <c r="F134" s="7">
        <v>1.0590277777777779E-3</v>
      </c>
    </row>
    <row r="135" spans="1:6" x14ac:dyDescent="0.25">
      <c r="A135" t="s">
        <v>47</v>
      </c>
      <c r="B135" s="8">
        <v>44571</v>
      </c>
      <c r="C135" s="7" t="s">
        <v>40</v>
      </c>
      <c r="D135" s="7">
        <v>1</v>
      </c>
      <c r="E135" s="7">
        <v>5.0000000000000001E-3</v>
      </c>
      <c r="F135" s="7">
        <v>2.5000000000000001E-3</v>
      </c>
    </row>
    <row r="136" spans="1:6" x14ac:dyDescent="0.25">
      <c r="A136" t="s">
        <v>47</v>
      </c>
      <c r="B136" s="8">
        <v>44753</v>
      </c>
      <c r="C136" s="7" t="s">
        <v>40</v>
      </c>
      <c r="D136" s="7">
        <v>1</v>
      </c>
      <c r="E136" s="7">
        <v>5.0000000000000001E-3</v>
      </c>
      <c r="F136" s="7">
        <v>2.5000000000000001E-3</v>
      </c>
    </row>
    <row r="137" spans="1:6" x14ac:dyDescent="0.25">
      <c r="A137" t="s">
        <v>47</v>
      </c>
      <c r="B137" s="8">
        <v>44935</v>
      </c>
      <c r="C137" s="7" t="s">
        <v>40</v>
      </c>
      <c r="D137" s="7">
        <v>1</v>
      </c>
      <c r="E137" s="7">
        <v>5.0000000000000001E-3</v>
      </c>
      <c r="F137" s="7">
        <v>2.5000000000000001E-3</v>
      </c>
    </row>
    <row r="138" spans="1:6" x14ac:dyDescent="0.25">
      <c r="A138" t="s">
        <v>47</v>
      </c>
      <c r="B138" s="8">
        <v>45117</v>
      </c>
      <c r="C138" s="7" t="s">
        <v>40</v>
      </c>
      <c r="D138" s="7">
        <v>1</v>
      </c>
      <c r="E138" s="7">
        <v>5.0000000000000001E-3</v>
      </c>
      <c r="F138" s="7">
        <v>2.5000000000000001E-3</v>
      </c>
    </row>
    <row r="139" spans="1:6" x14ac:dyDescent="0.25">
      <c r="A139" t="s">
        <v>47</v>
      </c>
      <c r="B139" s="8">
        <v>45300</v>
      </c>
      <c r="C139" s="7" t="s">
        <v>40</v>
      </c>
      <c r="D139" s="7">
        <v>1</v>
      </c>
      <c r="E139" s="7">
        <v>7.4999999999999997E-3</v>
      </c>
      <c r="F139" s="7">
        <v>3.7499999999999999E-3</v>
      </c>
    </row>
    <row r="140" spans="1:6" x14ac:dyDescent="0.25">
      <c r="A140" t="s">
        <v>47</v>
      </c>
      <c r="B140" s="8">
        <v>45483</v>
      </c>
      <c r="C140" s="7">
        <v>0.04</v>
      </c>
      <c r="D140" s="7">
        <v>0.96</v>
      </c>
      <c r="E140" s="7">
        <v>7.4999999999999997E-3</v>
      </c>
      <c r="F140" s="7">
        <v>3.7499999999999999E-3</v>
      </c>
    </row>
    <row r="141" spans="1:6" x14ac:dyDescent="0.25">
      <c r="A141" t="s">
        <v>47</v>
      </c>
      <c r="B141" s="8">
        <v>45666</v>
      </c>
      <c r="C141" s="7">
        <v>0.08</v>
      </c>
      <c r="D141" s="7">
        <v>0.88</v>
      </c>
      <c r="E141" s="7">
        <v>7.4999999999999997E-3</v>
      </c>
      <c r="F141" s="7">
        <v>3.5999999999999999E-3</v>
      </c>
    </row>
    <row r="142" spans="1:6" x14ac:dyDescent="0.25">
      <c r="A142" t="s">
        <v>47</v>
      </c>
      <c r="B142" s="8">
        <v>45848</v>
      </c>
      <c r="C142" s="7">
        <v>0.08</v>
      </c>
      <c r="D142" s="7">
        <v>0.8</v>
      </c>
      <c r="E142" s="7">
        <v>7.4999999999999997E-3</v>
      </c>
      <c r="F142" s="7">
        <v>3.3E-3</v>
      </c>
    </row>
    <row r="143" spans="1:6" x14ac:dyDescent="0.25">
      <c r="A143" t="s">
        <v>47</v>
      </c>
      <c r="B143" s="8">
        <v>46031</v>
      </c>
      <c r="C143" s="7">
        <v>0.08</v>
      </c>
      <c r="D143" s="7">
        <v>0.72</v>
      </c>
      <c r="E143" s="7">
        <v>7.4999999999999997E-3</v>
      </c>
      <c r="F143" s="7">
        <v>3.0000000000000001E-3</v>
      </c>
    </row>
    <row r="144" spans="1:6" x14ac:dyDescent="0.25">
      <c r="A144" t="s">
        <v>47</v>
      </c>
      <c r="B144" s="8">
        <v>46216</v>
      </c>
      <c r="C144" s="7">
        <v>0.08</v>
      </c>
      <c r="D144" s="7">
        <v>0.64</v>
      </c>
      <c r="E144" s="7">
        <v>7.4999999999999997E-3</v>
      </c>
      <c r="F144" s="7">
        <v>2.6999999999999997E-3</v>
      </c>
    </row>
    <row r="145" spans="1:6" x14ac:dyDescent="0.25">
      <c r="A145" t="s">
        <v>47</v>
      </c>
      <c r="B145" s="8">
        <v>46398</v>
      </c>
      <c r="C145" s="7">
        <v>0.08</v>
      </c>
      <c r="D145" s="7">
        <v>0.56000000000000005</v>
      </c>
      <c r="E145" s="7">
        <v>7.4999999999999997E-3</v>
      </c>
      <c r="F145" s="7">
        <v>2.3999999999999998E-3</v>
      </c>
    </row>
    <row r="146" spans="1:6" x14ac:dyDescent="0.25">
      <c r="A146" t="s">
        <v>47</v>
      </c>
      <c r="B146" s="8">
        <v>46580</v>
      </c>
      <c r="C146" s="7">
        <v>0.08</v>
      </c>
      <c r="D146" s="7">
        <v>0.48</v>
      </c>
      <c r="E146" s="7">
        <v>7.4999999999999997E-3</v>
      </c>
      <c r="F146" s="7">
        <v>2.1000000000000003E-3</v>
      </c>
    </row>
    <row r="147" spans="1:6" x14ac:dyDescent="0.25">
      <c r="A147" t="s">
        <v>47</v>
      </c>
      <c r="B147" s="8">
        <v>46762</v>
      </c>
      <c r="C147" s="7">
        <v>0.08</v>
      </c>
      <c r="D147" s="7">
        <v>0.4</v>
      </c>
      <c r="E147" s="7">
        <v>1.7500000000000002E-2</v>
      </c>
      <c r="F147" s="7">
        <v>4.2000000000000006E-3</v>
      </c>
    </row>
    <row r="148" spans="1:6" x14ac:dyDescent="0.25">
      <c r="A148" t="s">
        <v>47</v>
      </c>
      <c r="B148" s="8">
        <v>46944</v>
      </c>
      <c r="C148" s="7">
        <v>0.08</v>
      </c>
      <c r="D148" s="7">
        <v>0.32</v>
      </c>
      <c r="E148" s="7">
        <v>1.7500000000000002E-2</v>
      </c>
      <c r="F148" s="7">
        <v>3.5000000000000005E-3</v>
      </c>
    </row>
    <row r="149" spans="1:6" x14ac:dyDescent="0.25">
      <c r="A149" t="s">
        <v>47</v>
      </c>
      <c r="B149" s="8">
        <v>47127</v>
      </c>
      <c r="C149" s="7">
        <v>0.08</v>
      </c>
      <c r="D149" s="7">
        <v>0.24</v>
      </c>
      <c r="E149" s="7">
        <v>1.7500000000000002E-2</v>
      </c>
      <c r="F149" s="7">
        <v>2.8000000000000004E-3</v>
      </c>
    </row>
    <row r="150" spans="1:6" x14ac:dyDescent="0.25">
      <c r="A150" t="s">
        <v>47</v>
      </c>
      <c r="B150" s="8">
        <v>47309</v>
      </c>
      <c r="C150" s="7">
        <v>0.08</v>
      </c>
      <c r="D150" s="7">
        <v>0.16</v>
      </c>
      <c r="E150" s="7">
        <v>1.7500000000000002E-2</v>
      </c>
      <c r="F150" s="7">
        <v>2.1000000000000003E-3</v>
      </c>
    </row>
    <row r="151" spans="1:6" x14ac:dyDescent="0.25">
      <c r="A151" t="s">
        <v>47</v>
      </c>
      <c r="B151" s="8">
        <v>47492</v>
      </c>
      <c r="C151" s="7">
        <v>0.08</v>
      </c>
      <c r="D151" s="7">
        <v>0.08</v>
      </c>
      <c r="E151" s="7">
        <v>1.7500000000000002E-2</v>
      </c>
      <c r="F151" s="7">
        <v>1.4000000000000002E-3</v>
      </c>
    </row>
    <row r="152" spans="1:6" x14ac:dyDescent="0.25">
      <c r="A152" t="s">
        <v>47</v>
      </c>
      <c r="B152" s="8">
        <v>47674</v>
      </c>
      <c r="C152" s="7">
        <v>0.08</v>
      </c>
      <c r="D152" s="7" t="s">
        <v>40</v>
      </c>
      <c r="E152" s="7">
        <v>1.7500000000000002E-2</v>
      </c>
      <c r="F152" s="7">
        <v>7.000000000000001E-4</v>
      </c>
    </row>
    <row r="153" spans="1:6" x14ac:dyDescent="0.25">
      <c r="A153" t="s">
        <v>48</v>
      </c>
      <c r="B153" s="8">
        <v>44389</v>
      </c>
      <c r="C153" s="7" t="s">
        <v>40</v>
      </c>
      <c r="D153" s="7">
        <v>1</v>
      </c>
      <c r="E153" s="7">
        <v>1.25E-3</v>
      </c>
      <c r="F153" s="7">
        <v>1.0590277777777779E-3</v>
      </c>
    </row>
    <row r="154" spans="1:6" x14ac:dyDescent="0.25">
      <c r="A154" t="s">
        <v>48</v>
      </c>
      <c r="B154" s="8">
        <v>44571</v>
      </c>
      <c r="C154" s="7" t="s">
        <v>40</v>
      </c>
      <c r="D154" s="7">
        <v>1</v>
      </c>
      <c r="E154" s="7">
        <v>5.0000000000000001E-3</v>
      </c>
      <c r="F154" s="7">
        <v>2.5000000000000001E-3</v>
      </c>
    </row>
    <row r="155" spans="1:6" x14ac:dyDescent="0.25">
      <c r="A155" t="s">
        <v>48</v>
      </c>
      <c r="B155" s="8">
        <v>44753</v>
      </c>
      <c r="C155" s="7" t="s">
        <v>40</v>
      </c>
      <c r="D155" s="7">
        <v>1</v>
      </c>
      <c r="E155" s="7">
        <v>5.0000000000000001E-3</v>
      </c>
      <c r="F155" s="7">
        <v>2.5000000000000001E-3</v>
      </c>
    </row>
    <row r="156" spans="1:6" x14ac:dyDescent="0.25">
      <c r="A156" t="s">
        <v>48</v>
      </c>
      <c r="B156" s="8">
        <v>44935</v>
      </c>
      <c r="C156" s="7" t="s">
        <v>40</v>
      </c>
      <c r="D156" s="7">
        <v>1</v>
      </c>
      <c r="E156" s="7">
        <v>5.0000000000000001E-3</v>
      </c>
      <c r="F156" s="7">
        <v>2.5000000000000001E-3</v>
      </c>
    </row>
    <row r="157" spans="1:6" x14ac:dyDescent="0.25">
      <c r="A157" t="s">
        <v>48</v>
      </c>
      <c r="B157" s="8">
        <v>45117</v>
      </c>
      <c r="C157" s="7" t="s">
        <v>40</v>
      </c>
      <c r="D157" s="7">
        <v>1</v>
      </c>
      <c r="E157" s="7">
        <v>5.0000000000000001E-3</v>
      </c>
      <c r="F157" s="7">
        <v>2.5000000000000001E-3</v>
      </c>
    </row>
    <row r="158" spans="1:6" x14ac:dyDescent="0.25">
      <c r="A158" t="s">
        <v>48</v>
      </c>
      <c r="B158" s="8">
        <v>45300</v>
      </c>
      <c r="C158" s="7" t="s">
        <v>40</v>
      </c>
      <c r="D158" s="7">
        <v>1</v>
      </c>
      <c r="E158" s="7">
        <v>7.4999999999999997E-3</v>
      </c>
      <c r="F158" s="7">
        <v>3.7499999999999999E-3</v>
      </c>
    </row>
    <row r="159" spans="1:6" x14ac:dyDescent="0.25">
      <c r="A159" t="s">
        <v>48</v>
      </c>
      <c r="B159" s="8">
        <v>45483</v>
      </c>
      <c r="C159" s="7">
        <v>0.04</v>
      </c>
      <c r="D159" s="7">
        <v>0.96</v>
      </c>
      <c r="E159" s="7">
        <v>7.4999999999999997E-3</v>
      </c>
      <c r="F159" s="7">
        <v>3.7499999999999999E-3</v>
      </c>
    </row>
    <row r="160" spans="1:6" x14ac:dyDescent="0.25">
      <c r="A160" t="s">
        <v>48</v>
      </c>
      <c r="B160" s="8">
        <v>45666</v>
      </c>
      <c r="C160" s="7">
        <v>0.08</v>
      </c>
      <c r="D160" s="7">
        <v>0.88</v>
      </c>
      <c r="E160" s="7">
        <v>7.4999999999999997E-3</v>
      </c>
      <c r="F160" s="7">
        <v>3.5999999999999999E-3</v>
      </c>
    </row>
    <row r="161" spans="1:6" x14ac:dyDescent="0.25">
      <c r="A161" t="s">
        <v>48</v>
      </c>
      <c r="B161" s="8">
        <v>45848</v>
      </c>
      <c r="C161" s="7">
        <v>0.08</v>
      </c>
      <c r="D161" s="7">
        <v>0.8</v>
      </c>
      <c r="E161" s="7">
        <v>7.4999999999999997E-3</v>
      </c>
      <c r="F161" s="7">
        <v>3.3E-3</v>
      </c>
    </row>
    <row r="162" spans="1:6" x14ac:dyDescent="0.25">
      <c r="A162" t="s">
        <v>48</v>
      </c>
      <c r="B162" s="8">
        <v>46031</v>
      </c>
      <c r="C162" s="7">
        <v>0.08</v>
      </c>
      <c r="D162" s="7">
        <v>0.72</v>
      </c>
      <c r="E162" s="7">
        <v>7.4999999999999997E-3</v>
      </c>
      <c r="F162" s="7">
        <v>3.0000000000000001E-3</v>
      </c>
    </row>
    <row r="163" spans="1:6" x14ac:dyDescent="0.25">
      <c r="A163" t="s">
        <v>48</v>
      </c>
      <c r="B163" s="8">
        <v>46216</v>
      </c>
      <c r="C163" s="7">
        <v>0.08</v>
      </c>
      <c r="D163" s="7">
        <v>0.64</v>
      </c>
      <c r="E163" s="7">
        <v>7.4999999999999997E-3</v>
      </c>
      <c r="F163" s="7">
        <v>2.6999999999999997E-3</v>
      </c>
    </row>
    <row r="164" spans="1:6" x14ac:dyDescent="0.25">
      <c r="A164" t="s">
        <v>48</v>
      </c>
      <c r="B164" s="8">
        <v>46398</v>
      </c>
      <c r="C164" s="7">
        <v>0.08</v>
      </c>
      <c r="D164" s="7">
        <v>0.56000000000000005</v>
      </c>
      <c r="E164" s="7">
        <v>7.4999999999999997E-3</v>
      </c>
      <c r="F164" s="7">
        <v>2.3999999999999998E-3</v>
      </c>
    </row>
    <row r="165" spans="1:6" x14ac:dyDescent="0.25">
      <c r="A165" t="s">
        <v>48</v>
      </c>
      <c r="B165" s="8">
        <v>46580</v>
      </c>
      <c r="C165" s="7">
        <v>0.08</v>
      </c>
      <c r="D165" s="7">
        <v>0.48</v>
      </c>
      <c r="E165" s="7">
        <v>7.4999999999999997E-3</v>
      </c>
      <c r="F165" s="7">
        <v>2.1000000000000003E-3</v>
      </c>
    </row>
    <row r="166" spans="1:6" x14ac:dyDescent="0.25">
      <c r="A166" t="s">
        <v>48</v>
      </c>
      <c r="B166" s="8">
        <v>46762</v>
      </c>
      <c r="C166" s="7">
        <v>0.08</v>
      </c>
      <c r="D166" s="7">
        <v>0.4</v>
      </c>
      <c r="E166" s="7">
        <v>1.7500000000000002E-2</v>
      </c>
      <c r="F166" s="7">
        <v>4.2000000000000006E-3</v>
      </c>
    </row>
    <row r="167" spans="1:6" x14ac:dyDescent="0.25">
      <c r="A167" t="s">
        <v>48</v>
      </c>
      <c r="B167" s="8">
        <v>46944</v>
      </c>
      <c r="C167" s="7">
        <v>0.08</v>
      </c>
      <c r="D167" s="7">
        <v>0.32</v>
      </c>
      <c r="E167" s="7">
        <v>1.7500000000000002E-2</v>
      </c>
      <c r="F167" s="7">
        <v>3.5000000000000005E-3</v>
      </c>
    </row>
    <row r="168" spans="1:6" x14ac:dyDescent="0.25">
      <c r="A168" t="s">
        <v>48</v>
      </c>
      <c r="B168" s="8">
        <v>47127</v>
      </c>
      <c r="C168" s="7">
        <v>0.08</v>
      </c>
      <c r="D168" s="7">
        <v>0.24</v>
      </c>
      <c r="E168" s="7">
        <v>1.7500000000000002E-2</v>
      </c>
      <c r="F168" s="7">
        <v>2.8000000000000004E-3</v>
      </c>
    </row>
    <row r="169" spans="1:6" x14ac:dyDescent="0.25">
      <c r="A169" t="s">
        <v>48</v>
      </c>
      <c r="B169" s="8">
        <v>47309</v>
      </c>
      <c r="C169" s="7">
        <v>0.08</v>
      </c>
      <c r="D169" s="7">
        <v>0.16</v>
      </c>
      <c r="E169" s="7">
        <v>1.7500000000000002E-2</v>
      </c>
      <c r="F169" s="7">
        <v>2.1000000000000003E-3</v>
      </c>
    </row>
    <row r="170" spans="1:6" x14ac:dyDescent="0.25">
      <c r="A170" t="s">
        <v>48</v>
      </c>
      <c r="B170" s="8">
        <v>47492</v>
      </c>
      <c r="C170" s="7">
        <v>0.08</v>
      </c>
      <c r="D170" s="7">
        <v>0.08</v>
      </c>
      <c r="E170" s="7">
        <v>1.7500000000000002E-2</v>
      </c>
      <c r="F170" s="7">
        <v>1.4000000000000002E-3</v>
      </c>
    </row>
    <row r="171" spans="1:6" x14ac:dyDescent="0.25">
      <c r="A171" t="s">
        <v>48</v>
      </c>
      <c r="B171" s="8">
        <v>47674</v>
      </c>
      <c r="C171" s="7">
        <v>0.08</v>
      </c>
      <c r="D171" s="7" t="s">
        <v>40</v>
      </c>
      <c r="E171" s="7">
        <v>1.7500000000000002E-2</v>
      </c>
      <c r="F171" s="7">
        <v>7.000000000000001E-4</v>
      </c>
    </row>
    <row r="172" spans="1:6" x14ac:dyDescent="0.25">
      <c r="A172" t="s">
        <v>49</v>
      </c>
      <c r="B172" s="8">
        <v>44389</v>
      </c>
      <c r="C172" s="7" t="s">
        <v>40</v>
      </c>
      <c r="D172" s="7">
        <v>1</v>
      </c>
      <c r="E172" s="7">
        <v>1.25E-3</v>
      </c>
      <c r="F172" s="7">
        <v>1.0590277777777779E-3</v>
      </c>
    </row>
    <row r="173" spans="1:6" x14ac:dyDescent="0.25">
      <c r="A173" t="s">
        <v>49</v>
      </c>
      <c r="B173" s="8">
        <v>44571</v>
      </c>
      <c r="C173" s="7" t="s">
        <v>40</v>
      </c>
      <c r="D173" s="7">
        <v>1</v>
      </c>
      <c r="E173" s="7">
        <v>1.125E-2</v>
      </c>
      <c r="F173" s="7">
        <v>5.6249999999999998E-3</v>
      </c>
    </row>
    <row r="174" spans="1:6" x14ac:dyDescent="0.25">
      <c r="A174" t="s">
        <v>49</v>
      </c>
      <c r="B174" s="8">
        <v>44753</v>
      </c>
      <c r="C174" s="7" t="s">
        <v>40</v>
      </c>
      <c r="D174" s="7">
        <v>1</v>
      </c>
      <c r="E174" s="7">
        <v>1.125E-2</v>
      </c>
      <c r="F174" s="7">
        <v>5.6249999999999998E-3</v>
      </c>
    </row>
    <row r="175" spans="1:6" x14ac:dyDescent="0.25">
      <c r="A175" t="s">
        <v>49</v>
      </c>
      <c r="B175" s="8">
        <v>44935</v>
      </c>
      <c r="C175" s="7" t="s">
        <v>40</v>
      </c>
      <c r="D175" s="7">
        <v>1</v>
      </c>
      <c r="E175" s="7">
        <v>1.4999999999999999E-2</v>
      </c>
      <c r="F175" s="7">
        <v>7.4999999999999997E-3</v>
      </c>
    </row>
    <row r="176" spans="1:6" x14ac:dyDescent="0.25">
      <c r="A176" t="s">
        <v>49</v>
      </c>
      <c r="B176" s="8">
        <v>45117</v>
      </c>
      <c r="C176" s="7" t="s">
        <v>40</v>
      </c>
      <c r="D176" s="7">
        <v>1</v>
      </c>
      <c r="E176" s="7">
        <v>1.4999999999999999E-2</v>
      </c>
      <c r="F176" s="7">
        <v>7.4999999999999997E-3</v>
      </c>
    </row>
    <row r="177" spans="1:6" x14ac:dyDescent="0.25">
      <c r="A177" t="s">
        <v>49</v>
      </c>
      <c r="B177" s="8">
        <v>45300</v>
      </c>
      <c r="C177" s="7" t="s">
        <v>40</v>
      </c>
      <c r="D177" s="7">
        <v>1</v>
      </c>
      <c r="E177" s="7">
        <v>3.6249999999999998E-2</v>
      </c>
      <c r="F177" s="7">
        <v>1.8124999999999999E-2</v>
      </c>
    </row>
    <row r="178" spans="1:6" x14ac:dyDescent="0.25">
      <c r="A178" t="s">
        <v>49</v>
      </c>
      <c r="B178" s="8">
        <v>45483</v>
      </c>
      <c r="C178" s="7" t="s">
        <v>40</v>
      </c>
      <c r="D178" s="7">
        <v>1</v>
      </c>
      <c r="E178" s="7">
        <v>3.6249999999999998E-2</v>
      </c>
      <c r="F178" s="7">
        <v>1.8124999999999999E-2</v>
      </c>
    </row>
    <row r="179" spans="1:6" x14ac:dyDescent="0.25">
      <c r="A179" t="s">
        <v>49</v>
      </c>
      <c r="B179" s="8">
        <v>45666</v>
      </c>
      <c r="C179" s="7" t="s">
        <v>40</v>
      </c>
      <c r="D179" s="7">
        <v>1</v>
      </c>
      <c r="E179" s="7">
        <v>4.1250000000000002E-2</v>
      </c>
      <c r="F179" s="7">
        <v>2.0625000000000001E-2</v>
      </c>
    </row>
    <row r="180" spans="1:6" x14ac:dyDescent="0.25">
      <c r="A180" t="s">
        <v>49</v>
      </c>
      <c r="B180" s="8">
        <v>45848</v>
      </c>
      <c r="C180" s="7" t="s">
        <v>40</v>
      </c>
      <c r="D180" s="7">
        <v>1</v>
      </c>
      <c r="E180" s="7">
        <v>4.1250000000000002E-2</v>
      </c>
      <c r="F180" s="7">
        <v>2.0625000000000001E-2</v>
      </c>
    </row>
    <row r="181" spans="1:6" x14ac:dyDescent="0.25">
      <c r="A181" t="s">
        <v>49</v>
      </c>
      <c r="B181" s="8">
        <v>46031</v>
      </c>
      <c r="C181" s="7" t="s">
        <v>40</v>
      </c>
      <c r="D181" s="7">
        <v>1</v>
      </c>
      <c r="E181" s="7">
        <v>4.1250000000000002E-2</v>
      </c>
      <c r="F181" s="7">
        <v>2.0625000000000001E-2</v>
      </c>
    </row>
    <row r="182" spans="1:6" x14ac:dyDescent="0.25">
      <c r="A182" t="s">
        <v>49</v>
      </c>
      <c r="B182" s="8">
        <v>46216</v>
      </c>
      <c r="C182" s="7" t="s">
        <v>40</v>
      </c>
      <c r="D182" s="7">
        <v>1</v>
      </c>
      <c r="E182" s="7">
        <v>4.1250000000000002E-2</v>
      </c>
      <c r="F182" s="7">
        <v>2.0625000000000001E-2</v>
      </c>
    </row>
    <row r="183" spans="1:6" x14ac:dyDescent="0.25">
      <c r="A183" t="s">
        <v>49</v>
      </c>
      <c r="B183" s="8">
        <v>46398</v>
      </c>
      <c r="C183" s="7" t="s">
        <v>40</v>
      </c>
      <c r="D183" s="7">
        <v>1</v>
      </c>
      <c r="E183" s="7">
        <v>4.1250000000000002E-2</v>
      </c>
      <c r="F183" s="7">
        <v>2.0625000000000001E-2</v>
      </c>
    </row>
    <row r="184" spans="1:6" x14ac:dyDescent="0.25">
      <c r="A184" t="s">
        <v>49</v>
      </c>
      <c r="B184" s="8">
        <v>46580</v>
      </c>
      <c r="C184" s="7" t="s">
        <v>40</v>
      </c>
      <c r="D184" s="7">
        <v>1</v>
      </c>
      <c r="E184" s="7">
        <v>4.1250000000000002E-2</v>
      </c>
      <c r="F184" s="7">
        <v>2.0625000000000001E-2</v>
      </c>
    </row>
    <row r="185" spans="1:6" x14ac:dyDescent="0.25">
      <c r="A185" t="s">
        <v>49</v>
      </c>
      <c r="B185" s="8">
        <v>46762</v>
      </c>
      <c r="C185" s="7" t="s">
        <v>40</v>
      </c>
      <c r="D185" s="7">
        <v>1</v>
      </c>
      <c r="E185" s="7">
        <v>4.7500000000000001E-2</v>
      </c>
      <c r="F185" s="7">
        <v>2.375E-2</v>
      </c>
    </row>
    <row r="186" spans="1:6" x14ac:dyDescent="0.25">
      <c r="A186" t="s">
        <v>49</v>
      </c>
      <c r="B186" s="8">
        <v>46944</v>
      </c>
      <c r="C186" s="7" t="s">
        <v>40</v>
      </c>
      <c r="D186" s="7">
        <v>1</v>
      </c>
      <c r="E186" s="7">
        <v>4.7500000000000001E-2</v>
      </c>
      <c r="F186" s="7">
        <v>2.375E-2</v>
      </c>
    </row>
    <row r="187" spans="1:6" x14ac:dyDescent="0.25">
      <c r="A187" t="s">
        <v>49</v>
      </c>
      <c r="B187" s="8">
        <v>47127</v>
      </c>
      <c r="C187" s="7" t="s">
        <v>40</v>
      </c>
      <c r="D187" s="7">
        <v>1</v>
      </c>
      <c r="E187" s="7">
        <v>0.05</v>
      </c>
      <c r="F187" s="7">
        <v>2.5000000000000001E-2</v>
      </c>
    </row>
    <row r="188" spans="1:6" x14ac:dyDescent="0.25">
      <c r="A188" t="s">
        <v>49</v>
      </c>
      <c r="B188" s="8">
        <v>47309</v>
      </c>
      <c r="C188" s="7" t="s">
        <v>40</v>
      </c>
      <c r="D188" s="7">
        <v>1</v>
      </c>
      <c r="E188" s="7">
        <v>0.05</v>
      </c>
      <c r="F188" s="7">
        <v>2.5000000000000001E-2</v>
      </c>
    </row>
    <row r="189" spans="1:6" x14ac:dyDescent="0.25">
      <c r="A189" t="s">
        <v>49</v>
      </c>
      <c r="B189" s="8">
        <v>47492</v>
      </c>
      <c r="C189" s="7" t="s">
        <v>40</v>
      </c>
      <c r="D189" s="7">
        <v>1</v>
      </c>
      <c r="E189" s="7">
        <v>0.05</v>
      </c>
      <c r="F189" s="7">
        <v>2.5000000000000001E-2</v>
      </c>
    </row>
    <row r="190" spans="1:6" x14ac:dyDescent="0.25">
      <c r="A190" t="s">
        <v>49</v>
      </c>
      <c r="B190" s="8">
        <v>47674</v>
      </c>
      <c r="C190" s="7" t="s">
        <v>40</v>
      </c>
      <c r="D190" s="7">
        <v>1</v>
      </c>
      <c r="E190" s="7">
        <v>0.05</v>
      </c>
      <c r="F190" s="7">
        <v>2.5000000000000001E-2</v>
      </c>
    </row>
    <row r="191" spans="1:6" x14ac:dyDescent="0.25">
      <c r="A191" t="s">
        <v>49</v>
      </c>
      <c r="B191" s="8">
        <v>47857</v>
      </c>
      <c r="C191" s="7">
        <v>0.1</v>
      </c>
      <c r="D191" s="7">
        <v>0.9</v>
      </c>
      <c r="E191" s="7">
        <v>0.05</v>
      </c>
      <c r="F191" s="7">
        <v>2.5000000000000001E-2</v>
      </c>
    </row>
    <row r="192" spans="1:6" x14ac:dyDescent="0.25">
      <c r="A192" t="s">
        <v>49</v>
      </c>
      <c r="B192" s="8">
        <v>48039</v>
      </c>
      <c r="C192" s="7">
        <v>0.1</v>
      </c>
      <c r="D192" s="7">
        <v>0.8</v>
      </c>
      <c r="E192" s="7">
        <v>0.05</v>
      </c>
      <c r="F192" s="7">
        <v>2.2500000000000003E-2</v>
      </c>
    </row>
    <row r="193" spans="1:6" x14ac:dyDescent="0.25">
      <c r="A193" t="s">
        <v>49</v>
      </c>
      <c r="B193" s="8">
        <v>48222</v>
      </c>
      <c r="C193" s="7">
        <v>0.1</v>
      </c>
      <c r="D193" s="7">
        <v>0.7</v>
      </c>
      <c r="E193" s="7">
        <v>0.05</v>
      </c>
      <c r="F193" s="7">
        <v>2.0000000000000004E-2</v>
      </c>
    </row>
    <row r="194" spans="1:6" x14ac:dyDescent="0.25">
      <c r="A194" t="s">
        <v>49</v>
      </c>
      <c r="B194" s="8">
        <v>48407</v>
      </c>
      <c r="C194" s="7">
        <v>0.1</v>
      </c>
      <c r="D194" s="7">
        <v>0.6</v>
      </c>
      <c r="E194" s="7">
        <v>0.05</v>
      </c>
      <c r="F194" s="7">
        <v>1.7499999999999998E-2</v>
      </c>
    </row>
    <row r="195" spans="1:6" x14ac:dyDescent="0.25">
      <c r="A195" t="s">
        <v>49</v>
      </c>
      <c r="B195" s="8">
        <v>48589</v>
      </c>
      <c r="C195" s="7">
        <v>0.1</v>
      </c>
      <c r="D195" s="7">
        <v>0.5</v>
      </c>
      <c r="E195" s="7">
        <v>0.05</v>
      </c>
      <c r="F195" s="7">
        <v>1.4999999999999999E-2</v>
      </c>
    </row>
    <row r="196" spans="1:6" x14ac:dyDescent="0.25">
      <c r="A196" t="s">
        <v>49</v>
      </c>
      <c r="B196" s="8">
        <v>48771</v>
      </c>
      <c r="C196" s="7">
        <v>0.1</v>
      </c>
      <c r="D196" s="7">
        <v>0.4</v>
      </c>
      <c r="E196" s="7">
        <v>0.05</v>
      </c>
      <c r="F196" s="7">
        <v>1.2500000000000001E-2</v>
      </c>
    </row>
    <row r="197" spans="1:6" x14ac:dyDescent="0.25">
      <c r="A197" t="s">
        <v>49</v>
      </c>
      <c r="B197" s="8">
        <v>48953</v>
      </c>
      <c r="C197" s="7">
        <v>0.1</v>
      </c>
      <c r="D197" s="7">
        <v>0.3</v>
      </c>
      <c r="E197" s="7">
        <v>0.05</v>
      </c>
      <c r="F197" s="7">
        <v>1.0000000000000002E-2</v>
      </c>
    </row>
    <row r="198" spans="1:6" x14ac:dyDescent="0.25">
      <c r="A198" t="s">
        <v>49</v>
      </c>
      <c r="B198" s="8">
        <v>49135</v>
      </c>
      <c r="C198" s="7">
        <v>0.1</v>
      </c>
      <c r="D198" s="7">
        <v>0.2</v>
      </c>
      <c r="E198" s="7">
        <v>0.05</v>
      </c>
      <c r="F198" s="7">
        <v>7.4999999999999997E-3</v>
      </c>
    </row>
    <row r="199" spans="1:6" x14ac:dyDescent="0.25">
      <c r="A199" t="s">
        <v>49</v>
      </c>
      <c r="B199" s="8">
        <v>49318</v>
      </c>
      <c r="C199" s="7">
        <v>0.1</v>
      </c>
      <c r="D199" s="7">
        <v>0.1</v>
      </c>
      <c r="E199" s="7">
        <v>0.05</v>
      </c>
      <c r="F199" s="7">
        <v>5.000000000000001E-3</v>
      </c>
    </row>
    <row r="200" spans="1:6" x14ac:dyDescent="0.25">
      <c r="A200" t="s">
        <v>49</v>
      </c>
      <c r="B200" s="8">
        <v>49500</v>
      </c>
      <c r="C200" s="7">
        <v>0.1</v>
      </c>
      <c r="D200" s="7" t="s">
        <v>40</v>
      </c>
      <c r="E200" s="7">
        <v>0.05</v>
      </c>
      <c r="F200" s="7">
        <v>2.5000000000000005E-3</v>
      </c>
    </row>
    <row r="201" spans="1:6" x14ac:dyDescent="0.25">
      <c r="A201" t="s">
        <v>50</v>
      </c>
      <c r="B201" s="8">
        <v>44389</v>
      </c>
      <c r="C201" s="7" t="s">
        <v>40</v>
      </c>
      <c r="D201" s="7">
        <v>1</v>
      </c>
      <c r="E201" s="7">
        <v>1.25E-3</v>
      </c>
      <c r="F201" s="7">
        <v>1.0590277777777779E-3</v>
      </c>
    </row>
    <row r="202" spans="1:6" x14ac:dyDescent="0.25">
      <c r="A202" t="s">
        <v>50</v>
      </c>
      <c r="B202" s="8">
        <v>44571</v>
      </c>
      <c r="C202" s="7" t="s">
        <v>40</v>
      </c>
      <c r="D202" s="7">
        <v>1</v>
      </c>
      <c r="E202" s="7">
        <v>1.125E-2</v>
      </c>
      <c r="F202" s="7">
        <v>5.6249999999999998E-3</v>
      </c>
    </row>
    <row r="203" spans="1:6" x14ac:dyDescent="0.25">
      <c r="A203" t="s">
        <v>50</v>
      </c>
      <c r="B203" s="8">
        <v>44753</v>
      </c>
      <c r="C203" s="7" t="s">
        <v>40</v>
      </c>
      <c r="D203" s="7">
        <v>1</v>
      </c>
      <c r="E203" s="7">
        <v>1.125E-2</v>
      </c>
      <c r="F203" s="7">
        <v>5.6249999999999998E-3</v>
      </c>
    </row>
    <row r="204" spans="1:6" x14ac:dyDescent="0.25">
      <c r="A204" t="s">
        <v>50</v>
      </c>
      <c r="B204" s="8">
        <v>44935</v>
      </c>
      <c r="C204" s="7" t="s">
        <v>40</v>
      </c>
      <c r="D204" s="7">
        <v>1</v>
      </c>
      <c r="E204" s="7">
        <v>1.4999999999999999E-2</v>
      </c>
      <c r="F204" s="7">
        <v>7.4999999999999997E-3</v>
      </c>
    </row>
    <row r="205" spans="1:6" x14ac:dyDescent="0.25">
      <c r="A205" t="s">
        <v>50</v>
      </c>
      <c r="B205" s="8">
        <v>45117</v>
      </c>
      <c r="C205" s="7" t="s">
        <v>40</v>
      </c>
      <c r="D205" s="7">
        <v>1</v>
      </c>
      <c r="E205" s="7">
        <v>1.4999999999999999E-2</v>
      </c>
      <c r="F205" s="7">
        <v>7.4999999999999997E-3</v>
      </c>
    </row>
    <row r="206" spans="1:6" x14ac:dyDescent="0.25">
      <c r="A206" t="s">
        <v>50</v>
      </c>
      <c r="B206" s="8">
        <v>45300</v>
      </c>
      <c r="C206" s="7" t="s">
        <v>40</v>
      </c>
      <c r="D206" s="7">
        <v>1</v>
      </c>
      <c r="E206" s="7">
        <v>3.6249999999999998E-2</v>
      </c>
      <c r="F206" s="7">
        <v>1.8124999999999999E-2</v>
      </c>
    </row>
    <row r="207" spans="1:6" x14ac:dyDescent="0.25">
      <c r="A207" t="s">
        <v>50</v>
      </c>
      <c r="B207" s="8">
        <v>45483</v>
      </c>
      <c r="C207" s="7" t="s">
        <v>40</v>
      </c>
      <c r="D207" s="7">
        <v>1</v>
      </c>
      <c r="E207" s="7">
        <v>3.6249999999999998E-2</v>
      </c>
      <c r="F207" s="7">
        <v>1.8124999999999999E-2</v>
      </c>
    </row>
    <row r="208" spans="1:6" x14ac:dyDescent="0.25">
      <c r="A208" t="s">
        <v>50</v>
      </c>
      <c r="B208" s="8">
        <v>45666</v>
      </c>
      <c r="C208" s="7" t="s">
        <v>40</v>
      </c>
      <c r="D208" s="7">
        <v>1</v>
      </c>
      <c r="E208" s="7">
        <v>4.1250000000000002E-2</v>
      </c>
      <c r="F208" s="7">
        <v>2.0625000000000001E-2</v>
      </c>
    </row>
    <row r="209" spans="1:6" x14ac:dyDescent="0.25">
      <c r="A209" t="s">
        <v>50</v>
      </c>
      <c r="B209" s="8">
        <v>45848</v>
      </c>
      <c r="C209" s="7" t="s">
        <v>40</v>
      </c>
      <c r="D209" s="7">
        <v>1</v>
      </c>
      <c r="E209" s="7">
        <v>4.1250000000000002E-2</v>
      </c>
      <c r="F209" s="7">
        <v>2.0625000000000001E-2</v>
      </c>
    </row>
    <row r="210" spans="1:6" x14ac:dyDescent="0.25">
      <c r="A210" t="s">
        <v>50</v>
      </c>
      <c r="B210" s="8">
        <v>46031</v>
      </c>
      <c r="C210" s="7" t="s">
        <v>40</v>
      </c>
      <c r="D210" s="7">
        <v>1</v>
      </c>
      <c r="E210" s="7">
        <v>4.1250000000000002E-2</v>
      </c>
      <c r="F210" s="7">
        <v>2.0625000000000001E-2</v>
      </c>
    </row>
    <row r="211" spans="1:6" x14ac:dyDescent="0.25">
      <c r="A211" t="s">
        <v>50</v>
      </c>
      <c r="B211" s="8">
        <v>46216</v>
      </c>
      <c r="C211" s="7" t="s">
        <v>40</v>
      </c>
      <c r="D211" s="7">
        <v>1</v>
      </c>
      <c r="E211" s="7">
        <v>4.1250000000000002E-2</v>
      </c>
      <c r="F211" s="7">
        <v>2.0625000000000001E-2</v>
      </c>
    </row>
    <row r="212" spans="1:6" x14ac:dyDescent="0.25">
      <c r="A212" t="s">
        <v>50</v>
      </c>
      <c r="B212" s="8">
        <v>46398</v>
      </c>
      <c r="C212" s="7" t="s">
        <v>40</v>
      </c>
      <c r="D212" s="7">
        <v>1</v>
      </c>
      <c r="E212" s="7">
        <v>4.1250000000000002E-2</v>
      </c>
      <c r="F212" s="7">
        <v>2.0625000000000001E-2</v>
      </c>
    </row>
    <row r="213" spans="1:6" x14ac:dyDescent="0.25">
      <c r="A213" t="s">
        <v>50</v>
      </c>
      <c r="B213" s="8">
        <v>46580</v>
      </c>
      <c r="C213" s="7" t="s">
        <v>40</v>
      </c>
      <c r="D213" s="7">
        <v>1</v>
      </c>
      <c r="E213" s="7">
        <v>4.1250000000000002E-2</v>
      </c>
      <c r="F213" s="7">
        <v>2.0625000000000001E-2</v>
      </c>
    </row>
    <row r="214" spans="1:6" x14ac:dyDescent="0.25">
      <c r="A214" t="s">
        <v>50</v>
      </c>
      <c r="B214" s="8">
        <v>46762</v>
      </c>
      <c r="C214" s="7" t="s">
        <v>40</v>
      </c>
      <c r="D214" s="7">
        <v>1</v>
      </c>
      <c r="E214" s="7">
        <v>4.7500000000000001E-2</v>
      </c>
      <c r="F214" s="7">
        <v>2.375E-2</v>
      </c>
    </row>
    <row r="215" spans="1:6" x14ac:dyDescent="0.25">
      <c r="A215" t="s">
        <v>50</v>
      </c>
      <c r="B215" s="8">
        <v>46944</v>
      </c>
      <c r="C215" s="7" t="s">
        <v>40</v>
      </c>
      <c r="D215" s="7">
        <v>1</v>
      </c>
      <c r="E215" s="7">
        <v>4.7500000000000001E-2</v>
      </c>
      <c r="F215" s="7">
        <v>2.375E-2</v>
      </c>
    </row>
    <row r="216" spans="1:6" x14ac:dyDescent="0.25">
      <c r="A216" t="s">
        <v>50</v>
      </c>
      <c r="B216" s="8">
        <v>47127</v>
      </c>
      <c r="C216" s="7" t="s">
        <v>40</v>
      </c>
      <c r="D216" s="7">
        <v>1</v>
      </c>
      <c r="E216" s="7">
        <v>0.05</v>
      </c>
      <c r="F216" s="7">
        <v>2.5000000000000001E-2</v>
      </c>
    </row>
    <row r="217" spans="1:6" x14ac:dyDescent="0.25">
      <c r="A217" t="s">
        <v>50</v>
      </c>
      <c r="B217" s="8">
        <v>47309</v>
      </c>
      <c r="C217" s="7" t="s">
        <v>40</v>
      </c>
      <c r="D217" s="7">
        <v>1</v>
      </c>
      <c r="E217" s="7">
        <v>0.05</v>
      </c>
      <c r="F217" s="7">
        <v>2.5000000000000001E-2</v>
      </c>
    </row>
    <row r="218" spans="1:6" x14ac:dyDescent="0.25">
      <c r="A218" t="s">
        <v>50</v>
      </c>
      <c r="B218" s="8">
        <v>47492</v>
      </c>
      <c r="C218" s="7" t="s">
        <v>40</v>
      </c>
      <c r="D218" s="7">
        <v>1</v>
      </c>
      <c r="E218" s="7">
        <v>0.05</v>
      </c>
      <c r="F218" s="7">
        <v>2.5000000000000001E-2</v>
      </c>
    </row>
    <row r="219" spans="1:6" x14ac:dyDescent="0.25">
      <c r="A219" t="s">
        <v>50</v>
      </c>
      <c r="B219" s="8">
        <v>47674</v>
      </c>
      <c r="C219" s="7" t="s">
        <v>40</v>
      </c>
      <c r="D219" s="7">
        <v>1</v>
      </c>
      <c r="E219" s="7">
        <v>0.05</v>
      </c>
      <c r="F219" s="7">
        <v>2.5000000000000001E-2</v>
      </c>
    </row>
    <row r="220" spans="1:6" x14ac:dyDescent="0.25">
      <c r="A220" t="s">
        <v>50</v>
      </c>
      <c r="B220" s="8">
        <v>47857</v>
      </c>
      <c r="C220" s="7">
        <v>0.1</v>
      </c>
      <c r="D220" s="7">
        <v>0.9</v>
      </c>
      <c r="E220" s="7">
        <v>0.05</v>
      </c>
      <c r="F220" s="7">
        <v>2.5000000000000001E-2</v>
      </c>
    </row>
    <row r="221" spans="1:6" x14ac:dyDescent="0.25">
      <c r="A221" t="s">
        <v>50</v>
      </c>
      <c r="B221" s="8">
        <v>48039</v>
      </c>
      <c r="C221" s="7">
        <v>0.1</v>
      </c>
      <c r="D221" s="7">
        <v>0.8</v>
      </c>
      <c r="E221" s="7">
        <v>0.05</v>
      </c>
      <c r="F221" s="7">
        <v>2.2500000000000003E-2</v>
      </c>
    </row>
    <row r="222" spans="1:6" x14ac:dyDescent="0.25">
      <c r="A222" t="s">
        <v>50</v>
      </c>
      <c r="B222" s="8">
        <v>48222</v>
      </c>
      <c r="C222" s="7">
        <v>0.1</v>
      </c>
      <c r="D222" s="7">
        <v>0.7</v>
      </c>
      <c r="E222" s="7">
        <v>0.05</v>
      </c>
      <c r="F222" s="7">
        <v>2.0000000000000004E-2</v>
      </c>
    </row>
    <row r="223" spans="1:6" x14ac:dyDescent="0.25">
      <c r="A223" t="s">
        <v>50</v>
      </c>
      <c r="B223" s="8">
        <v>48407</v>
      </c>
      <c r="C223" s="7">
        <v>0.1</v>
      </c>
      <c r="D223" s="7">
        <v>0.6</v>
      </c>
      <c r="E223" s="7">
        <v>0.05</v>
      </c>
      <c r="F223" s="7">
        <v>1.7499999999999998E-2</v>
      </c>
    </row>
    <row r="224" spans="1:6" x14ac:dyDescent="0.25">
      <c r="A224" t="s">
        <v>50</v>
      </c>
      <c r="B224" s="8">
        <v>48589</v>
      </c>
      <c r="C224" s="7">
        <v>0.1</v>
      </c>
      <c r="D224" s="7">
        <v>0.5</v>
      </c>
      <c r="E224" s="7">
        <v>0.05</v>
      </c>
      <c r="F224" s="7">
        <v>1.4999999999999999E-2</v>
      </c>
    </row>
    <row r="225" spans="1:6" x14ac:dyDescent="0.25">
      <c r="A225" t="s">
        <v>50</v>
      </c>
      <c r="B225" s="8">
        <v>48771</v>
      </c>
      <c r="C225" s="7">
        <v>0.1</v>
      </c>
      <c r="D225" s="7">
        <v>0.4</v>
      </c>
      <c r="E225" s="7">
        <v>0.05</v>
      </c>
      <c r="F225" s="7">
        <v>1.2500000000000001E-2</v>
      </c>
    </row>
    <row r="226" spans="1:6" x14ac:dyDescent="0.25">
      <c r="A226" t="s">
        <v>50</v>
      </c>
      <c r="B226" s="8">
        <v>48953</v>
      </c>
      <c r="C226" s="7">
        <v>0.1</v>
      </c>
      <c r="D226" s="7">
        <v>0.3</v>
      </c>
      <c r="E226" s="7">
        <v>0.05</v>
      </c>
      <c r="F226" s="7">
        <v>1.0000000000000002E-2</v>
      </c>
    </row>
    <row r="227" spans="1:6" x14ac:dyDescent="0.25">
      <c r="A227" t="s">
        <v>50</v>
      </c>
      <c r="B227" s="8">
        <v>49135</v>
      </c>
      <c r="C227" s="7">
        <v>0.1</v>
      </c>
      <c r="D227" s="7">
        <v>0.2</v>
      </c>
      <c r="E227" s="7">
        <v>0.05</v>
      </c>
      <c r="F227" s="7">
        <v>7.4999999999999997E-3</v>
      </c>
    </row>
    <row r="228" spans="1:6" x14ac:dyDescent="0.25">
      <c r="A228" t="s">
        <v>50</v>
      </c>
      <c r="B228" s="8">
        <v>49318</v>
      </c>
      <c r="C228" s="7">
        <v>0.1</v>
      </c>
      <c r="D228" s="7">
        <v>0.1</v>
      </c>
      <c r="E228" s="7">
        <v>0.05</v>
      </c>
      <c r="F228" s="7">
        <v>5.000000000000001E-3</v>
      </c>
    </row>
    <row r="229" spans="1:6" x14ac:dyDescent="0.25">
      <c r="A229" t="s">
        <v>50</v>
      </c>
      <c r="B229" s="8">
        <v>49500</v>
      </c>
      <c r="C229" s="7">
        <v>0.1</v>
      </c>
      <c r="D229" s="7" t="s">
        <v>40</v>
      </c>
      <c r="E229" s="7">
        <v>0.05</v>
      </c>
      <c r="F229" s="7">
        <v>2.5000000000000005E-3</v>
      </c>
    </row>
    <row r="230" spans="1:6" x14ac:dyDescent="0.25">
      <c r="A230" t="s">
        <v>51</v>
      </c>
      <c r="B230" s="8">
        <v>44389</v>
      </c>
      <c r="C230" s="7" t="s">
        <v>40</v>
      </c>
      <c r="D230" s="7">
        <v>1</v>
      </c>
      <c r="E230" s="7">
        <v>1.25E-3</v>
      </c>
      <c r="F230" s="7">
        <v>1.0590277777777779E-3</v>
      </c>
    </row>
    <row r="231" spans="1:6" x14ac:dyDescent="0.25">
      <c r="A231" t="s">
        <v>51</v>
      </c>
      <c r="B231" s="8">
        <v>44571</v>
      </c>
      <c r="C231" s="7" t="s">
        <v>40</v>
      </c>
      <c r="D231" s="7">
        <v>1</v>
      </c>
      <c r="E231" s="7">
        <v>0.02</v>
      </c>
      <c r="F231" s="7">
        <v>0.01</v>
      </c>
    </row>
    <row r="232" spans="1:6" x14ac:dyDescent="0.25">
      <c r="A232" t="s">
        <v>51</v>
      </c>
      <c r="B232" s="8">
        <v>44753</v>
      </c>
      <c r="C232" s="7" t="s">
        <v>40</v>
      </c>
      <c r="D232" s="7">
        <v>1</v>
      </c>
      <c r="E232" s="7">
        <v>0.02</v>
      </c>
      <c r="F232" s="7">
        <v>0.01</v>
      </c>
    </row>
    <row r="233" spans="1:6" x14ac:dyDescent="0.25">
      <c r="A233" t="s">
        <v>51</v>
      </c>
      <c r="B233" s="8">
        <v>44935</v>
      </c>
      <c r="C233" s="7" t="s">
        <v>40</v>
      </c>
      <c r="D233" s="7">
        <v>1</v>
      </c>
      <c r="E233" s="7">
        <v>3.875E-2</v>
      </c>
      <c r="F233" s="7">
        <v>1.9375E-2</v>
      </c>
    </row>
    <row r="234" spans="1:6" x14ac:dyDescent="0.25">
      <c r="A234" t="s">
        <v>51</v>
      </c>
      <c r="B234" s="8">
        <v>45117</v>
      </c>
      <c r="C234" s="7" t="s">
        <v>40</v>
      </c>
      <c r="D234" s="7">
        <v>1</v>
      </c>
      <c r="E234" s="7">
        <v>3.875E-2</v>
      </c>
      <c r="F234" s="7">
        <v>1.9375E-2</v>
      </c>
    </row>
    <row r="235" spans="1:6" x14ac:dyDescent="0.25">
      <c r="A235" t="s">
        <v>51</v>
      </c>
      <c r="B235" s="8">
        <v>45300</v>
      </c>
      <c r="C235" s="7" t="s">
        <v>40</v>
      </c>
      <c r="D235" s="7">
        <v>1</v>
      </c>
      <c r="E235" s="7">
        <v>4.2500000000000003E-2</v>
      </c>
      <c r="F235" s="7">
        <v>2.1250000000000002E-2</v>
      </c>
    </row>
    <row r="236" spans="1:6" x14ac:dyDescent="0.25">
      <c r="A236" t="s">
        <v>51</v>
      </c>
      <c r="B236" s="8">
        <v>45483</v>
      </c>
      <c r="C236" s="7" t="s">
        <v>40</v>
      </c>
      <c r="D236" s="7">
        <v>1</v>
      </c>
      <c r="E236" s="7">
        <v>4.2500000000000003E-2</v>
      </c>
      <c r="F236" s="7">
        <v>2.1250000000000002E-2</v>
      </c>
    </row>
    <row r="237" spans="1:6" x14ac:dyDescent="0.25">
      <c r="A237" t="s">
        <v>51</v>
      </c>
      <c r="B237" s="8">
        <v>45666</v>
      </c>
      <c r="C237" s="7" t="s">
        <v>40</v>
      </c>
      <c r="D237" s="7">
        <v>1</v>
      </c>
      <c r="E237" s="7">
        <v>0.05</v>
      </c>
      <c r="F237" s="7">
        <v>2.5000000000000001E-2</v>
      </c>
    </row>
    <row r="238" spans="1:6" x14ac:dyDescent="0.25">
      <c r="A238" t="s">
        <v>51</v>
      </c>
      <c r="B238" s="8">
        <v>45848</v>
      </c>
      <c r="C238" s="7" t="s">
        <v>40</v>
      </c>
      <c r="D238" s="7">
        <v>1</v>
      </c>
      <c r="E238" s="7">
        <v>0.05</v>
      </c>
      <c r="F238" s="7">
        <v>2.5000000000000001E-2</v>
      </c>
    </row>
    <row r="239" spans="1:6" x14ac:dyDescent="0.25">
      <c r="A239" t="s">
        <v>51</v>
      </c>
      <c r="B239" s="8">
        <v>46031</v>
      </c>
      <c r="C239" s="7" t="s">
        <v>40</v>
      </c>
      <c r="D239" s="7">
        <v>1</v>
      </c>
      <c r="E239" s="7">
        <v>0.05</v>
      </c>
      <c r="F239" s="7">
        <v>2.5000000000000001E-2</v>
      </c>
    </row>
    <row r="240" spans="1:6" x14ac:dyDescent="0.25">
      <c r="A240" t="s">
        <v>51</v>
      </c>
      <c r="B240" s="8">
        <v>46216</v>
      </c>
      <c r="C240" s="7" t="s">
        <v>40</v>
      </c>
      <c r="D240" s="7">
        <v>1</v>
      </c>
      <c r="E240" s="7">
        <v>0.05</v>
      </c>
      <c r="F240" s="7">
        <v>2.5000000000000001E-2</v>
      </c>
    </row>
    <row r="241" spans="1:6" x14ac:dyDescent="0.25">
      <c r="A241" t="s">
        <v>51</v>
      </c>
      <c r="B241" s="8">
        <v>46398</v>
      </c>
      <c r="C241" s="7" t="s">
        <v>40</v>
      </c>
      <c r="D241" s="7">
        <v>1</v>
      </c>
      <c r="E241" s="7">
        <v>0.05</v>
      </c>
      <c r="F241" s="7">
        <v>2.5000000000000001E-2</v>
      </c>
    </row>
    <row r="242" spans="1:6" x14ac:dyDescent="0.25">
      <c r="A242" t="s">
        <v>51</v>
      </c>
      <c r="B242" s="8">
        <v>46580</v>
      </c>
      <c r="C242" s="7">
        <v>4.5454550000000003E-2</v>
      </c>
      <c r="D242" s="7">
        <v>0.95454545000000002</v>
      </c>
      <c r="E242" s="7">
        <v>0.05</v>
      </c>
      <c r="F242" s="7">
        <v>2.5000000000000001E-2</v>
      </c>
    </row>
    <row r="243" spans="1:6" x14ac:dyDescent="0.25">
      <c r="A243" t="s">
        <v>51</v>
      </c>
      <c r="B243" s="8">
        <v>46762</v>
      </c>
      <c r="C243" s="7">
        <v>4.5454550000000003E-2</v>
      </c>
      <c r="D243" s="7">
        <v>0.90909090000000004</v>
      </c>
      <c r="E243" s="7">
        <v>0.05</v>
      </c>
      <c r="F243" s="7">
        <v>2.386363625E-2</v>
      </c>
    </row>
    <row r="244" spans="1:6" x14ac:dyDescent="0.25">
      <c r="A244" t="s">
        <v>51</v>
      </c>
      <c r="B244" s="8">
        <v>46944</v>
      </c>
      <c r="C244" s="7">
        <v>4.5454550000000003E-2</v>
      </c>
      <c r="D244" s="7">
        <v>0.86363635000000005</v>
      </c>
      <c r="E244" s="7">
        <v>0.05</v>
      </c>
      <c r="F244" s="7">
        <v>2.2727272500000003E-2</v>
      </c>
    </row>
    <row r="245" spans="1:6" x14ac:dyDescent="0.25">
      <c r="A245" t="s">
        <v>51</v>
      </c>
      <c r="B245" s="8">
        <v>47127</v>
      </c>
      <c r="C245" s="7">
        <v>4.5454550000000003E-2</v>
      </c>
      <c r="D245" s="7">
        <v>0.81818179999999996</v>
      </c>
      <c r="E245" s="7">
        <v>0.05</v>
      </c>
      <c r="F245" s="7">
        <v>2.1590908750000002E-2</v>
      </c>
    </row>
    <row r="246" spans="1:6" x14ac:dyDescent="0.25">
      <c r="A246" t="s">
        <v>51</v>
      </c>
      <c r="B246" s="8">
        <v>47309</v>
      </c>
      <c r="C246" s="7">
        <v>4.5454550000000003E-2</v>
      </c>
      <c r="D246" s="7">
        <v>0.77272724999999998</v>
      </c>
      <c r="E246" s="7">
        <v>0.05</v>
      </c>
      <c r="F246" s="7">
        <v>2.0454545000000001E-2</v>
      </c>
    </row>
    <row r="247" spans="1:6" x14ac:dyDescent="0.25">
      <c r="A247" t="s">
        <v>51</v>
      </c>
      <c r="B247" s="8">
        <v>47492</v>
      </c>
      <c r="C247" s="7">
        <v>4.5454550000000003E-2</v>
      </c>
      <c r="D247" s="7">
        <v>0.72727269999999999</v>
      </c>
      <c r="E247" s="7">
        <v>0.05</v>
      </c>
      <c r="F247" s="7">
        <v>1.931818125E-2</v>
      </c>
    </row>
    <row r="248" spans="1:6" x14ac:dyDescent="0.25">
      <c r="A248" t="s">
        <v>51</v>
      </c>
      <c r="B248" s="8">
        <v>47674</v>
      </c>
      <c r="C248" s="7">
        <v>4.5454550000000003E-2</v>
      </c>
      <c r="D248" s="7">
        <v>0.68181815000000001</v>
      </c>
      <c r="E248" s="7">
        <v>0.05</v>
      </c>
      <c r="F248" s="7">
        <v>1.8181817499999999E-2</v>
      </c>
    </row>
    <row r="249" spans="1:6" x14ac:dyDescent="0.25">
      <c r="A249" t="s">
        <v>51</v>
      </c>
      <c r="B249" s="8">
        <v>47857</v>
      </c>
      <c r="C249" s="7">
        <v>4.5454550000000003E-2</v>
      </c>
      <c r="D249" s="7">
        <v>0.63636360000000003</v>
      </c>
      <c r="E249" s="7">
        <v>0.05</v>
      </c>
      <c r="F249" s="7">
        <v>1.7045453750000002E-2</v>
      </c>
    </row>
    <row r="250" spans="1:6" x14ac:dyDescent="0.25">
      <c r="A250" t="s">
        <v>51</v>
      </c>
      <c r="B250" s="8">
        <v>48039</v>
      </c>
      <c r="C250" s="7">
        <v>4.5454550000000003E-2</v>
      </c>
      <c r="D250" s="7">
        <v>0.59090905000000005</v>
      </c>
      <c r="E250" s="7">
        <v>0.05</v>
      </c>
      <c r="F250" s="7">
        <v>1.5909090000000001E-2</v>
      </c>
    </row>
    <row r="251" spans="1:6" x14ac:dyDescent="0.25">
      <c r="A251" t="s">
        <v>51</v>
      </c>
      <c r="B251" s="8">
        <v>48222</v>
      </c>
      <c r="C251" s="7">
        <v>4.5454550000000003E-2</v>
      </c>
      <c r="D251" s="7">
        <v>0.54545449999999995</v>
      </c>
      <c r="E251" s="7">
        <v>0.05</v>
      </c>
      <c r="F251" s="7">
        <v>1.4772726250000002E-2</v>
      </c>
    </row>
    <row r="252" spans="1:6" x14ac:dyDescent="0.25">
      <c r="A252" t="s">
        <v>51</v>
      </c>
      <c r="B252" s="8">
        <v>48407</v>
      </c>
      <c r="C252" s="7">
        <v>4.5454550000000003E-2</v>
      </c>
      <c r="D252" s="7">
        <v>0.49999995000000003</v>
      </c>
      <c r="E252" s="7">
        <v>0.05</v>
      </c>
      <c r="F252" s="7">
        <v>1.3636362499999999E-2</v>
      </c>
    </row>
    <row r="253" spans="1:6" x14ac:dyDescent="0.25">
      <c r="A253" t="s">
        <v>51</v>
      </c>
      <c r="B253" s="8">
        <v>48589</v>
      </c>
      <c r="C253" s="7">
        <v>4.5454550000000003E-2</v>
      </c>
      <c r="D253" s="7">
        <v>0.45454539999999999</v>
      </c>
      <c r="E253" s="7">
        <v>0.05</v>
      </c>
      <c r="F253" s="7">
        <v>1.2499998750000001E-2</v>
      </c>
    </row>
    <row r="254" spans="1:6" x14ac:dyDescent="0.25">
      <c r="A254" t="s">
        <v>51</v>
      </c>
      <c r="B254" s="8">
        <v>48771</v>
      </c>
      <c r="C254" s="7">
        <v>4.5454550000000003E-2</v>
      </c>
      <c r="D254" s="7">
        <v>0.40909085000000001</v>
      </c>
      <c r="E254" s="7">
        <v>0.05</v>
      </c>
      <c r="F254" s="7">
        <v>1.1363635E-2</v>
      </c>
    </row>
    <row r="255" spans="1:6" x14ac:dyDescent="0.25">
      <c r="A255" t="s">
        <v>51</v>
      </c>
      <c r="B255" s="8">
        <v>48953</v>
      </c>
      <c r="C255" s="7">
        <v>4.5454550000000003E-2</v>
      </c>
      <c r="D255" s="7">
        <v>0.36363630000000002</v>
      </c>
      <c r="E255" s="7">
        <v>0.05</v>
      </c>
      <c r="F255" s="7">
        <v>1.0227271250000001E-2</v>
      </c>
    </row>
    <row r="256" spans="1:6" x14ac:dyDescent="0.25">
      <c r="A256" t="s">
        <v>51</v>
      </c>
      <c r="B256" s="8">
        <v>49135</v>
      </c>
      <c r="C256" s="7">
        <v>4.5454550000000003E-2</v>
      </c>
      <c r="D256" s="7">
        <v>0.31818174999999999</v>
      </c>
      <c r="E256" s="7">
        <v>0.05</v>
      </c>
      <c r="F256" s="7">
        <v>9.0909075000000002E-3</v>
      </c>
    </row>
    <row r="257" spans="1:6" x14ac:dyDescent="0.25">
      <c r="A257" t="s">
        <v>51</v>
      </c>
      <c r="B257" s="8">
        <v>49318</v>
      </c>
      <c r="C257" s="7">
        <v>4.5454550000000003E-2</v>
      </c>
      <c r="D257" s="7">
        <v>0.2727272</v>
      </c>
      <c r="E257" s="7">
        <v>0.05</v>
      </c>
      <c r="F257" s="7">
        <v>7.9545437499999993E-3</v>
      </c>
    </row>
    <row r="258" spans="1:6" x14ac:dyDescent="0.25">
      <c r="A258" t="s">
        <v>51</v>
      </c>
      <c r="B258" s="8">
        <v>49500</v>
      </c>
      <c r="C258" s="7">
        <v>4.5454550000000003E-2</v>
      </c>
      <c r="D258" s="7">
        <v>0.22727264999999999</v>
      </c>
      <c r="E258" s="7">
        <v>0.05</v>
      </c>
      <c r="F258" s="7">
        <v>6.8181800000000001E-3</v>
      </c>
    </row>
    <row r="259" spans="1:6" x14ac:dyDescent="0.25">
      <c r="A259" t="s">
        <v>51</v>
      </c>
      <c r="B259" s="8">
        <v>49683</v>
      </c>
      <c r="C259" s="7">
        <v>4.5454550000000003E-2</v>
      </c>
      <c r="D259" s="7">
        <v>0.18181810000000001</v>
      </c>
      <c r="E259" s="7">
        <v>0.05</v>
      </c>
      <c r="F259" s="7">
        <v>5.68181625E-3</v>
      </c>
    </row>
    <row r="260" spans="1:6" x14ac:dyDescent="0.25">
      <c r="A260" t="s">
        <v>51</v>
      </c>
      <c r="B260" s="8">
        <v>49866</v>
      </c>
      <c r="C260" s="7">
        <v>4.5454550000000003E-2</v>
      </c>
      <c r="D260" s="7">
        <v>0.13636355</v>
      </c>
      <c r="E260" s="7">
        <v>0.05</v>
      </c>
      <c r="F260" s="7">
        <v>4.5454525000000008E-3</v>
      </c>
    </row>
    <row r="261" spans="1:6" x14ac:dyDescent="0.25">
      <c r="A261" t="s">
        <v>51</v>
      </c>
      <c r="B261" s="8">
        <v>50049</v>
      </c>
      <c r="C261" s="7">
        <v>4.5454550000000003E-2</v>
      </c>
      <c r="D261" s="7">
        <v>9.0909000000000004E-2</v>
      </c>
      <c r="E261" s="7">
        <v>0.05</v>
      </c>
      <c r="F261" s="7">
        <v>3.4090887500000003E-3</v>
      </c>
    </row>
    <row r="262" spans="1:6" x14ac:dyDescent="0.25">
      <c r="A262" t="s">
        <v>51</v>
      </c>
      <c r="B262" s="8">
        <v>50231</v>
      </c>
      <c r="C262" s="7">
        <v>4.5454550000000003E-2</v>
      </c>
      <c r="D262" s="7">
        <v>4.545445E-2</v>
      </c>
      <c r="E262" s="7">
        <v>0.05</v>
      </c>
      <c r="F262" s="7">
        <v>2.2727250000000002E-3</v>
      </c>
    </row>
    <row r="263" spans="1:6" x14ac:dyDescent="0.25">
      <c r="A263" t="s">
        <v>51</v>
      </c>
      <c r="B263" s="8">
        <v>50416</v>
      </c>
      <c r="C263" s="7">
        <v>4.545445E-2</v>
      </c>
      <c r="D263" s="7" t="s">
        <v>40</v>
      </c>
      <c r="E263" s="7">
        <v>0.05</v>
      </c>
      <c r="F263" s="7">
        <v>1.1363612500000001E-3</v>
      </c>
    </row>
    <row r="264" spans="1:6" x14ac:dyDescent="0.25">
      <c r="A264" t="s">
        <v>52</v>
      </c>
      <c r="B264" s="8">
        <v>44389</v>
      </c>
      <c r="C264" s="7" t="s">
        <v>40</v>
      </c>
      <c r="D264" s="7">
        <v>1</v>
      </c>
      <c r="E264" s="7">
        <v>1.25E-3</v>
      </c>
      <c r="F264" s="7">
        <v>1.0590277777777779E-3</v>
      </c>
    </row>
    <row r="265" spans="1:6" x14ac:dyDescent="0.25">
      <c r="A265" t="s">
        <v>52</v>
      </c>
      <c r="B265" s="8">
        <v>44571</v>
      </c>
      <c r="C265" s="7" t="s">
        <v>40</v>
      </c>
      <c r="D265" s="7">
        <v>1</v>
      </c>
      <c r="E265" s="7">
        <v>0.02</v>
      </c>
      <c r="F265" s="7">
        <v>0.01</v>
      </c>
    </row>
    <row r="266" spans="1:6" x14ac:dyDescent="0.25">
      <c r="A266" t="s">
        <v>52</v>
      </c>
      <c r="B266" s="8">
        <v>44753</v>
      </c>
      <c r="C266" s="7" t="s">
        <v>40</v>
      </c>
      <c r="D266" s="7">
        <v>1</v>
      </c>
      <c r="E266" s="7">
        <v>0.02</v>
      </c>
      <c r="F266" s="7">
        <v>0.01</v>
      </c>
    </row>
    <row r="267" spans="1:6" x14ac:dyDescent="0.25">
      <c r="A267" t="s">
        <v>52</v>
      </c>
      <c r="B267" s="8">
        <v>44935</v>
      </c>
      <c r="C267" s="7" t="s">
        <v>40</v>
      </c>
      <c r="D267" s="7">
        <v>1</v>
      </c>
      <c r="E267" s="7">
        <v>3.875E-2</v>
      </c>
      <c r="F267" s="7">
        <v>1.9375E-2</v>
      </c>
    </row>
    <row r="268" spans="1:6" x14ac:dyDescent="0.25">
      <c r="A268" t="s">
        <v>52</v>
      </c>
      <c r="B268" s="8">
        <v>45117</v>
      </c>
      <c r="C268" s="7" t="s">
        <v>40</v>
      </c>
      <c r="D268" s="7">
        <v>1</v>
      </c>
      <c r="E268" s="7">
        <v>3.875E-2</v>
      </c>
      <c r="F268" s="7">
        <v>1.9375E-2</v>
      </c>
    </row>
    <row r="269" spans="1:6" x14ac:dyDescent="0.25">
      <c r="A269" t="s">
        <v>52</v>
      </c>
      <c r="B269" s="8">
        <v>45300</v>
      </c>
      <c r="C269" s="7" t="s">
        <v>40</v>
      </c>
      <c r="D269" s="7">
        <v>1</v>
      </c>
      <c r="E269" s="7">
        <v>4.2500000000000003E-2</v>
      </c>
      <c r="F269" s="7">
        <v>2.1250000000000002E-2</v>
      </c>
    </row>
    <row r="270" spans="1:6" x14ac:dyDescent="0.25">
      <c r="A270" t="s">
        <v>52</v>
      </c>
      <c r="B270" s="8">
        <v>45483</v>
      </c>
      <c r="C270" s="7" t="s">
        <v>40</v>
      </c>
      <c r="D270" s="7">
        <v>1</v>
      </c>
      <c r="E270" s="7">
        <v>4.2500000000000003E-2</v>
      </c>
      <c r="F270" s="7">
        <v>2.1250000000000002E-2</v>
      </c>
    </row>
    <row r="271" spans="1:6" x14ac:dyDescent="0.25">
      <c r="A271" t="s">
        <v>52</v>
      </c>
      <c r="B271" s="8">
        <v>45666</v>
      </c>
      <c r="C271" s="7" t="s">
        <v>40</v>
      </c>
      <c r="D271" s="7">
        <v>1</v>
      </c>
      <c r="E271" s="7">
        <v>0.05</v>
      </c>
      <c r="F271" s="7">
        <v>2.5000000000000001E-2</v>
      </c>
    </row>
    <row r="272" spans="1:6" x14ac:dyDescent="0.25">
      <c r="A272" t="s">
        <v>52</v>
      </c>
      <c r="B272" s="8">
        <v>45848</v>
      </c>
      <c r="C272" s="7" t="s">
        <v>40</v>
      </c>
      <c r="D272" s="7">
        <v>1</v>
      </c>
      <c r="E272" s="7">
        <v>0.05</v>
      </c>
      <c r="F272" s="7">
        <v>2.5000000000000001E-2</v>
      </c>
    </row>
    <row r="273" spans="1:6" x14ac:dyDescent="0.25">
      <c r="A273" t="s">
        <v>52</v>
      </c>
      <c r="B273" s="8">
        <v>46031</v>
      </c>
      <c r="C273" s="7" t="s">
        <v>40</v>
      </c>
      <c r="D273" s="7">
        <v>1</v>
      </c>
      <c r="E273" s="7">
        <v>0.05</v>
      </c>
      <c r="F273" s="7">
        <v>2.5000000000000001E-2</v>
      </c>
    </row>
    <row r="274" spans="1:6" x14ac:dyDescent="0.25">
      <c r="A274" t="s">
        <v>52</v>
      </c>
      <c r="B274" s="8">
        <v>46216</v>
      </c>
      <c r="C274" s="7" t="s">
        <v>40</v>
      </c>
      <c r="D274" s="7">
        <v>1</v>
      </c>
      <c r="E274" s="7">
        <v>0.05</v>
      </c>
      <c r="F274" s="7">
        <v>2.5000000000000001E-2</v>
      </c>
    </row>
    <row r="275" spans="1:6" x14ac:dyDescent="0.25">
      <c r="A275" t="s">
        <v>52</v>
      </c>
      <c r="B275" s="8">
        <v>46398</v>
      </c>
      <c r="C275" s="7" t="s">
        <v>40</v>
      </c>
      <c r="D275" s="7">
        <v>1</v>
      </c>
      <c r="E275" s="7">
        <v>0.05</v>
      </c>
      <c r="F275" s="7">
        <v>2.5000000000000001E-2</v>
      </c>
    </row>
    <row r="276" spans="1:6" x14ac:dyDescent="0.25">
      <c r="A276" t="s">
        <v>52</v>
      </c>
      <c r="B276" s="8">
        <v>46580</v>
      </c>
      <c r="C276" s="7">
        <v>4.5454550000000003E-2</v>
      </c>
      <c r="D276" s="7">
        <v>0.95454545000000002</v>
      </c>
      <c r="E276" s="7">
        <v>0.05</v>
      </c>
      <c r="F276" s="7">
        <v>2.5000000000000001E-2</v>
      </c>
    </row>
    <row r="277" spans="1:6" x14ac:dyDescent="0.25">
      <c r="A277" t="s">
        <v>52</v>
      </c>
      <c r="B277" s="8">
        <v>46762</v>
      </c>
      <c r="C277" s="7">
        <v>4.5454550000000003E-2</v>
      </c>
      <c r="D277" s="7">
        <v>0.90909090000000004</v>
      </c>
      <c r="E277" s="7">
        <v>0.05</v>
      </c>
      <c r="F277" s="7">
        <v>2.386363625E-2</v>
      </c>
    </row>
    <row r="278" spans="1:6" x14ac:dyDescent="0.25">
      <c r="A278" t="s">
        <v>52</v>
      </c>
      <c r="B278" s="8">
        <v>46944</v>
      </c>
      <c r="C278" s="7">
        <v>4.5454550000000003E-2</v>
      </c>
      <c r="D278" s="7">
        <v>0.86363635000000005</v>
      </c>
      <c r="E278" s="7">
        <v>0.05</v>
      </c>
      <c r="F278" s="7">
        <v>2.2727272500000003E-2</v>
      </c>
    </row>
    <row r="279" spans="1:6" x14ac:dyDescent="0.25">
      <c r="A279" t="s">
        <v>52</v>
      </c>
      <c r="B279" s="8">
        <v>47127</v>
      </c>
      <c r="C279" s="7">
        <v>4.5454550000000003E-2</v>
      </c>
      <c r="D279" s="7">
        <v>0.81818179999999996</v>
      </c>
      <c r="E279" s="7">
        <v>0.05</v>
      </c>
      <c r="F279" s="7">
        <v>2.1590908750000002E-2</v>
      </c>
    </row>
    <row r="280" spans="1:6" x14ac:dyDescent="0.25">
      <c r="A280" t="s">
        <v>52</v>
      </c>
      <c r="B280" s="8">
        <v>47309</v>
      </c>
      <c r="C280" s="7">
        <v>4.5454550000000003E-2</v>
      </c>
      <c r="D280" s="7">
        <v>0.77272724999999998</v>
      </c>
      <c r="E280" s="7">
        <v>0.05</v>
      </c>
      <c r="F280" s="7">
        <v>2.0454545000000001E-2</v>
      </c>
    </row>
    <row r="281" spans="1:6" x14ac:dyDescent="0.25">
      <c r="A281" t="s">
        <v>52</v>
      </c>
      <c r="B281" s="8">
        <v>47492</v>
      </c>
      <c r="C281" s="7">
        <v>4.5454550000000003E-2</v>
      </c>
      <c r="D281" s="7">
        <v>0.72727269999999999</v>
      </c>
      <c r="E281" s="7">
        <v>0.05</v>
      </c>
      <c r="F281" s="7">
        <v>1.931818125E-2</v>
      </c>
    </row>
    <row r="282" spans="1:6" x14ac:dyDescent="0.25">
      <c r="A282" t="s">
        <v>52</v>
      </c>
      <c r="B282" s="8">
        <v>47674</v>
      </c>
      <c r="C282" s="7">
        <v>4.5454550000000003E-2</v>
      </c>
      <c r="D282" s="7">
        <v>0.68181815000000001</v>
      </c>
      <c r="E282" s="7">
        <v>0.05</v>
      </c>
      <c r="F282" s="7">
        <v>1.8181817499999999E-2</v>
      </c>
    </row>
    <row r="283" spans="1:6" x14ac:dyDescent="0.25">
      <c r="A283" t="s">
        <v>52</v>
      </c>
      <c r="B283" s="8">
        <v>47857</v>
      </c>
      <c r="C283" s="7">
        <v>4.5454550000000003E-2</v>
      </c>
      <c r="D283" s="7">
        <v>0.63636360000000003</v>
      </c>
      <c r="E283" s="7">
        <v>0.05</v>
      </c>
      <c r="F283" s="7">
        <v>1.7045453750000002E-2</v>
      </c>
    </row>
    <row r="284" spans="1:6" x14ac:dyDescent="0.25">
      <c r="A284" t="s">
        <v>52</v>
      </c>
      <c r="B284" s="8">
        <v>48039</v>
      </c>
      <c r="C284" s="7">
        <v>4.5454550000000003E-2</v>
      </c>
      <c r="D284" s="7">
        <v>0.59090905000000005</v>
      </c>
      <c r="E284" s="7">
        <v>0.05</v>
      </c>
      <c r="F284" s="7">
        <v>1.5909090000000001E-2</v>
      </c>
    </row>
    <row r="285" spans="1:6" x14ac:dyDescent="0.25">
      <c r="A285" t="s">
        <v>52</v>
      </c>
      <c r="B285" s="8">
        <v>48222</v>
      </c>
      <c r="C285" s="7">
        <v>4.5454550000000003E-2</v>
      </c>
      <c r="D285" s="7">
        <v>0.54545449999999995</v>
      </c>
      <c r="E285" s="7">
        <v>0.05</v>
      </c>
      <c r="F285" s="7">
        <v>1.4772726250000002E-2</v>
      </c>
    </row>
    <row r="286" spans="1:6" x14ac:dyDescent="0.25">
      <c r="A286" t="s">
        <v>52</v>
      </c>
      <c r="B286" s="8">
        <v>48407</v>
      </c>
      <c r="C286" s="7">
        <v>4.5454550000000003E-2</v>
      </c>
      <c r="D286" s="7">
        <v>0.49999995000000003</v>
      </c>
      <c r="E286" s="7">
        <v>0.05</v>
      </c>
      <c r="F286" s="7">
        <v>1.3636362499999999E-2</v>
      </c>
    </row>
    <row r="287" spans="1:6" x14ac:dyDescent="0.25">
      <c r="A287" t="s">
        <v>52</v>
      </c>
      <c r="B287" s="8">
        <v>48589</v>
      </c>
      <c r="C287" s="7">
        <v>4.5454550000000003E-2</v>
      </c>
      <c r="D287" s="7">
        <v>0.45454539999999999</v>
      </c>
      <c r="E287" s="7">
        <v>0.05</v>
      </c>
      <c r="F287" s="7">
        <v>1.2499998750000001E-2</v>
      </c>
    </row>
    <row r="288" spans="1:6" x14ac:dyDescent="0.25">
      <c r="A288" t="s">
        <v>52</v>
      </c>
      <c r="B288" s="8">
        <v>48771</v>
      </c>
      <c r="C288" s="7">
        <v>4.5454550000000003E-2</v>
      </c>
      <c r="D288" s="7">
        <v>0.40909085000000001</v>
      </c>
      <c r="E288" s="7">
        <v>0.05</v>
      </c>
      <c r="F288" s="7">
        <v>1.1363635E-2</v>
      </c>
    </row>
    <row r="289" spans="1:6" x14ac:dyDescent="0.25">
      <c r="A289" t="s">
        <v>52</v>
      </c>
      <c r="B289" s="8">
        <v>48953</v>
      </c>
      <c r="C289" s="7">
        <v>4.5454550000000003E-2</v>
      </c>
      <c r="D289" s="7">
        <v>0.36363630000000002</v>
      </c>
      <c r="E289" s="7">
        <v>0.05</v>
      </c>
      <c r="F289" s="7">
        <v>1.0227271250000001E-2</v>
      </c>
    </row>
    <row r="290" spans="1:6" x14ac:dyDescent="0.25">
      <c r="A290" t="s">
        <v>52</v>
      </c>
      <c r="B290" s="8">
        <v>49135</v>
      </c>
      <c r="C290" s="7">
        <v>4.5454550000000003E-2</v>
      </c>
      <c r="D290" s="7">
        <v>0.31818174999999999</v>
      </c>
      <c r="E290" s="7">
        <v>0.05</v>
      </c>
      <c r="F290" s="7">
        <v>9.0909075000000002E-3</v>
      </c>
    </row>
    <row r="291" spans="1:6" x14ac:dyDescent="0.25">
      <c r="A291" t="s">
        <v>52</v>
      </c>
      <c r="B291" s="8">
        <v>49318</v>
      </c>
      <c r="C291" s="7">
        <v>4.5454550000000003E-2</v>
      </c>
      <c r="D291" s="7">
        <v>0.2727272</v>
      </c>
      <c r="E291" s="7">
        <v>0.05</v>
      </c>
      <c r="F291" s="7">
        <v>7.9545437499999993E-3</v>
      </c>
    </row>
    <row r="292" spans="1:6" x14ac:dyDescent="0.25">
      <c r="A292" t="s">
        <v>52</v>
      </c>
      <c r="B292" s="8">
        <v>49500</v>
      </c>
      <c r="C292" s="7">
        <v>4.5454550000000003E-2</v>
      </c>
      <c r="D292" s="7">
        <v>0.22727264999999999</v>
      </c>
      <c r="E292" s="7">
        <v>0.05</v>
      </c>
      <c r="F292" s="7">
        <v>6.8181800000000001E-3</v>
      </c>
    </row>
    <row r="293" spans="1:6" x14ac:dyDescent="0.25">
      <c r="A293" t="s">
        <v>52</v>
      </c>
      <c r="B293" s="8">
        <v>49683</v>
      </c>
      <c r="C293" s="7">
        <v>4.5454550000000003E-2</v>
      </c>
      <c r="D293" s="7">
        <v>0.18181810000000001</v>
      </c>
      <c r="E293" s="7">
        <v>0.05</v>
      </c>
      <c r="F293" s="7">
        <v>5.68181625E-3</v>
      </c>
    </row>
    <row r="294" spans="1:6" x14ac:dyDescent="0.25">
      <c r="A294" t="s">
        <v>52</v>
      </c>
      <c r="B294" s="8">
        <v>49866</v>
      </c>
      <c r="C294" s="7">
        <v>4.5454550000000003E-2</v>
      </c>
      <c r="D294" s="7">
        <v>0.13636355</v>
      </c>
      <c r="E294" s="7">
        <v>0.05</v>
      </c>
      <c r="F294" s="7">
        <v>4.5454525000000008E-3</v>
      </c>
    </row>
    <row r="295" spans="1:6" x14ac:dyDescent="0.25">
      <c r="A295" t="s">
        <v>52</v>
      </c>
      <c r="B295" s="8">
        <v>50049</v>
      </c>
      <c r="C295" s="7">
        <v>4.5454550000000003E-2</v>
      </c>
      <c r="D295" s="7">
        <v>9.0909000000000004E-2</v>
      </c>
      <c r="E295" s="7">
        <v>0.05</v>
      </c>
      <c r="F295" s="7">
        <v>3.4090887500000003E-3</v>
      </c>
    </row>
    <row r="296" spans="1:6" x14ac:dyDescent="0.25">
      <c r="A296" t="s">
        <v>52</v>
      </c>
      <c r="B296" s="8">
        <v>50231</v>
      </c>
      <c r="C296" s="7">
        <v>4.5454550000000003E-2</v>
      </c>
      <c r="D296" s="7">
        <v>4.545445E-2</v>
      </c>
      <c r="E296" s="7">
        <v>0.05</v>
      </c>
      <c r="F296" s="7">
        <v>2.2727250000000002E-3</v>
      </c>
    </row>
    <row r="297" spans="1:6" x14ac:dyDescent="0.25">
      <c r="A297" t="s">
        <v>52</v>
      </c>
      <c r="B297" s="8">
        <v>50416</v>
      </c>
      <c r="C297" s="7">
        <v>4.545445E-2</v>
      </c>
      <c r="D297" s="7" t="s">
        <v>40</v>
      </c>
      <c r="E297" s="7">
        <v>0.05</v>
      </c>
      <c r="F297" s="7">
        <v>1.1363612500000001E-3</v>
      </c>
    </row>
    <row r="298" spans="1:6" x14ac:dyDescent="0.25">
      <c r="A298" t="s">
        <v>53</v>
      </c>
      <c r="B298" s="8">
        <v>44389</v>
      </c>
      <c r="C298" s="7" t="s">
        <v>40</v>
      </c>
      <c r="D298" s="7">
        <v>1</v>
      </c>
      <c r="E298" s="7">
        <v>1.25E-3</v>
      </c>
      <c r="F298" s="7">
        <v>1.0590277777777779E-3</v>
      </c>
    </row>
    <row r="299" spans="1:6" x14ac:dyDescent="0.25">
      <c r="A299" t="s">
        <v>53</v>
      </c>
      <c r="B299" s="8">
        <v>44571</v>
      </c>
      <c r="C299" s="7" t="s">
        <v>40</v>
      </c>
      <c r="D299" s="7">
        <v>1</v>
      </c>
      <c r="E299" s="7">
        <v>2.5000000000000001E-2</v>
      </c>
      <c r="F299" s="7">
        <v>1.2500000000000001E-2</v>
      </c>
    </row>
    <row r="300" spans="1:6" x14ac:dyDescent="0.25">
      <c r="A300" t="s">
        <v>53</v>
      </c>
      <c r="B300" s="8">
        <v>44753</v>
      </c>
      <c r="C300" s="7" t="s">
        <v>40</v>
      </c>
      <c r="D300" s="7">
        <v>1</v>
      </c>
      <c r="E300" s="7">
        <v>2.5000000000000001E-2</v>
      </c>
      <c r="F300" s="7">
        <v>1.2500000000000001E-2</v>
      </c>
    </row>
    <row r="301" spans="1:6" x14ac:dyDescent="0.25">
      <c r="A301" t="s">
        <v>53</v>
      </c>
      <c r="B301" s="8">
        <v>44935</v>
      </c>
      <c r="C301" s="7" t="s">
        <v>40</v>
      </c>
      <c r="D301" s="7">
        <v>1</v>
      </c>
      <c r="E301" s="7">
        <v>3.5000000000000003E-2</v>
      </c>
      <c r="F301" s="7">
        <v>1.7500000000000002E-2</v>
      </c>
    </row>
    <row r="302" spans="1:6" x14ac:dyDescent="0.25">
      <c r="A302" t="s">
        <v>53</v>
      </c>
      <c r="B302" s="8">
        <v>45117</v>
      </c>
      <c r="C302" s="7" t="s">
        <v>40</v>
      </c>
      <c r="D302" s="7">
        <v>1</v>
      </c>
      <c r="E302" s="7">
        <v>3.5000000000000003E-2</v>
      </c>
      <c r="F302" s="7">
        <v>1.7500000000000002E-2</v>
      </c>
    </row>
    <row r="303" spans="1:6" x14ac:dyDescent="0.25">
      <c r="A303" t="s">
        <v>53</v>
      </c>
      <c r="B303" s="8">
        <v>45300</v>
      </c>
      <c r="C303" s="7" t="s">
        <v>40</v>
      </c>
      <c r="D303" s="7">
        <v>1</v>
      </c>
      <c r="E303" s="7">
        <v>3.5000000000000003E-2</v>
      </c>
      <c r="F303" s="7">
        <v>1.7500000000000002E-2</v>
      </c>
    </row>
    <row r="304" spans="1:6" x14ac:dyDescent="0.25">
      <c r="A304" t="s">
        <v>53</v>
      </c>
      <c r="B304" s="8">
        <v>45483</v>
      </c>
      <c r="C304" s="7" t="s">
        <v>40</v>
      </c>
      <c r="D304" s="7">
        <v>1</v>
      </c>
      <c r="E304" s="7">
        <v>3.5000000000000003E-2</v>
      </c>
      <c r="F304" s="7">
        <v>1.7500000000000002E-2</v>
      </c>
    </row>
    <row r="305" spans="1:6" x14ac:dyDescent="0.25">
      <c r="A305" t="s">
        <v>53</v>
      </c>
      <c r="B305" s="8">
        <v>45666</v>
      </c>
      <c r="C305" s="7" t="s">
        <v>40</v>
      </c>
      <c r="D305" s="7">
        <v>1</v>
      </c>
      <c r="E305" s="7">
        <v>3.5000000000000003E-2</v>
      </c>
      <c r="F305" s="7">
        <v>1.7500000000000002E-2</v>
      </c>
    </row>
    <row r="306" spans="1:6" x14ac:dyDescent="0.25">
      <c r="A306" t="s">
        <v>53</v>
      </c>
      <c r="B306" s="8">
        <v>45848</v>
      </c>
      <c r="C306" s="7" t="s">
        <v>40</v>
      </c>
      <c r="D306" s="7">
        <v>1</v>
      </c>
      <c r="E306" s="7">
        <v>3.5000000000000003E-2</v>
      </c>
      <c r="F306" s="7">
        <v>1.7500000000000002E-2</v>
      </c>
    </row>
    <row r="307" spans="1:6" x14ac:dyDescent="0.25">
      <c r="A307" t="s">
        <v>53</v>
      </c>
      <c r="B307" s="8">
        <v>46031</v>
      </c>
      <c r="C307" s="7" t="s">
        <v>40</v>
      </c>
      <c r="D307" s="7">
        <v>1</v>
      </c>
      <c r="E307" s="7">
        <v>3.5000000000000003E-2</v>
      </c>
      <c r="F307" s="7">
        <v>1.7500000000000002E-2</v>
      </c>
    </row>
    <row r="308" spans="1:6" x14ac:dyDescent="0.25">
      <c r="A308" t="s">
        <v>53</v>
      </c>
      <c r="B308" s="8">
        <v>46216</v>
      </c>
      <c r="C308" s="7" t="s">
        <v>40</v>
      </c>
      <c r="D308" s="7">
        <v>1</v>
      </c>
      <c r="E308" s="7">
        <v>3.5000000000000003E-2</v>
      </c>
      <c r="F308" s="7">
        <v>1.7500000000000002E-2</v>
      </c>
    </row>
    <row r="309" spans="1:6" x14ac:dyDescent="0.25">
      <c r="A309" t="s">
        <v>53</v>
      </c>
      <c r="B309" s="8">
        <v>46398</v>
      </c>
      <c r="C309" s="7" t="s">
        <v>40</v>
      </c>
      <c r="D309" s="7">
        <v>1</v>
      </c>
      <c r="E309" s="7">
        <v>3.5000000000000003E-2</v>
      </c>
      <c r="F309" s="7">
        <v>1.7500000000000002E-2</v>
      </c>
    </row>
    <row r="310" spans="1:6" x14ac:dyDescent="0.25">
      <c r="A310" t="s">
        <v>53</v>
      </c>
      <c r="B310" s="8">
        <v>46580</v>
      </c>
      <c r="C310" s="7" t="s">
        <v>40</v>
      </c>
      <c r="D310" s="7">
        <v>1</v>
      </c>
      <c r="E310" s="7">
        <v>3.5000000000000003E-2</v>
      </c>
      <c r="F310" s="7">
        <v>1.7500000000000002E-2</v>
      </c>
    </row>
    <row r="311" spans="1:6" x14ac:dyDescent="0.25">
      <c r="A311" t="s">
        <v>53</v>
      </c>
      <c r="B311" s="8">
        <v>46762</v>
      </c>
      <c r="C311" s="7">
        <v>3.5714285714285698E-2</v>
      </c>
      <c r="D311" s="7">
        <v>0.96428570999999996</v>
      </c>
      <c r="E311" s="7">
        <v>3.5000000000000003E-2</v>
      </c>
      <c r="F311" s="7">
        <v>1.7500000000000002E-2</v>
      </c>
    </row>
    <row r="312" spans="1:6" x14ac:dyDescent="0.25">
      <c r="A312" t="s">
        <v>53</v>
      </c>
      <c r="B312" s="8">
        <v>46944</v>
      </c>
      <c r="C312" s="7">
        <v>3.5714285714285698E-2</v>
      </c>
      <c r="D312" s="7">
        <v>0.92857142000000004</v>
      </c>
      <c r="E312" s="7">
        <v>3.5000000000000003E-2</v>
      </c>
      <c r="F312" s="7">
        <v>1.6874999925000002E-2</v>
      </c>
    </row>
    <row r="313" spans="1:6" x14ac:dyDescent="0.25">
      <c r="A313" t="s">
        <v>53</v>
      </c>
      <c r="B313" s="8">
        <v>47127</v>
      </c>
      <c r="C313" s="7">
        <v>3.5714285714285698E-2</v>
      </c>
      <c r="D313" s="7">
        <v>0.89285713</v>
      </c>
      <c r="E313" s="7">
        <v>3.5000000000000003E-2</v>
      </c>
      <c r="F313" s="7">
        <v>1.6249999850000002E-2</v>
      </c>
    </row>
    <row r="314" spans="1:6" x14ac:dyDescent="0.25">
      <c r="A314" t="s">
        <v>53</v>
      </c>
      <c r="B314" s="8">
        <v>47309</v>
      </c>
      <c r="C314" s="7">
        <v>3.5714285714285698E-2</v>
      </c>
      <c r="D314" s="7">
        <v>0.85714283999999996</v>
      </c>
      <c r="E314" s="7">
        <v>3.5000000000000003E-2</v>
      </c>
      <c r="F314" s="7">
        <v>1.5624999775000002E-2</v>
      </c>
    </row>
    <row r="315" spans="1:6" x14ac:dyDescent="0.25">
      <c r="A315" t="s">
        <v>53</v>
      </c>
      <c r="B315" s="8">
        <v>47492</v>
      </c>
      <c r="C315" s="7">
        <v>3.5714285714285698E-2</v>
      </c>
      <c r="D315" s="7">
        <v>0.82142855000000004</v>
      </c>
      <c r="E315" s="7">
        <v>4.8750000000000002E-2</v>
      </c>
      <c r="F315" s="7">
        <v>2.0892856724999999E-2</v>
      </c>
    </row>
    <row r="316" spans="1:6" x14ac:dyDescent="0.25">
      <c r="A316" t="s">
        <v>53</v>
      </c>
      <c r="B316" s="8">
        <v>47674</v>
      </c>
      <c r="C316" s="7">
        <v>3.5714285714285698E-2</v>
      </c>
      <c r="D316" s="7">
        <v>0.78571426</v>
      </c>
      <c r="E316" s="7">
        <v>4.8750000000000002E-2</v>
      </c>
      <c r="F316" s="7">
        <v>2.0022320906250002E-2</v>
      </c>
    </row>
    <row r="317" spans="1:6" x14ac:dyDescent="0.25">
      <c r="A317" t="s">
        <v>53</v>
      </c>
      <c r="B317" s="8">
        <v>47857</v>
      </c>
      <c r="C317" s="7">
        <v>3.5714285714285698E-2</v>
      </c>
      <c r="D317" s="7">
        <v>0.74999996999999996</v>
      </c>
      <c r="E317" s="7">
        <v>4.8750000000000002E-2</v>
      </c>
      <c r="F317" s="7">
        <v>1.9151785087500001E-2</v>
      </c>
    </row>
    <row r="318" spans="1:6" x14ac:dyDescent="0.25">
      <c r="A318" t="s">
        <v>53</v>
      </c>
      <c r="B318" s="8">
        <v>48039</v>
      </c>
      <c r="C318" s="7">
        <v>3.5714285714285698E-2</v>
      </c>
      <c r="D318" s="7">
        <v>0.71428568000000003</v>
      </c>
      <c r="E318" s="7">
        <v>4.8750000000000002E-2</v>
      </c>
      <c r="F318" s="7">
        <v>1.8281249268750001E-2</v>
      </c>
    </row>
    <row r="319" spans="1:6" x14ac:dyDescent="0.25">
      <c r="A319" t="s">
        <v>53</v>
      </c>
      <c r="B319" s="8">
        <v>48222</v>
      </c>
      <c r="C319" s="7">
        <v>3.5714285714285698E-2</v>
      </c>
      <c r="D319" s="7">
        <v>0.67857139</v>
      </c>
      <c r="E319" s="7">
        <v>4.8750000000000002E-2</v>
      </c>
      <c r="F319" s="7">
        <v>1.741071345E-2</v>
      </c>
    </row>
    <row r="320" spans="1:6" x14ac:dyDescent="0.25">
      <c r="A320" t="s">
        <v>53</v>
      </c>
      <c r="B320" s="8">
        <v>48407</v>
      </c>
      <c r="C320" s="7">
        <v>3.5714285714285698E-2</v>
      </c>
      <c r="D320" s="7">
        <v>0.64285709999999996</v>
      </c>
      <c r="E320" s="7">
        <v>4.8750000000000002E-2</v>
      </c>
      <c r="F320" s="7">
        <v>1.654017763125E-2</v>
      </c>
    </row>
    <row r="321" spans="1:6" x14ac:dyDescent="0.25">
      <c r="A321" t="s">
        <v>53</v>
      </c>
      <c r="B321" s="8">
        <v>48589</v>
      </c>
      <c r="C321" s="7">
        <v>3.5714285714285698E-2</v>
      </c>
      <c r="D321" s="7">
        <v>0.60714281000000003</v>
      </c>
      <c r="E321" s="7">
        <v>4.8750000000000002E-2</v>
      </c>
      <c r="F321" s="7">
        <v>1.5669641812499999E-2</v>
      </c>
    </row>
    <row r="322" spans="1:6" x14ac:dyDescent="0.25">
      <c r="A322" t="s">
        <v>53</v>
      </c>
      <c r="B322" s="8">
        <v>48771</v>
      </c>
      <c r="C322" s="7">
        <v>3.5714285714285698E-2</v>
      </c>
      <c r="D322" s="7">
        <v>0.57142852</v>
      </c>
      <c r="E322" s="7">
        <v>4.8750000000000002E-2</v>
      </c>
      <c r="F322" s="7">
        <v>1.4799105993750001E-2</v>
      </c>
    </row>
    <row r="323" spans="1:6" x14ac:dyDescent="0.25">
      <c r="A323" t="s">
        <v>53</v>
      </c>
      <c r="B323" s="8">
        <v>48953</v>
      </c>
      <c r="C323" s="7">
        <v>3.5714285714285698E-2</v>
      </c>
      <c r="D323" s="7">
        <v>0.53571422999999996</v>
      </c>
      <c r="E323" s="7">
        <v>4.8750000000000002E-2</v>
      </c>
      <c r="F323" s="7">
        <v>1.3928570175E-2</v>
      </c>
    </row>
    <row r="324" spans="1:6" x14ac:dyDescent="0.25">
      <c r="A324" t="s">
        <v>53</v>
      </c>
      <c r="B324" s="8">
        <v>49135</v>
      </c>
      <c r="C324" s="7">
        <v>3.5714285714285698E-2</v>
      </c>
      <c r="D324" s="7">
        <v>0.49999993999999998</v>
      </c>
      <c r="E324" s="7">
        <v>4.8750000000000002E-2</v>
      </c>
      <c r="F324" s="7">
        <v>1.305803435625E-2</v>
      </c>
    </row>
    <row r="325" spans="1:6" x14ac:dyDescent="0.25">
      <c r="A325" t="s">
        <v>53</v>
      </c>
      <c r="B325" s="8">
        <v>49318</v>
      </c>
      <c r="C325" s="7">
        <v>3.5714285714285698E-2</v>
      </c>
      <c r="D325" s="7">
        <v>0.46428564999999999</v>
      </c>
      <c r="E325" s="7">
        <v>4.8750000000000002E-2</v>
      </c>
      <c r="F325" s="7">
        <v>1.2187498537499999E-2</v>
      </c>
    </row>
    <row r="326" spans="1:6" x14ac:dyDescent="0.25">
      <c r="A326" t="s">
        <v>53</v>
      </c>
      <c r="B326" s="8">
        <v>49500</v>
      </c>
      <c r="C326" s="7">
        <v>3.5714285714285698E-2</v>
      </c>
      <c r="D326" s="7">
        <v>0.42857136000000001</v>
      </c>
      <c r="E326" s="7">
        <v>4.8750000000000002E-2</v>
      </c>
      <c r="F326" s="7">
        <v>1.131696271875E-2</v>
      </c>
    </row>
    <row r="327" spans="1:6" x14ac:dyDescent="0.25">
      <c r="A327" t="s">
        <v>53</v>
      </c>
      <c r="B327" s="8">
        <v>49683</v>
      </c>
      <c r="C327" s="7">
        <v>3.5714285714285698E-2</v>
      </c>
      <c r="D327" s="7">
        <v>0.39285706999999997</v>
      </c>
      <c r="E327" s="7">
        <v>4.8750000000000002E-2</v>
      </c>
      <c r="F327" s="7">
        <v>1.04464269E-2</v>
      </c>
    </row>
    <row r="328" spans="1:6" x14ac:dyDescent="0.25">
      <c r="A328" t="s">
        <v>53</v>
      </c>
      <c r="B328" s="8">
        <v>49866</v>
      </c>
      <c r="C328" s="7">
        <v>3.5714285714285698E-2</v>
      </c>
      <c r="D328" s="7">
        <v>0.35714277999999999</v>
      </c>
      <c r="E328" s="7">
        <v>4.8750000000000002E-2</v>
      </c>
      <c r="F328" s="7">
        <v>9.5758910812499994E-3</v>
      </c>
    </row>
    <row r="329" spans="1:6" x14ac:dyDescent="0.25">
      <c r="A329" t="s">
        <v>53</v>
      </c>
      <c r="B329" s="8">
        <v>50049</v>
      </c>
      <c r="C329" s="7">
        <v>3.5714285714285698E-2</v>
      </c>
      <c r="D329" s="7">
        <v>0.32142849000000001</v>
      </c>
      <c r="E329" s="7">
        <v>4.8750000000000002E-2</v>
      </c>
      <c r="F329" s="7">
        <v>8.7053552625000006E-3</v>
      </c>
    </row>
    <row r="330" spans="1:6" x14ac:dyDescent="0.25">
      <c r="A330" t="s">
        <v>53</v>
      </c>
      <c r="B330" s="8">
        <v>50231</v>
      </c>
      <c r="C330" s="7">
        <v>3.5714285714285698E-2</v>
      </c>
      <c r="D330" s="7">
        <v>0.28571419999999997</v>
      </c>
      <c r="E330" s="7">
        <v>4.8750000000000002E-2</v>
      </c>
      <c r="F330" s="7">
        <v>7.8348194437500001E-3</v>
      </c>
    </row>
    <row r="331" spans="1:6" x14ac:dyDescent="0.25">
      <c r="A331" t="s">
        <v>53</v>
      </c>
      <c r="B331" s="8">
        <v>50416</v>
      </c>
      <c r="C331" s="7">
        <v>3.5714285714285698E-2</v>
      </c>
      <c r="D331" s="7">
        <v>0.24999990999999999</v>
      </c>
      <c r="E331" s="7">
        <v>4.8750000000000002E-2</v>
      </c>
      <c r="F331" s="7">
        <v>6.9642836249999996E-3</v>
      </c>
    </row>
    <row r="332" spans="1:6" x14ac:dyDescent="0.25">
      <c r="A332" t="s">
        <v>53</v>
      </c>
      <c r="B332" s="8">
        <v>50598</v>
      </c>
      <c r="C332" s="7">
        <v>3.5714285714285698E-2</v>
      </c>
      <c r="D332" s="7">
        <v>0.21428562000000001</v>
      </c>
      <c r="E332" s="7">
        <v>4.8750000000000002E-2</v>
      </c>
      <c r="F332" s="7">
        <v>6.09374780625E-3</v>
      </c>
    </row>
    <row r="333" spans="1:6" x14ac:dyDescent="0.25">
      <c r="A333" t="s">
        <v>53</v>
      </c>
      <c r="B333" s="8">
        <v>50780</v>
      </c>
      <c r="C333" s="7">
        <v>3.5714285714285698E-2</v>
      </c>
      <c r="D333" s="7">
        <v>0.17857133</v>
      </c>
      <c r="E333" s="7">
        <v>4.8750000000000002E-2</v>
      </c>
      <c r="F333" s="7">
        <v>5.2232119875000003E-3</v>
      </c>
    </row>
    <row r="334" spans="1:6" x14ac:dyDescent="0.25">
      <c r="A334" t="s">
        <v>53</v>
      </c>
      <c r="B334" s="8">
        <v>50962</v>
      </c>
      <c r="C334" s="7">
        <v>3.5714285714285698E-2</v>
      </c>
      <c r="D334" s="7">
        <v>0.14285703999999999</v>
      </c>
      <c r="E334" s="7">
        <v>4.8750000000000002E-2</v>
      </c>
      <c r="F334" s="7">
        <v>4.3526761687499999E-3</v>
      </c>
    </row>
    <row r="335" spans="1:6" x14ac:dyDescent="0.25">
      <c r="A335" t="s">
        <v>53</v>
      </c>
      <c r="B335" s="8">
        <v>51144</v>
      </c>
      <c r="C335" s="7">
        <v>3.5714285714285698E-2</v>
      </c>
      <c r="D335" s="7">
        <v>0.10714274999999999</v>
      </c>
      <c r="E335" s="7">
        <v>4.8750000000000002E-2</v>
      </c>
      <c r="F335" s="7">
        <v>3.4821403499999998E-3</v>
      </c>
    </row>
    <row r="336" spans="1:6" x14ac:dyDescent="0.25">
      <c r="A336" t="s">
        <v>53</v>
      </c>
      <c r="B336" s="8">
        <v>51327</v>
      </c>
      <c r="C336" s="7">
        <v>3.5714285714285698E-2</v>
      </c>
      <c r="D336" s="7">
        <v>7.1428459999999999E-2</v>
      </c>
      <c r="E336" s="7">
        <v>4.8750000000000002E-2</v>
      </c>
      <c r="F336" s="7">
        <v>2.6116045312500002E-3</v>
      </c>
    </row>
    <row r="337" spans="1:6" x14ac:dyDescent="0.25">
      <c r="A337" t="s">
        <v>53</v>
      </c>
      <c r="B337" s="8">
        <v>51510</v>
      </c>
      <c r="C337" s="7">
        <v>3.5714285714285698E-2</v>
      </c>
      <c r="D337" s="7">
        <v>3.5714170000000003E-2</v>
      </c>
      <c r="E337" s="7">
        <v>4.8750000000000002E-2</v>
      </c>
      <c r="F337" s="7">
        <v>1.7410687125000001E-3</v>
      </c>
    </row>
    <row r="338" spans="1:6" x14ac:dyDescent="0.25">
      <c r="A338" t="s">
        <v>53</v>
      </c>
      <c r="B338" s="8">
        <v>51692</v>
      </c>
      <c r="C338" s="7">
        <v>3.5714165714285699E-2</v>
      </c>
      <c r="D338" s="7" t="s">
        <v>40</v>
      </c>
      <c r="E338" s="7">
        <v>4.8750000000000002E-2</v>
      </c>
      <c r="F338" s="7">
        <v>8.7053289375000015E-4</v>
      </c>
    </row>
    <row r="339" spans="1:6" x14ac:dyDescent="0.25">
      <c r="A339" t="s">
        <v>54</v>
      </c>
      <c r="B339" s="8">
        <v>44389</v>
      </c>
      <c r="C339" s="7" t="s">
        <v>40</v>
      </c>
      <c r="D339" s="7">
        <v>1</v>
      </c>
      <c r="E339" s="7">
        <v>1.25E-3</v>
      </c>
      <c r="F339" s="7">
        <v>1.0590277777777779E-3</v>
      </c>
    </row>
    <row r="340" spans="1:6" x14ac:dyDescent="0.25">
      <c r="A340" t="s">
        <v>54</v>
      </c>
      <c r="B340" s="8">
        <v>44571</v>
      </c>
      <c r="C340" s="7" t="s">
        <v>40</v>
      </c>
      <c r="D340" s="7">
        <v>1</v>
      </c>
      <c r="E340" s="7">
        <v>2.5000000000000001E-2</v>
      </c>
      <c r="F340" s="7">
        <v>1.2500000000000001E-2</v>
      </c>
    </row>
    <row r="341" spans="1:6" x14ac:dyDescent="0.25">
      <c r="A341" t="s">
        <v>54</v>
      </c>
      <c r="B341" s="8">
        <v>44753</v>
      </c>
      <c r="C341" s="7" t="s">
        <v>40</v>
      </c>
      <c r="D341" s="7">
        <v>1</v>
      </c>
      <c r="E341" s="7">
        <v>2.5000000000000001E-2</v>
      </c>
      <c r="F341" s="7">
        <v>1.2500000000000001E-2</v>
      </c>
    </row>
    <row r="342" spans="1:6" x14ac:dyDescent="0.25">
      <c r="A342" t="s">
        <v>54</v>
      </c>
      <c r="B342" s="8">
        <v>44935</v>
      </c>
      <c r="C342" s="7" t="s">
        <v>40</v>
      </c>
      <c r="D342" s="7">
        <v>1</v>
      </c>
      <c r="E342" s="7">
        <v>3.5000000000000003E-2</v>
      </c>
      <c r="F342" s="7">
        <v>1.7500000000000002E-2</v>
      </c>
    </row>
    <row r="343" spans="1:6" x14ac:dyDescent="0.25">
      <c r="A343" t="s">
        <v>54</v>
      </c>
      <c r="B343" s="8">
        <v>45117</v>
      </c>
      <c r="C343" s="7" t="s">
        <v>40</v>
      </c>
      <c r="D343" s="7">
        <v>1</v>
      </c>
      <c r="E343" s="7">
        <v>3.5000000000000003E-2</v>
      </c>
      <c r="F343" s="7">
        <v>1.7500000000000002E-2</v>
      </c>
    </row>
    <row r="344" spans="1:6" x14ac:dyDescent="0.25">
      <c r="A344" t="s">
        <v>54</v>
      </c>
      <c r="B344" s="8">
        <v>45300</v>
      </c>
      <c r="C344" s="7" t="s">
        <v>40</v>
      </c>
      <c r="D344" s="7">
        <v>1</v>
      </c>
      <c r="E344" s="7">
        <v>3.5000000000000003E-2</v>
      </c>
      <c r="F344" s="7">
        <v>1.7500000000000002E-2</v>
      </c>
    </row>
    <row r="345" spans="1:6" x14ac:dyDescent="0.25">
      <c r="A345" t="s">
        <v>54</v>
      </c>
      <c r="B345" s="8">
        <v>45483</v>
      </c>
      <c r="C345" s="7" t="s">
        <v>40</v>
      </c>
      <c r="D345" s="7">
        <v>1</v>
      </c>
      <c r="E345" s="7">
        <v>3.5000000000000003E-2</v>
      </c>
      <c r="F345" s="7">
        <v>1.7500000000000002E-2</v>
      </c>
    </row>
    <row r="346" spans="1:6" x14ac:dyDescent="0.25">
      <c r="A346" t="s">
        <v>54</v>
      </c>
      <c r="B346" s="8">
        <v>45666</v>
      </c>
      <c r="C346" s="7" t="s">
        <v>40</v>
      </c>
      <c r="D346" s="7">
        <v>1</v>
      </c>
      <c r="E346" s="7">
        <v>3.5000000000000003E-2</v>
      </c>
      <c r="F346" s="7">
        <v>1.7500000000000002E-2</v>
      </c>
    </row>
    <row r="347" spans="1:6" x14ac:dyDescent="0.25">
      <c r="A347" t="s">
        <v>54</v>
      </c>
      <c r="B347" s="8">
        <v>45848</v>
      </c>
      <c r="C347" s="7" t="s">
        <v>40</v>
      </c>
      <c r="D347" s="7">
        <v>1</v>
      </c>
      <c r="E347" s="7">
        <v>3.5000000000000003E-2</v>
      </c>
      <c r="F347" s="7">
        <v>1.7500000000000002E-2</v>
      </c>
    </row>
    <row r="348" spans="1:6" x14ac:dyDescent="0.25">
      <c r="A348" t="s">
        <v>54</v>
      </c>
      <c r="B348" s="8">
        <v>46031</v>
      </c>
      <c r="C348" s="7" t="s">
        <v>40</v>
      </c>
      <c r="D348" s="7">
        <v>1</v>
      </c>
      <c r="E348" s="7">
        <v>3.5000000000000003E-2</v>
      </c>
      <c r="F348" s="7">
        <v>1.7500000000000002E-2</v>
      </c>
    </row>
    <row r="349" spans="1:6" x14ac:dyDescent="0.25">
      <c r="A349" t="s">
        <v>54</v>
      </c>
      <c r="B349" s="8">
        <v>46216</v>
      </c>
      <c r="C349" s="7" t="s">
        <v>40</v>
      </c>
      <c r="D349" s="7">
        <v>1</v>
      </c>
      <c r="E349" s="7">
        <v>3.5000000000000003E-2</v>
      </c>
      <c r="F349" s="7">
        <v>1.7500000000000002E-2</v>
      </c>
    </row>
    <row r="350" spans="1:6" x14ac:dyDescent="0.25">
      <c r="A350" t="s">
        <v>54</v>
      </c>
      <c r="B350" s="8">
        <v>46398</v>
      </c>
      <c r="C350" s="7" t="s">
        <v>40</v>
      </c>
      <c r="D350" s="7">
        <v>1</v>
      </c>
      <c r="E350" s="7">
        <v>3.5000000000000003E-2</v>
      </c>
      <c r="F350" s="7">
        <v>1.7500000000000002E-2</v>
      </c>
    </row>
    <row r="351" spans="1:6" x14ac:dyDescent="0.25">
      <c r="A351" t="s">
        <v>54</v>
      </c>
      <c r="B351" s="8">
        <v>46580</v>
      </c>
      <c r="C351" s="7" t="s">
        <v>40</v>
      </c>
      <c r="D351" s="7">
        <v>1</v>
      </c>
      <c r="E351" s="7">
        <v>3.5000000000000003E-2</v>
      </c>
      <c r="F351" s="7">
        <v>1.7500000000000002E-2</v>
      </c>
    </row>
    <row r="352" spans="1:6" x14ac:dyDescent="0.25">
      <c r="A352" t="s">
        <v>54</v>
      </c>
      <c r="B352" s="8">
        <v>46762</v>
      </c>
      <c r="C352" s="7">
        <v>3.5714285714285698E-2</v>
      </c>
      <c r="D352" s="7">
        <v>0.96428570999999996</v>
      </c>
      <c r="E352" s="7">
        <v>3.5000000000000003E-2</v>
      </c>
      <c r="F352" s="7">
        <v>1.7500000000000002E-2</v>
      </c>
    </row>
    <row r="353" spans="1:6" x14ac:dyDescent="0.25">
      <c r="A353" t="s">
        <v>54</v>
      </c>
      <c r="B353" s="8">
        <v>46944</v>
      </c>
      <c r="C353" s="7">
        <v>3.5714285714285698E-2</v>
      </c>
      <c r="D353" s="7">
        <v>0.92857142000000004</v>
      </c>
      <c r="E353" s="7">
        <v>3.5000000000000003E-2</v>
      </c>
      <c r="F353" s="7">
        <v>1.6874999925000002E-2</v>
      </c>
    </row>
    <row r="354" spans="1:6" x14ac:dyDescent="0.25">
      <c r="A354" t="s">
        <v>54</v>
      </c>
      <c r="B354" s="8">
        <v>47127</v>
      </c>
      <c r="C354" s="7">
        <v>3.5714285714285698E-2</v>
      </c>
      <c r="D354" s="7">
        <v>0.89285713</v>
      </c>
      <c r="E354" s="7">
        <v>3.5000000000000003E-2</v>
      </c>
      <c r="F354" s="7">
        <v>1.6249999850000002E-2</v>
      </c>
    </row>
    <row r="355" spans="1:6" x14ac:dyDescent="0.25">
      <c r="A355" t="s">
        <v>54</v>
      </c>
      <c r="B355" s="8">
        <v>47309</v>
      </c>
      <c r="C355" s="7">
        <v>3.5714285714285698E-2</v>
      </c>
      <c r="D355" s="7">
        <v>0.85714283999999996</v>
      </c>
      <c r="E355" s="7">
        <v>3.5000000000000003E-2</v>
      </c>
      <c r="F355" s="7">
        <v>1.5624999775000002E-2</v>
      </c>
    </row>
    <row r="356" spans="1:6" x14ac:dyDescent="0.25">
      <c r="A356" t="s">
        <v>54</v>
      </c>
      <c r="B356" s="8">
        <v>47492</v>
      </c>
      <c r="C356" s="7">
        <v>3.5714285714285698E-2</v>
      </c>
      <c r="D356" s="7">
        <v>0.82142855000000004</v>
      </c>
      <c r="E356" s="7">
        <v>4.8750000000000002E-2</v>
      </c>
      <c r="F356" s="7">
        <v>2.0892856724999999E-2</v>
      </c>
    </row>
    <row r="357" spans="1:6" x14ac:dyDescent="0.25">
      <c r="A357" t="s">
        <v>54</v>
      </c>
      <c r="B357" s="8">
        <v>47674</v>
      </c>
      <c r="C357" s="7">
        <v>3.5714285714285698E-2</v>
      </c>
      <c r="D357" s="7">
        <v>0.78571426</v>
      </c>
      <c r="E357" s="7">
        <v>4.8750000000000002E-2</v>
      </c>
      <c r="F357" s="7">
        <v>2.0022320906250002E-2</v>
      </c>
    </row>
    <row r="358" spans="1:6" x14ac:dyDescent="0.25">
      <c r="A358" t="s">
        <v>54</v>
      </c>
      <c r="B358" s="8">
        <v>47857</v>
      </c>
      <c r="C358" s="7">
        <v>3.5714285714285698E-2</v>
      </c>
      <c r="D358" s="7">
        <v>0.74999996999999996</v>
      </c>
      <c r="E358" s="7">
        <v>4.8750000000000002E-2</v>
      </c>
      <c r="F358" s="7">
        <v>1.9151785087500001E-2</v>
      </c>
    </row>
    <row r="359" spans="1:6" x14ac:dyDescent="0.25">
      <c r="A359" t="s">
        <v>54</v>
      </c>
      <c r="B359" s="8">
        <v>48039</v>
      </c>
      <c r="C359" s="7">
        <v>3.5714285714285698E-2</v>
      </c>
      <c r="D359" s="7">
        <v>0.71428568000000003</v>
      </c>
      <c r="E359" s="7">
        <v>4.8750000000000002E-2</v>
      </c>
      <c r="F359" s="7">
        <v>1.8281249268750001E-2</v>
      </c>
    </row>
    <row r="360" spans="1:6" x14ac:dyDescent="0.25">
      <c r="A360" t="s">
        <v>54</v>
      </c>
      <c r="B360" s="8">
        <v>48222</v>
      </c>
      <c r="C360" s="7">
        <v>3.5714285714285698E-2</v>
      </c>
      <c r="D360" s="7">
        <v>0.67857139</v>
      </c>
      <c r="E360" s="7">
        <v>4.8750000000000002E-2</v>
      </c>
      <c r="F360" s="7">
        <v>1.741071345E-2</v>
      </c>
    </row>
    <row r="361" spans="1:6" x14ac:dyDescent="0.25">
      <c r="A361" t="s">
        <v>54</v>
      </c>
      <c r="B361" s="8">
        <v>48407</v>
      </c>
      <c r="C361" s="7">
        <v>3.5714285714285698E-2</v>
      </c>
      <c r="D361" s="7">
        <v>0.64285709999999996</v>
      </c>
      <c r="E361" s="7">
        <v>4.8750000000000002E-2</v>
      </c>
      <c r="F361" s="7">
        <v>1.654017763125E-2</v>
      </c>
    </row>
    <row r="362" spans="1:6" x14ac:dyDescent="0.25">
      <c r="A362" t="s">
        <v>54</v>
      </c>
      <c r="B362" s="8">
        <v>48589</v>
      </c>
      <c r="C362" s="7">
        <v>3.5714285714285698E-2</v>
      </c>
      <c r="D362" s="7">
        <v>0.60714281000000003</v>
      </c>
      <c r="E362" s="7">
        <v>4.8750000000000002E-2</v>
      </c>
      <c r="F362" s="7">
        <v>1.5669641812499999E-2</v>
      </c>
    </row>
    <row r="363" spans="1:6" x14ac:dyDescent="0.25">
      <c r="A363" t="s">
        <v>54</v>
      </c>
      <c r="B363" s="8">
        <v>48771</v>
      </c>
      <c r="C363" s="7">
        <v>3.5714285714285698E-2</v>
      </c>
      <c r="D363" s="7">
        <v>0.57142852</v>
      </c>
      <c r="E363" s="7">
        <v>4.8750000000000002E-2</v>
      </c>
      <c r="F363" s="7">
        <v>1.4799105993750001E-2</v>
      </c>
    </row>
    <row r="364" spans="1:6" x14ac:dyDescent="0.25">
      <c r="A364" t="s">
        <v>54</v>
      </c>
      <c r="B364" s="8">
        <v>48953</v>
      </c>
      <c r="C364" s="7">
        <v>3.5714285714285698E-2</v>
      </c>
      <c r="D364" s="7">
        <v>0.53571422999999996</v>
      </c>
      <c r="E364" s="7">
        <v>4.8750000000000002E-2</v>
      </c>
      <c r="F364" s="7">
        <v>1.3928570175E-2</v>
      </c>
    </row>
    <row r="365" spans="1:6" x14ac:dyDescent="0.25">
      <c r="A365" t="s">
        <v>54</v>
      </c>
      <c r="B365" s="8">
        <v>49135</v>
      </c>
      <c r="C365" s="7">
        <v>3.5714285714285698E-2</v>
      </c>
      <c r="D365" s="7">
        <v>0.49999993999999998</v>
      </c>
      <c r="E365" s="7">
        <v>4.8750000000000002E-2</v>
      </c>
      <c r="F365" s="7">
        <v>1.305803435625E-2</v>
      </c>
    </row>
    <row r="366" spans="1:6" x14ac:dyDescent="0.25">
      <c r="A366" t="s">
        <v>54</v>
      </c>
      <c r="B366" s="8">
        <v>49318</v>
      </c>
      <c r="C366" s="7">
        <v>3.5714285714285698E-2</v>
      </c>
      <c r="D366" s="7">
        <v>0.46428564999999999</v>
      </c>
      <c r="E366" s="7">
        <v>4.8750000000000002E-2</v>
      </c>
      <c r="F366" s="7">
        <v>1.2187498537499999E-2</v>
      </c>
    </row>
    <row r="367" spans="1:6" x14ac:dyDescent="0.25">
      <c r="A367" t="s">
        <v>54</v>
      </c>
      <c r="B367" s="8">
        <v>49500</v>
      </c>
      <c r="C367" s="7">
        <v>3.5714285714285698E-2</v>
      </c>
      <c r="D367" s="7">
        <v>0.42857136000000001</v>
      </c>
      <c r="E367" s="7">
        <v>4.8750000000000002E-2</v>
      </c>
      <c r="F367" s="7">
        <v>1.131696271875E-2</v>
      </c>
    </row>
    <row r="368" spans="1:6" x14ac:dyDescent="0.25">
      <c r="A368" t="s">
        <v>54</v>
      </c>
      <c r="B368" s="8">
        <v>49683</v>
      </c>
      <c r="C368" s="7">
        <v>3.5714285714285698E-2</v>
      </c>
      <c r="D368" s="7">
        <v>0.39285706999999997</v>
      </c>
      <c r="E368" s="7">
        <v>4.8750000000000002E-2</v>
      </c>
      <c r="F368" s="7">
        <v>1.04464269E-2</v>
      </c>
    </row>
    <row r="369" spans="1:6" x14ac:dyDescent="0.25">
      <c r="A369" t="s">
        <v>54</v>
      </c>
      <c r="B369" s="8">
        <v>49866</v>
      </c>
      <c r="C369" s="7">
        <v>3.5714285714285698E-2</v>
      </c>
      <c r="D369" s="7">
        <v>0.35714277999999999</v>
      </c>
      <c r="E369" s="7">
        <v>4.8750000000000002E-2</v>
      </c>
      <c r="F369" s="7">
        <v>9.5758910812499994E-3</v>
      </c>
    </row>
    <row r="370" spans="1:6" x14ac:dyDescent="0.25">
      <c r="A370" t="s">
        <v>54</v>
      </c>
      <c r="B370" s="8">
        <v>50049</v>
      </c>
      <c r="C370" s="7">
        <v>3.5714285714285698E-2</v>
      </c>
      <c r="D370" s="7">
        <v>0.32142849000000001</v>
      </c>
      <c r="E370" s="7">
        <v>4.8750000000000002E-2</v>
      </c>
      <c r="F370" s="7">
        <v>8.7053552625000006E-3</v>
      </c>
    </row>
    <row r="371" spans="1:6" x14ac:dyDescent="0.25">
      <c r="A371" t="s">
        <v>54</v>
      </c>
      <c r="B371" s="8">
        <v>50231</v>
      </c>
      <c r="C371" s="7">
        <v>3.5714285714285698E-2</v>
      </c>
      <c r="D371" s="7">
        <v>0.28571419999999997</v>
      </c>
      <c r="E371" s="7">
        <v>4.8750000000000002E-2</v>
      </c>
      <c r="F371" s="7">
        <v>7.8348194437500001E-3</v>
      </c>
    </row>
    <row r="372" spans="1:6" x14ac:dyDescent="0.25">
      <c r="A372" t="s">
        <v>54</v>
      </c>
      <c r="B372" s="8">
        <v>50416</v>
      </c>
      <c r="C372" s="7">
        <v>3.5714285714285698E-2</v>
      </c>
      <c r="D372" s="7">
        <v>0.24999990999999999</v>
      </c>
      <c r="E372" s="7">
        <v>4.8750000000000002E-2</v>
      </c>
      <c r="F372" s="7">
        <v>6.9642836249999996E-3</v>
      </c>
    </row>
    <row r="373" spans="1:6" x14ac:dyDescent="0.25">
      <c r="A373" t="s">
        <v>54</v>
      </c>
      <c r="B373" s="8">
        <v>50598</v>
      </c>
      <c r="C373" s="7">
        <v>3.5714285714285698E-2</v>
      </c>
      <c r="D373" s="7">
        <v>0.21428562000000001</v>
      </c>
      <c r="E373" s="7">
        <v>4.8750000000000002E-2</v>
      </c>
      <c r="F373" s="7">
        <v>6.09374780625E-3</v>
      </c>
    </row>
    <row r="374" spans="1:6" x14ac:dyDescent="0.25">
      <c r="A374" t="s">
        <v>54</v>
      </c>
      <c r="B374" s="8">
        <v>50780</v>
      </c>
      <c r="C374" s="7">
        <v>3.5714285714285698E-2</v>
      </c>
      <c r="D374" s="7">
        <v>0.17857133</v>
      </c>
      <c r="E374" s="7">
        <v>4.8750000000000002E-2</v>
      </c>
      <c r="F374" s="7">
        <v>5.2232119875000003E-3</v>
      </c>
    </row>
    <row r="375" spans="1:6" x14ac:dyDescent="0.25">
      <c r="A375" t="s">
        <v>54</v>
      </c>
      <c r="B375" s="8">
        <v>50962</v>
      </c>
      <c r="C375" s="7">
        <v>3.5714285714285698E-2</v>
      </c>
      <c r="D375" s="7">
        <v>0.14285703999999999</v>
      </c>
      <c r="E375" s="7">
        <v>4.8750000000000002E-2</v>
      </c>
      <c r="F375" s="7">
        <v>4.3526761687499999E-3</v>
      </c>
    </row>
    <row r="376" spans="1:6" x14ac:dyDescent="0.25">
      <c r="A376" t="s">
        <v>54</v>
      </c>
      <c r="B376" s="8">
        <v>51144</v>
      </c>
      <c r="C376" s="7">
        <v>3.5714285714285698E-2</v>
      </c>
      <c r="D376" s="7">
        <v>0.10714274999999999</v>
      </c>
      <c r="E376" s="7">
        <v>4.8750000000000002E-2</v>
      </c>
      <c r="F376" s="7">
        <v>3.4821403499999998E-3</v>
      </c>
    </row>
    <row r="377" spans="1:6" x14ac:dyDescent="0.25">
      <c r="A377" t="s">
        <v>54</v>
      </c>
      <c r="B377" s="8">
        <v>51327</v>
      </c>
      <c r="C377" s="7">
        <v>3.5714285714285698E-2</v>
      </c>
      <c r="D377" s="7">
        <v>7.1428459999999999E-2</v>
      </c>
      <c r="E377" s="7">
        <v>4.8750000000000002E-2</v>
      </c>
      <c r="F377" s="7">
        <v>2.6116045312500002E-3</v>
      </c>
    </row>
    <row r="378" spans="1:6" x14ac:dyDescent="0.25">
      <c r="A378" t="s">
        <v>54</v>
      </c>
      <c r="B378" s="8">
        <v>51510</v>
      </c>
      <c r="C378" s="7">
        <v>3.5714285714285698E-2</v>
      </c>
      <c r="D378" s="7">
        <v>3.5714170000000003E-2</v>
      </c>
      <c r="E378" s="7">
        <v>4.8750000000000002E-2</v>
      </c>
      <c r="F378" s="7">
        <v>1.7410687125000001E-3</v>
      </c>
    </row>
    <row r="379" spans="1:6" x14ac:dyDescent="0.25">
      <c r="A379" t="s">
        <v>54</v>
      </c>
      <c r="B379" s="8">
        <v>51692</v>
      </c>
      <c r="C379" s="7">
        <v>3.5714165714285699E-2</v>
      </c>
      <c r="D379" s="7" t="s">
        <v>40</v>
      </c>
      <c r="E379" s="7">
        <v>4.8750000000000002E-2</v>
      </c>
      <c r="F379" s="7">
        <v>8.7053289375000015E-4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7E5F2F-FF57-4B20-9948-BD5EDEB17A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Precios</vt:lpstr>
      <vt:lpstr>Tamar</vt:lpstr>
      <vt:lpstr>CER</vt:lpstr>
      <vt:lpstr>Feriados</vt:lpstr>
      <vt:lpstr>Lecaps</vt:lpstr>
      <vt:lpstr>Letam</vt:lpstr>
      <vt:lpstr>LECER</vt:lpstr>
      <vt:lpstr>Flujo HD</vt:lpstr>
      <vt:lpstr>Tickers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2026-10-30T14:12:02Z</dcterms:modified>
</cp:coreProperties>
</file>